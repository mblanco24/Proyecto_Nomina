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Usuario\Desktop\RESPALDO CESAR BARRETO\INHRR RESPALDO CESAR 2023\1 ESCRITORIO\2025\SISTEMA RYC METAS RRHH\"/>
    </mc:Choice>
  </mc:AlternateContent>
  <bookViews>
    <workbookView xWindow="0" yWindow="0" windowWidth="19200" windowHeight="10140" tabRatio="599" firstSheet="1" activeTab="4"/>
  </bookViews>
  <sheets>
    <sheet name="DATA" sheetId="2" state="veryHidden" r:id="rId1"/>
    <sheet name="DAT" sheetId="32" r:id="rId2"/>
    <sheet name="BIOMETRICO" sheetId="21" r:id="rId3"/>
    <sheet name="METAS" sheetId="17" r:id="rId4"/>
    <sheet name="NCH" sheetId="29" r:id="rId5"/>
    <sheet name="DEF" sheetId="40" state="hidden" r:id="rId6"/>
    <sheet name="PAGO" sheetId="39" r:id="rId7"/>
  </sheets>
  <externalReferences>
    <externalReference r:id="rId8"/>
  </externalReferences>
  <definedNames>
    <definedName name="_xlnm._FilterDatabase" localSheetId="2" hidden="1">BIOMETRICO!$A$3:$R$431</definedName>
    <definedName name="_xlnm._FilterDatabase" localSheetId="3" hidden="1">METAS!$A$8:$W$72</definedName>
    <definedName name="_xlnm.Print_Area" localSheetId="3">METAS!$A$1:$V$8</definedName>
    <definedName name="_xlnm.Print_Area" localSheetId="6">PAGO!$A$1:$K$92</definedName>
    <definedName name="_xlnm.Criteria" localSheetId="3">METAS!$N$4:$N$5</definedName>
    <definedName name="PERSONAL_1">DATA!$G$1:$G$7</definedName>
    <definedName name="SegmentaciónDeDatos_UNIDAD_DE_ADSCRIPCION">#N/A</definedName>
    <definedName name="_xlnm.Print_Titles" localSheetId="3">METAS!$4:$8</definedName>
    <definedName name="_xlnm.Print_Titles" localSheetId="6">PAGO!$29:$29</definedName>
  </definedNames>
  <calcPr calcId="162913"/>
  <pivotCaches>
    <pivotCache cacheId="3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0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39" l="1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82" i="39"/>
  <c r="A83" i="39"/>
  <c r="A84" i="39"/>
  <c r="A85" i="39"/>
  <c r="A86" i="39"/>
  <c r="A87" i="39"/>
  <c r="A88" i="39"/>
  <c r="A89" i="39"/>
  <c r="A90" i="39"/>
  <c r="A91" i="39"/>
  <c r="C30" i="39"/>
  <c r="C31" i="39"/>
  <c r="C32" i="39"/>
  <c r="C33" i="39"/>
  <c r="C34" i="39"/>
  <c r="C35" i="39"/>
  <c r="C36" i="39"/>
  <c r="C37" i="39"/>
  <c r="C38" i="39"/>
  <c r="C39" i="39"/>
  <c r="C40" i="39"/>
  <c r="C41" i="39"/>
  <c r="C42" i="39"/>
  <c r="C43" i="39"/>
  <c r="C44" i="39"/>
  <c r="C45" i="39"/>
  <c r="C46" i="39"/>
  <c r="C47" i="39"/>
  <c r="C48" i="39"/>
  <c r="C49" i="39"/>
  <c r="C50" i="39"/>
  <c r="C51" i="39"/>
  <c r="C52" i="39"/>
  <c r="C53" i="39"/>
  <c r="C54" i="39"/>
  <c r="C55" i="39"/>
  <c r="C56" i="39"/>
  <c r="C57" i="39"/>
  <c r="C58" i="39"/>
  <c r="C59" i="39"/>
  <c r="C60" i="39"/>
  <c r="C61" i="39"/>
  <c r="C62" i="39"/>
  <c r="C63" i="39"/>
  <c r="C64" i="39"/>
  <c r="C65" i="39"/>
  <c r="C66" i="39"/>
  <c r="C67" i="39"/>
  <c r="C68" i="39"/>
  <c r="C69" i="39"/>
  <c r="C70" i="39"/>
  <c r="C71" i="39"/>
  <c r="C72" i="39"/>
  <c r="C73" i="39"/>
  <c r="C74" i="39"/>
  <c r="C75" i="39"/>
  <c r="C76" i="39"/>
  <c r="C77" i="39"/>
  <c r="C78" i="39"/>
  <c r="C79" i="39"/>
  <c r="C80" i="39"/>
  <c r="C81" i="39"/>
  <c r="C82" i="39"/>
  <c r="C83" i="39"/>
  <c r="C84" i="39"/>
  <c r="C85" i="39"/>
  <c r="C86" i="39"/>
  <c r="C87" i="39"/>
  <c r="C88" i="39"/>
  <c r="C89" i="39"/>
  <c r="C90" i="39"/>
  <c r="C91" i="39"/>
  <c r="F44" i="39"/>
  <c r="F56" i="39"/>
  <c r="F57" i="39"/>
  <c r="F78" i="39"/>
  <c r="H30" i="39"/>
  <c r="H31" i="39"/>
  <c r="H32" i="39"/>
  <c r="H33" i="39"/>
  <c r="H34" i="39"/>
  <c r="H35" i="39"/>
  <c r="H36" i="39"/>
  <c r="H37" i="39"/>
  <c r="H38" i="39"/>
  <c r="H39" i="39"/>
  <c r="H40" i="39"/>
  <c r="H41" i="39"/>
  <c r="H42" i="39"/>
  <c r="H43" i="39"/>
  <c r="H44" i="39"/>
  <c r="H45" i="39"/>
  <c r="H46" i="39"/>
  <c r="H47" i="39"/>
  <c r="H48" i="39"/>
  <c r="H49" i="39"/>
  <c r="H50" i="39"/>
  <c r="H51" i="39"/>
  <c r="H52" i="39"/>
  <c r="H53" i="39"/>
  <c r="H54" i="39"/>
  <c r="H55" i="39"/>
  <c r="H56" i="39"/>
  <c r="H57" i="39"/>
  <c r="H58" i="39"/>
  <c r="H59" i="39"/>
  <c r="H60" i="39"/>
  <c r="H61" i="39"/>
  <c r="H62" i="39"/>
  <c r="H63" i="39"/>
  <c r="H64" i="39"/>
  <c r="H65" i="39"/>
  <c r="H66" i="39"/>
  <c r="H67" i="39"/>
  <c r="H68" i="39"/>
  <c r="H69" i="39"/>
  <c r="H70" i="39"/>
  <c r="H71" i="39"/>
  <c r="H72" i="39"/>
  <c r="H73" i="39"/>
  <c r="H74" i="39"/>
  <c r="H75" i="39"/>
  <c r="H76" i="39"/>
  <c r="H77" i="39"/>
  <c r="H78" i="39"/>
  <c r="H79" i="39"/>
  <c r="H80" i="39"/>
  <c r="H81" i="39"/>
  <c r="H82" i="39"/>
  <c r="H83" i="39"/>
  <c r="H84" i="39"/>
  <c r="H85" i="39"/>
  <c r="H86" i="39"/>
  <c r="H87" i="39"/>
  <c r="H88" i="39"/>
  <c r="H89" i="39"/>
  <c r="H90" i="39"/>
  <c r="H91" i="39"/>
  <c r="J30" i="39"/>
  <c r="J31" i="39"/>
  <c r="J32" i="39"/>
  <c r="J33" i="39"/>
  <c r="J34" i="39"/>
  <c r="J35" i="39"/>
  <c r="J36" i="39"/>
  <c r="J37" i="39"/>
  <c r="J38" i="39"/>
  <c r="J39" i="39"/>
  <c r="J40" i="39"/>
  <c r="J41" i="39"/>
  <c r="J42" i="39"/>
  <c r="J43" i="39"/>
  <c r="J44" i="39"/>
  <c r="J45" i="39"/>
  <c r="J46" i="39"/>
  <c r="J47" i="39"/>
  <c r="J48" i="39"/>
  <c r="J49" i="39"/>
  <c r="J50" i="39"/>
  <c r="J51" i="39"/>
  <c r="J52" i="39"/>
  <c r="J53" i="39"/>
  <c r="J54" i="39"/>
  <c r="J55" i="39"/>
  <c r="J56" i="39"/>
  <c r="J57" i="39"/>
  <c r="J58" i="39"/>
  <c r="J59" i="39"/>
  <c r="J60" i="39"/>
  <c r="J61" i="39"/>
  <c r="J62" i="39"/>
  <c r="J63" i="39"/>
  <c r="J64" i="39"/>
  <c r="J65" i="39"/>
  <c r="J66" i="39"/>
  <c r="J67" i="39"/>
  <c r="J68" i="39"/>
  <c r="J69" i="39"/>
  <c r="J70" i="39"/>
  <c r="J71" i="39"/>
  <c r="J72" i="39"/>
  <c r="J73" i="39"/>
  <c r="J74" i="39"/>
  <c r="J75" i="39"/>
  <c r="J76" i="39"/>
  <c r="J77" i="39"/>
  <c r="J78" i="39"/>
  <c r="J79" i="39"/>
  <c r="J80" i="39"/>
  <c r="J81" i="39"/>
  <c r="J82" i="39"/>
  <c r="J83" i="39"/>
  <c r="J84" i="39"/>
  <c r="J85" i="39"/>
  <c r="J86" i="39"/>
  <c r="J87" i="39"/>
  <c r="J88" i="39"/>
  <c r="J89" i="39"/>
  <c r="J90" i="39"/>
  <c r="J91" i="39"/>
  <c r="L30" i="39"/>
  <c r="N30" i="39" s="1"/>
  <c r="L31" i="39"/>
  <c r="N31" i="39" s="1"/>
  <c r="L32" i="39"/>
  <c r="N32" i="39" s="1"/>
  <c r="L33" i="39"/>
  <c r="N33" i="39" s="1"/>
  <c r="L34" i="39"/>
  <c r="N34" i="39" s="1"/>
  <c r="L35" i="39"/>
  <c r="N35" i="39" s="1"/>
  <c r="L36" i="39"/>
  <c r="N36" i="39" s="1"/>
  <c r="L37" i="39"/>
  <c r="N37" i="39" s="1"/>
  <c r="L38" i="39"/>
  <c r="N38" i="39" s="1"/>
  <c r="L39" i="39"/>
  <c r="N39" i="39" s="1"/>
  <c r="L40" i="39"/>
  <c r="N40" i="39" s="1"/>
  <c r="L41" i="39"/>
  <c r="N41" i="39" s="1"/>
  <c r="L42" i="39"/>
  <c r="N42" i="39" s="1"/>
  <c r="L43" i="39"/>
  <c r="L44" i="39"/>
  <c r="N44" i="39" s="1"/>
  <c r="L45" i="39"/>
  <c r="N45" i="39" s="1"/>
  <c r="L46" i="39"/>
  <c r="N46" i="39" s="1"/>
  <c r="L47" i="39"/>
  <c r="N47" i="39" s="1"/>
  <c r="L48" i="39"/>
  <c r="N48" i="39" s="1"/>
  <c r="L49" i="39"/>
  <c r="N49" i="39" s="1"/>
  <c r="L50" i="39"/>
  <c r="N50" i="39" s="1"/>
  <c r="L51" i="39"/>
  <c r="N51" i="39" s="1"/>
  <c r="L52" i="39"/>
  <c r="N52" i="39" s="1"/>
  <c r="L53" i="39"/>
  <c r="N53" i="39" s="1"/>
  <c r="L54" i="39"/>
  <c r="N54" i="39" s="1"/>
  <c r="L55" i="39"/>
  <c r="N55" i="39" s="1"/>
  <c r="L56" i="39"/>
  <c r="N56" i="39" s="1"/>
  <c r="L57" i="39"/>
  <c r="N57" i="39" s="1"/>
  <c r="L58" i="39"/>
  <c r="N58" i="39" s="1"/>
  <c r="L59" i="39"/>
  <c r="L60" i="39"/>
  <c r="N60" i="39" s="1"/>
  <c r="L61" i="39"/>
  <c r="N61" i="39" s="1"/>
  <c r="L62" i="39"/>
  <c r="N62" i="39" s="1"/>
  <c r="L63" i="39"/>
  <c r="N63" i="39" s="1"/>
  <c r="L64" i="39"/>
  <c r="N64" i="39" s="1"/>
  <c r="L65" i="39"/>
  <c r="N65" i="39" s="1"/>
  <c r="L66" i="39"/>
  <c r="N66" i="39" s="1"/>
  <c r="L67" i="39"/>
  <c r="N67" i="39" s="1"/>
  <c r="L68" i="39"/>
  <c r="N68" i="39" s="1"/>
  <c r="L69" i="39"/>
  <c r="N69" i="39" s="1"/>
  <c r="L70" i="39"/>
  <c r="N70" i="39" s="1"/>
  <c r="L71" i="39"/>
  <c r="N71" i="39" s="1"/>
  <c r="L72" i="39"/>
  <c r="N72" i="39" s="1"/>
  <c r="L73" i="39"/>
  <c r="N73" i="39" s="1"/>
  <c r="L74" i="39"/>
  <c r="N74" i="39" s="1"/>
  <c r="L75" i="39"/>
  <c r="L76" i="39"/>
  <c r="L77" i="39"/>
  <c r="N77" i="39" s="1"/>
  <c r="L78" i="39"/>
  <c r="N78" i="39" s="1"/>
  <c r="L79" i="39"/>
  <c r="N79" i="39" s="1"/>
  <c r="L80" i="39"/>
  <c r="N80" i="39" s="1"/>
  <c r="L81" i="39"/>
  <c r="N81" i="39" s="1"/>
  <c r="L82" i="39"/>
  <c r="N82" i="39" s="1"/>
  <c r="L83" i="39"/>
  <c r="N83" i="39" s="1"/>
  <c r="L84" i="39"/>
  <c r="N84" i="39" s="1"/>
  <c r="L85" i="39"/>
  <c r="N85" i="39" s="1"/>
  <c r="L86" i="39"/>
  <c r="N86" i="39" s="1"/>
  <c r="L87" i="39"/>
  <c r="N87" i="39" s="1"/>
  <c r="L88" i="39"/>
  <c r="N88" i="39" s="1"/>
  <c r="L89" i="39"/>
  <c r="N89" i="39" s="1"/>
  <c r="L90" i="39"/>
  <c r="N90" i="39" s="1"/>
  <c r="L91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N43" i="39"/>
  <c r="N59" i="39"/>
  <c r="N75" i="39"/>
  <c r="N76" i="39"/>
  <c r="N91" i="39"/>
  <c r="A7" i="29" l="1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A59" i="29"/>
  <c r="A60" i="29"/>
  <c r="A61" i="29"/>
  <c r="A62" i="29"/>
  <c r="A63" i="29"/>
  <c r="A64" i="29"/>
  <c r="A65" i="29"/>
  <c r="A66" i="29"/>
  <c r="A67" i="29"/>
  <c r="A68" i="29"/>
  <c r="A69" i="29"/>
  <c r="A70" i="29"/>
  <c r="C7" i="29"/>
  <c r="C8" i="29"/>
  <c r="C9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33" i="29"/>
  <c r="C34" i="29"/>
  <c r="C35" i="29"/>
  <c r="C36" i="29"/>
  <c r="C37" i="29"/>
  <c r="C38" i="29"/>
  <c r="C39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C52" i="29"/>
  <c r="C53" i="29"/>
  <c r="C54" i="29"/>
  <c r="C55" i="29"/>
  <c r="C56" i="29"/>
  <c r="C57" i="29"/>
  <c r="C58" i="29"/>
  <c r="C59" i="29"/>
  <c r="C60" i="29"/>
  <c r="C61" i="29"/>
  <c r="C62" i="29"/>
  <c r="C63" i="29"/>
  <c r="C64" i="29"/>
  <c r="C65" i="29"/>
  <c r="C66" i="29"/>
  <c r="C67" i="29"/>
  <c r="C68" i="29"/>
  <c r="C69" i="29"/>
  <c r="C70" i="29"/>
  <c r="E7" i="29"/>
  <c r="E8" i="29"/>
  <c r="E9" i="29"/>
  <c r="E10" i="29"/>
  <c r="E11" i="29"/>
  <c r="E12" i="29"/>
  <c r="E13" i="29"/>
  <c r="E14" i="29"/>
  <c r="E15" i="29"/>
  <c r="E16" i="29"/>
  <c r="E17" i="29"/>
  <c r="AK17" i="29" s="1"/>
  <c r="E18" i="29"/>
  <c r="E19" i="29"/>
  <c r="E20" i="29"/>
  <c r="AK20" i="29" s="1"/>
  <c r="E21" i="29"/>
  <c r="E22" i="29"/>
  <c r="E23" i="29"/>
  <c r="E24" i="29"/>
  <c r="E25" i="29"/>
  <c r="E26" i="29"/>
  <c r="E27" i="29"/>
  <c r="AK27" i="29" s="1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42" i="29"/>
  <c r="E43" i="29"/>
  <c r="E44" i="29"/>
  <c r="E45" i="29"/>
  <c r="E46" i="29"/>
  <c r="E47" i="29"/>
  <c r="E48" i="29"/>
  <c r="AQ48" i="29" s="1"/>
  <c r="E49" i="29"/>
  <c r="E50" i="29"/>
  <c r="E51" i="29"/>
  <c r="E52" i="29"/>
  <c r="E53" i="29"/>
  <c r="E54" i="29"/>
  <c r="E55" i="29"/>
  <c r="E56" i="29"/>
  <c r="E57" i="29"/>
  <c r="E58" i="29"/>
  <c r="E59" i="29"/>
  <c r="E60" i="29"/>
  <c r="E61" i="29"/>
  <c r="AK61" i="29" s="1"/>
  <c r="E62" i="29"/>
  <c r="E63" i="29"/>
  <c r="E64" i="29"/>
  <c r="E65" i="29"/>
  <c r="E66" i="29"/>
  <c r="E67" i="29"/>
  <c r="E68" i="29"/>
  <c r="E69" i="29"/>
  <c r="E70" i="29"/>
  <c r="AK70" i="29" s="1"/>
  <c r="H7" i="29"/>
  <c r="H8" i="29"/>
  <c r="H9" i="29"/>
  <c r="H10" i="29"/>
  <c r="H11" i="29"/>
  <c r="H12" i="29"/>
  <c r="H13" i="29"/>
  <c r="H14" i="29"/>
  <c r="H15" i="29"/>
  <c r="H16" i="29"/>
  <c r="H17" i="29"/>
  <c r="H18" i="29"/>
  <c r="H19" i="29"/>
  <c r="H20" i="29"/>
  <c r="H21" i="29"/>
  <c r="H22" i="29"/>
  <c r="H23" i="29"/>
  <c r="H24" i="29"/>
  <c r="H25" i="29"/>
  <c r="H26" i="29"/>
  <c r="H27" i="29"/>
  <c r="H28" i="29"/>
  <c r="H29" i="29"/>
  <c r="H30" i="29"/>
  <c r="H31" i="29"/>
  <c r="H32" i="29"/>
  <c r="H33" i="29"/>
  <c r="H34" i="29"/>
  <c r="H35" i="29"/>
  <c r="H36" i="29"/>
  <c r="H37" i="29"/>
  <c r="H38" i="29"/>
  <c r="H39" i="29"/>
  <c r="H40" i="29"/>
  <c r="H41" i="29"/>
  <c r="H42" i="29"/>
  <c r="H43" i="29"/>
  <c r="H44" i="29"/>
  <c r="H45" i="29"/>
  <c r="H46" i="29"/>
  <c r="H47" i="29"/>
  <c r="H48" i="29"/>
  <c r="H49" i="29"/>
  <c r="H50" i="29"/>
  <c r="H51" i="29"/>
  <c r="H52" i="29"/>
  <c r="H53" i="29"/>
  <c r="H54" i="29"/>
  <c r="H55" i="29"/>
  <c r="H56" i="29"/>
  <c r="H57" i="29"/>
  <c r="H58" i="29"/>
  <c r="H59" i="29"/>
  <c r="H60" i="29"/>
  <c r="H61" i="29"/>
  <c r="H62" i="29"/>
  <c r="H63" i="29"/>
  <c r="H64" i="29"/>
  <c r="H65" i="29"/>
  <c r="H66" i="29"/>
  <c r="H67" i="29"/>
  <c r="H68" i="29"/>
  <c r="H69" i="29"/>
  <c r="H70" i="29"/>
  <c r="I7" i="29"/>
  <c r="I8" i="29"/>
  <c r="I9" i="29"/>
  <c r="I10" i="29"/>
  <c r="J10" i="29" s="1"/>
  <c r="K10" i="29" s="1"/>
  <c r="I11" i="29"/>
  <c r="J11" i="29" s="1"/>
  <c r="G11" i="29" s="1"/>
  <c r="I12" i="29"/>
  <c r="I13" i="29"/>
  <c r="I14" i="29"/>
  <c r="I15" i="29"/>
  <c r="I16" i="29"/>
  <c r="I17" i="29"/>
  <c r="I18" i="29"/>
  <c r="I19" i="29"/>
  <c r="J19" i="29" s="1"/>
  <c r="G19" i="29" s="1"/>
  <c r="I20" i="29"/>
  <c r="I21" i="29"/>
  <c r="I22" i="29"/>
  <c r="I23" i="29"/>
  <c r="I24" i="29"/>
  <c r="I25" i="29"/>
  <c r="I26" i="29"/>
  <c r="I27" i="29"/>
  <c r="J27" i="29" s="1"/>
  <c r="G27" i="29" s="1"/>
  <c r="I28" i="29"/>
  <c r="I29" i="29"/>
  <c r="I30" i="29"/>
  <c r="I31" i="29"/>
  <c r="J31" i="29" s="1"/>
  <c r="G31" i="29" s="1"/>
  <c r="I32" i="29"/>
  <c r="I33" i="29"/>
  <c r="I34" i="29"/>
  <c r="I35" i="29"/>
  <c r="I36" i="29"/>
  <c r="I37" i="29"/>
  <c r="I38" i="29"/>
  <c r="I39" i="29"/>
  <c r="I40" i="29"/>
  <c r="I41" i="29"/>
  <c r="I42" i="29"/>
  <c r="I43" i="29"/>
  <c r="I44" i="29"/>
  <c r="I45" i="29"/>
  <c r="I46" i="29"/>
  <c r="I47" i="29"/>
  <c r="J47" i="29" s="1"/>
  <c r="G47" i="29" s="1"/>
  <c r="I48" i="29"/>
  <c r="I49" i="29"/>
  <c r="I50" i="29"/>
  <c r="I51" i="29"/>
  <c r="J51" i="29" s="1"/>
  <c r="G51" i="29" s="1"/>
  <c r="I52" i="29"/>
  <c r="I53" i="29"/>
  <c r="I54" i="29"/>
  <c r="I55" i="29"/>
  <c r="I56" i="29"/>
  <c r="I57" i="29"/>
  <c r="I58" i="29"/>
  <c r="I59" i="29"/>
  <c r="J59" i="29" s="1"/>
  <c r="G59" i="29" s="1"/>
  <c r="I60" i="29"/>
  <c r="I61" i="29"/>
  <c r="I62" i="29"/>
  <c r="I63" i="29"/>
  <c r="J63" i="29" s="1"/>
  <c r="G63" i="29" s="1"/>
  <c r="I64" i="29"/>
  <c r="I65" i="29"/>
  <c r="I66" i="29"/>
  <c r="I67" i="29"/>
  <c r="I68" i="29"/>
  <c r="I69" i="29"/>
  <c r="I70" i="29"/>
  <c r="J7" i="29"/>
  <c r="G7" i="29" s="1"/>
  <c r="J8" i="29"/>
  <c r="G8" i="29" s="1"/>
  <c r="J9" i="29"/>
  <c r="G9" i="29" s="1"/>
  <c r="N7" i="29"/>
  <c r="N8" i="29"/>
  <c r="N9" i="29"/>
  <c r="N10" i="29"/>
  <c r="N11" i="29"/>
  <c r="N12" i="29"/>
  <c r="N13" i="29"/>
  <c r="N14" i="29"/>
  <c r="N15" i="29"/>
  <c r="N16" i="29"/>
  <c r="N17" i="29"/>
  <c r="N18" i="29"/>
  <c r="N19" i="29"/>
  <c r="N20" i="29"/>
  <c r="N21" i="29"/>
  <c r="N22" i="29"/>
  <c r="N23" i="29"/>
  <c r="N24" i="29"/>
  <c r="N25" i="29"/>
  <c r="N26" i="29"/>
  <c r="N27" i="29"/>
  <c r="N28" i="29"/>
  <c r="N29" i="29"/>
  <c r="N30" i="29"/>
  <c r="N31" i="29"/>
  <c r="N32" i="29"/>
  <c r="N33" i="29"/>
  <c r="N34" i="29"/>
  <c r="N35" i="29"/>
  <c r="N36" i="29"/>
  <c r="N37" i="29"/>
  <c r="N38" i="29"/>
  <c r="N39" i="29"/>
  <c r="N40" i="29"/>
  <c r="N41" i="29"/>
  <c r="N42" i="29"/>
  <c r="N43" i="29"/>
  <c r="N44" i="29"/>
  <c r="N45" i="29"/>
  <c r="N46" i="29"/>
  <c r="N47" i="29"/>
  <c r="N48" i="29"/>
  <c r="N49" i="29"/>
  <c r="N50" i="29"/>
  <c r="N51" i="29"/>
  <c r="N52" i="29"/>
  <c r="N53" i="29"/>
  <c r="N54" i="29"/>
  <c r="N55" i="29"/>
  <c r="N56" i="29"/>
  <c r="N57" i="29"/>
  <c r="N58" i="29"/>
  <c r="N59" i="29"/>
  <c r="N60" i="29"/>
  <c r="N61" i="29"/>
  <c r="N62" i="29"/>
  <c r="N63" i="29"/>
  <c r="N64" i="29"/>
  <c r="N65" i="29"/>
  <c r="N66" i="29"/>
  <c r="N67" i="29"/>
  <c r="N68" i="29"/>
  <c r="N69" i="29"/>
  <c r="N70" i="29"/>
  <c r="O7" i="29"/>
  <c r="O8" i="29"/>
  <c r="O9" i="29"/>
  <c r="P9" i="29" s="1"/>
  <c r="Q9" i="29" s="1"/>
  <c r="O10" i="29"/>
  <c r="O11" i="29"/>
  <c r="O12" i="29"/>
  <c r="O13" i="29"/>
  <c r="O14" i="29"/>
  <c r="O15" i="29"/>
  <c r="O16" i="29"/>
  <c r="O17" i="29"/>
  <c r="O18" i="29"/>
  <c r="O19" i="29"/>
  <c r="O20" i="29"/>
  <c r="O21" i="29"/>
  <c r="O22" i="29"/>
  <c r="O23" i="29"/>
  <c r="O24" i="29"/>
  <c r="O25" i="29"/>
  <c r="O26" i="29"/>
  <c r="O27" i="29"/>
  <c r="P27" i="29" s="1"/>
  <c r="M27" i="29" s="1"/>
  <c r="O28" i="29"/>
  <c r="O29" i="29"/>
  <c r="O30" i="29"/>
  <c r="O31" i="29"/>
  <c r="O32" i="29"/>
  <c r="O33" i="29"/>
  <c r="O34" i="29"/>
  <c r="O35" i="29"/>
  <c r="O36" i="29"/>
  <c r="O37" i="29"/>
  <c r="O38" i="29"/>
  <c r="O39" i="29"/>
  <c r="P39" i="29" s="1"/>
  <c r="M39" i="29" s="1"/>
  <c r="O40" i="29"/>
  <c r="O41" i="29"/>
  <c r="O42" i="29"/>
  <c r="O43" i="29"/>
  <c r="O44" i="29"/>
  <c r="O45" i="29"/>
  <c r="O46" i="29"/>
  <c r="O47" i="29"/>
  <c r="O48" i="29"/>
  <c r="O49" i="29"/>
  <c r="O50" i="29"/>
  <c r="O51" i="29"/>
  <c r="P51" i="29" s="1"/>
  <c r="M51" i="29" s="1"/>
  <c r="O52" i="29"/>
  <c r="O53" i="29"/>
  <c r="O54" i="29"/>
  <c r="O55" i="29"/>
  <c r="O56" i="29"/>
  <c r="O57" i="29"/>
  <c r="O58" i="29"/>
  <c r="O59" i="29"/>
  <c r="O60" i="29"/>
  <c r="O61" i="29"/>
  <c r="O62" i="29"/>
  <c r="O63" i="29"/>
  <c r="O64" i="29"/>
  <c r="O65" i="29"/>
  <c r="O66" i="29"/>
  <c r="O67" i="29"/>
  <c r="O68" i="29"/>
  <c r="O69" i="29"/>
  <c r="O70" i="29"/>
  <c r="P7" i="29"/>
  <c r="M7" i="29" s="1"/>
  <c r="P8" i="29"/>
  <c r="T7" i="29"/>
  <c r="T8" i="29"/>
  <c r="T9" i="29"/>
  <c r="T10" i="29"/>
  <c r="T11" i="29"/>
  <c r="T12" i="29"/>
  <c r="T13" i="29"/>
  <c r="T14" i="29"/>
  <c r="T15" i="29"/>
  <c r="T16" i="29"/>
  <c r="T17" i="29"/>
  <c r="T18" i="29"/>
  <c r="T19" i="29"/>
  <c r="T20" i="29"/>
  <c r="T21" i="29"/>
  <c r="T22" i="29"/>
  <c r="T23" i="29"/>
  <c r="T24" i="29"/>
  <c r="T25" i="29"/>
  <c r="T26" i="29"/>
  <c r="T27" i="29"/>
  <c r="T28" i="29"/>
  <c r="T29" i="29"/>
  <c r="T30" i="29"/>
  <c r="T31" i="29"/>
  <c r="T32" i="29"/>
  <c r="T33" i="29"/>
  <c r="T34" i="29"/>
  <c r="T35" i="29"/>
  <c r="T36" i="29"/>
  <c r="T37" i="29"/>
  <c r="T38" i="29"/>
  <c r="T39" i="29"/>
  <c r="T40" i="29"/>
  <c r="T41" i="29"/>
  <c r="T42" i="29"/>
  <c r="T43" i="29"/>
  <c r="T44" i="29"/>
  <c r="T45" i="29"/>
  <c r="T46" i="29"/>
  <c r="T47" i="29"/>
  <c r="T48" i="29"/>
  <c r="T49" i="29"/>
  <c r="T50" i="29"/>
  <c r="T51" i="29"/>
  <c r="T52" i="29"/>
  <c r="T53" i="29"/>
  <c r="T54" i="29"/>
  <c r="T55" i="29"/>
  <c r="T56" i="29"/>
  <c r="T57" i="29"/>
  <c r="T58" i="29"/>
  <c r="T59" i="29"/>
  <c r="T60" i="29"/>
  <c r="T61" i="29"/>
  <c r="T62" i="29"/>
  <c r="T63" i="29"/>
  <c r="T64" i="29"/>
  <c r="T65" i="29"/>
  <c r="T66" i="29"/>
  <c r="T67" i="29"/>
  <c r="T68" i="29"/>
  <c r="T69" i="29"/>
  <c r="T70" i="29"/>
  <c r="U7" i="29"/>
  <c r="U8" i="29"/>
  <c r="U9" i="29"/>
  <c r="U10" i="29"/>
  <c r="U11" i="29"/>
  <c r="U12" i="29"/>
  <c r="U13" i="29"/>
  <c r="U14" i="29"/>
  <c r="U15" i="29"/>
  <c r="U16" i="29"/>
  <c r="U17" i="29"/>
  <c r="U18" i="29"/>
  <c r="U19" i="29"/>
  <c r="U20" i="29"/>
  <c r="U21" i="29"/>
  <c r="V21" i="29" s="1"/>
  <c r="W21" i="29" s="1"/>
  <c r="U22" i="29"/>
  <c r="U23" i="29"/>
  <c r="U24" i="29"/>
  <c r="V24" i="29" s="1"/>
  <c r="W24" i="29" s="1"/>
  <c r="U25" i="29"/>
  <c r="U26" i="29"/>
  <c r="U27" i="29"/>
  <c r="U28" i="29"/>
  <c r="V28" i="29" s="1"/>
  <c r="W28" i="29" s="1"/>
  <c r="U29" i="29"/>
  <c r="U30" i="29"/>
  <c r="U31" i="29"/>
  <c r="U32" i="29"/>
  <c r="U33" i="29"/>
  <c r="V33" i="29" s="1"/>
  <c r="W33" i="29" s="1"/>
  <c r="U34" i="29"/>
  <c r="U35" i="29"/>
  <c r="V35" i="29" s="1"/>
  <c r="W35" i="29" s="1"/>
  <c r="U36" i="29"/>
  <c r="V36" i="29" s="1"/>
  <c r="W36" i="29" s="1"/>
  <c r="U37" i="29"/>
  <c r="U38" i="29"/>
  <c r="U39" i="29"/>
  <c r="U40" i="29"/>
  <c r="U41" i="29"/>
  <c r="U42" i="29"/>
  <c r="U43" i="29"/>
  <c r="U44" i="29"/>
  <c r="V44" i="29" s="1"/>
  <c r="W44" i="29" s="1"/>
  <c r="U45" i="29"/>
  <c r="U46" i="29"/>
  <c r="U47" i="29"/>
  <c r="V47" i="29" s="1"/>
  <c r="W47" i="29" s="1"/>
  <c r="U48" i="29"/>
  <c r="V48" i="29" s="1"/>
  <c r="W48" i="29" s="1"/>
  <c r="U49" i="29"/>
  <c r="U50" i="29"/>
  <c r="U51" i="29"/>
  <c r="V51" i="29" s="1"/>
  <c r="W51" i="29" s="1"/>
  <c r="U52" i="29"/>
  <c r="V52" i="29" s="1"/>
  <c r="W52" i="29" s="1"/>
  <c r="U53" i="29"/>
  <c r="U54" i="29"/>
  <c r="U55" i="29"/>
  <c r="U56" i="29"/>
  <c r="V56" i="29" s="1"/>
  <c r="W56" i="29" s="1"/>
  <c r="U57" i="29"/>
  <c r="U58" i="29"/>
  <c r="U59" i="29"/>
  <c r="V59" i="29" s="1"/>
  <c r="W59" i="29" s="1"/>
  <c r="U60" i="29"/>
  <c r="V60" i="29" s="1"/>
  <c r="W60" i="29" s="1"/>
  <c r="U61" i="29"/>
  <c r="U62" i="29"/>
  <c r="U63" i="29"/>
  <c r="U64" i="29"/>
  <c r="V64" i="29" s="1"/>
  <c r="W64" i="29" s="1"/>
  <c r="U65" i="29"/>
  <c r="U66" i="29"/>
  <c r="U67" i="29"/>
  <c r="V67" i="29" s="1"/>
  <c r="W67" i="29" s="1"/>
  <c r="U68" i="29"/>
  <c r="V68" i="29" s="1"/>
  <c r="W68" i="29" s="1"/>
  <c r="U69" i="29"/>
  <c r="U70" i="29"/>
  <c r="V7" i="29"/>
  <c r="W7" i="29" s="1"/>
  <c r="V8" i="29"/>
  <c r="W8" i="29" s="1"/>
  <c r="V9" i="29"/>
  <c r="W9" i="29" s="1"/>
  <c r="V10" i="29"/>
  <c r="W10" i="29" s="1"/>
  <c r="V11" i="29"/>
  <c r="W11" i="29" s="1"/>
  <c r="V12" i="29"/>
  <c r="W12" i="29" s="1"/>
  <c r="V13" i="29"/>
  <c r="W13" i="29" s="1"/>
  <c r="V14" i="29"/>
  <c r="W14" i="29" s="1"/>
  <c r="V15" i="29"/>
  <c r="W15" i="29" s="1"/>
  <c r="V16" i="29"/>
  <c r="W16" i="29" s="1"/>
  <c r="V17" i="29"/>
  <c r="W17" i="29" s="1"/>
  <c r="V18" i="29"/>
  <c r="W18" i="29" s="1"/>
  <c r="V19" i="29"/>
  <c r="W19" i="29" s="1"/>
  <c r="V20" i="29"/>
  <c r="W20" i="29" s="1"/>
  <c r="Z7" i="29"/>
  <c r="Z8" i="29"/>
  <c r="Z9" i="29"/>
  <c r="Z10" i="29"/>
  <c r="Z11" i="29"/>
  <c r="AB11" i="29" s="1"/>
  <c r="Y11" i="29" s="1"/>
  <c r="Z12" i="29"/>
  <c r="Z13" i="29"/>
  <c r="Z14" i="29"/>
  <c r="Z15" i="29"/>
  <c r="Z16" i="29"/>
  <c r="Z17" i="29"/>
  <c r="Z18" i="29"/>
  <c r="Z19" i="29"/>
  <c r="AB19" i="29" s="1"/>
  <c r="Y19" i="29" s="1"/>
  <c r="Z20" i="29"/>
  <c r="Z21" i="29"/>
  <c r="Z22" i="29"/>
  <c r="Z23" i="29"/>
  <c r="Z24" i="29"/>
  <c r="Z25" i="29"/>
  <c r="Z26" i="29"/>
  <c r="Z27" i="29"/>
  <c r="AB27" i="29" s="1"/>
  <c r="Y27" i="29" s="1"/>
  <c r="Z28" i="29"/>
  <c r="AB28" i="29" s="1"/>
  <c r="Z29" i="29"/>
  <c r="Z30" i="29"/>
  <c r="Z31" i="29"/>
  <c r="Z32" i="29"/>
  <c r="Z33" i="29"/>
  <c r="Z34" i="29"/>
  <c r="Z35" i="29"/>
  <c r="AB35" i="29" s="1"/>
  <c r="Y35" i="29" s="1"/>
  <c r="Z36" i="29"/>
  <c r="Z37" i="29"/>
  <c r="Z38" i="29"/>
  <c r="Z39" i="29"/>
  <c r="Z40" i="29"/>
  <c r="Z41" i="29"/>
  <c r="Z42" i="29"/>
  <c r="Z43" i="29"/>
  <c r="Z44" i="29"/>
  <c r="Z45" i="29"/>
  <c r="Z46" i="29"/>
  <c r="Z47" i="29"/>
  <c r="Z48" i="29"/>
  <c r="Z49" i="29"/>
  <c r="Z50" i="29"/>
  <c r="Z51" i="29"/>
  <c r="Z52" i="29"/>
  <c r="Z53" i="29"/>
  <c r="Z54" i="29"/>
  <c r="Z55" i="29"/>
  <c r="Z56" i="29"/>
  <c r="Z57" i="29"/>
  <c r="Z58" i="29"/>
  <c r="Z59" i="29"/>
  <c r="Z60" i="29"/>
  <c r="Z61" i="29"/>
  <c r="Z62" i="29"/>
  <c r="Z63" i="29"/>
  <c r="Z64" i="29"/>
  <c r="Z65" i="29"/>
  <c r="Z66" i="29"/>
  <c r="Z67" i="29"/>
  <c r="Z68" i="29"/>
  <c r="Z69" i="29"/>
  <c r="Z70" i="29"/>
  <c r="AA7" i="29"/>
  <c r="AA8" i="29"/>
  <c r="AA9" i="29"/>
  <c r="AA10" i="29"/>
  <c r="AA11" i="29"/>
  <c r="AA12" i="29"/>
  <c r="AA13" i="29"/>
  <c r="AA14" i="29"/>
  <c r="AA15" i="29"/>
  <c r="AA16" i="29"/>
  <c r="AA17" i="29"/>
  <c r="AA18" i="29"/>
  <c r="AA19" i="29"/>
  <c r="AA20" i="29"/>
  <c r="AA21" i="29"/>
  <c r="AA22" i="29"/>
  <c r="AA23" i="29"/>
  <c r="AA24" i="29"/>
  <c r="AA25" i="29"/>
  <c r="AA26" i="29"/>
  <c r="AA27" i="29"/>
  <c r="AA28" i="29"/>
  <c r="AA29" i="29"/>
  <c r="AA30" i="29"/>
  <c r="AA31" i="29"/>
  <c r="AA32" i="29"/>
  <c r="AA33" i="29"/>
  <c r="AA34" i="29"/>
  <c r="AA35" i="29"/>
  <c r="AA36" i="29"/>
  <c r="AA37" i="29"/>
  <c r="AA38" i="29"/>
  <c r="AA39" i="29"/>
  <c r="AA40" i="29"/>
  <c r="AA41" i="29"/>
  <c r="AA42" i="29"/>
  <c r="AA43" i="29"/>
  <c r="AA44" i="29"/>
  <c r="AB44" i="29" s="1"/>
  <c r="AA45" i="29"/>
  <c r="AA46" i="29"/>
  <c r="AA47" i="29"/>
  <c r="AA48" i="29"/>
  <c r="AA49" i="29"/>
  <c r="AB49" i="29" s="1"/>
  <c r="AA50" i="29"/>
  <c r="AA51" i="29"/>
  <c r="AA52" i="29"/>
  <c r="AA53" i="29"/>
  <c r="AA54" i="29"/>
  <c r="AA55" i="29"/>
  <c r="AA56" i="29"/>
  <c r="AA57" i="29"/>
  <c r="AA58" i="29"/>
  <c r="AB58" i="29" s="1"/>
  <c r="AA59" i="29"/>
  <c r="AB59" i="29" s="1"/>
  <c r="Y59" i="29" s="1"/>
  <c r="AA60" i="29"/>
  <c r="AA61" i="29"/>
  <c r="AA62" i="29"/>
  <c r="AA63" i="29"/>
  <c r="AA64" i="29"/>
  <c r="AB64" i="29" s="1"/>
  <c r="AA65" i="29"/>
  <c r="AA66" i="29"/>
  <c r="AA67" i="29"/>
  <c r="AA68" i="29"/>
  <c r="AB68" i="29" s="1"/>
  <c r="AA69" i="29"/>
  <c r="AA70" i="29"/>
  <c r="AB7" i="29"/>
  <c r="Y7" i="29" s="1"/>
  <c r="AB8" i="29"/>
  <c r="AB9" i="29"/>
  <c r="AB12" i="29"/>
  <c r="AB13" i="29"/>
  <c r="AB14" i="29"/>
  <c r="AB15" i="29"/>
  <c r="Y15" i="29" s="1"/>
  <c r="AB16" i="29"/>
  <c r="AB17" i="29"/>
  <c r="AB20" i="29"/>
  <c r="AB21" i="29"/>
  <c r="AB22" i="29"/>
  <c r="AB23" i="29"/>
  <c r="Y23" i="29" s="1"/>
  <c r="AB24" i="29"/>
  <c r="AB25" i="29"/>
  <c r="AB29" i="29"/>
  <c r="AB30" i="29"/>
  <c r="AB31" i="29"/>
  <c r="Y31" i="29" s="1"/>
  <c r="AB32" i="29"/>
  <c r="AB33" i="29"/>
  <c r="AF7" i="29"/>
  <c r="AF8" i="29"/>
  <c r="AF9" i="29"/>
  <c r="AF10" i="29"/>
  <c r="AF11" i="29"/>
  <c r="AF12" i="29"/>
  <c r="AF13" i="29"/>
  <c r="AF14" i="29"/>
  <c r="AF15" i="29"/>
  <c r="AF16" i="29"/>
  <c r="AF17" i="29"/>
  <c r="AF18" i="29"/>
  <c r="AF19" i="29"/>
  <c r="AF20" i="29"/>
  <c r="AF21" i="29"/>
  <c r="AF22" i="29"/>
  <c r="AF23" i="29"/>
  <c r="AF24" i="29"/>
  <c r="AF25" i="29"/>
  <c r="AF26" i="29"/>
  <c r="AF27" i="29"/>
  <c r="AF28" i="29"/>
  <c r="AF29" i="29"/>
  <c r="AF30" i="29"/>
  <c r="AF31" i="29"/>
  <c r="AF32" i="29"/>
  <c r="AF33" i="29"/>
  <c r="AF34" i="29"/>
  <c r="AF35" i="29"/>
  <c r="AF36" i="29"/>
  <c r="AF37" i="29"/>
  <c r="AF38" i="29"/>
  <c r="AF39" i="29"/>
  <c r="AF40" i="29"/>
  <c r="AF41" i="29"/>
  <c r="AF42" i="29"/>
  <c r="AF43" i="29"/>
  <c r="AF44" i="29"/>
  <c r="AF45" i="29"/>
  <c r="AF46" i="29"/>
  <c r="AF47" i="29"/>
  <c r="AF48" i="29"/>
  <c r="AF49" i="29"/>
  <c r="AF50" i="29"/>
  <c r="AF51" i="29"/>
  <c r="AF52" i="29"/>
  <c r="AF53" i="29"/>
  <c r="AF54" i="29"/>
  <c r="AF55" i="29"/>
  <c r="AF56" i="29"/>
  <c r="AF57" i="29"/>
  <c r="AF58" i="29"/>
  <c r="AF59" i="29"/>
  <c r="AF60" i="29"/>
  <c r="AF61" i="29"/>
  <c r="AF62" i="29"/>
  <c r="AF63" i="29"/>
  <c r="AF64" i="29"/>
  <c r="AF65" i="29"/>
  <c r="AF66" i="29"/>
  <c r="AF67" i="29"/>
  <c r="AF68" i="29"/>
  <c r="AF69" i="29"/>
  <c r="AF70" i="29"/>
  <c r="AG7" i="29"/>
  <c r="AG8" i="29"/>
  <c r="AG9" i="29"/>
  <c r="AG10" i="29"/>
  <c r="AG11" i="29"/>
  <c r="AG12" i="29"/>
  <c r="AG13" i="29"/>
  <c r="AH13" i="29" s="1"/>
  <c r="AI13" i="29" s="1"/>
  <c r="AG14" i="29"/>
  <c r="AG15" i="29"/>
  <c r="AG16" i="29"/>
  <c r="AG17" i="29"/>
  <c r="AH17" i="29" s="1"/>
  <c r="AI17" i="29" s="1"/>
  <c r="AG18" i="29"/>
  <c r="AG19" i="29"/>
  <c r="AG20" i="29"/>
  <c r="AG21" i="29"/>
  <c r="AH21" i="29" s="1"/>
  <c r="AI21" i="29" s="1"/>
  <c r="AG22" i="29"/>
  <c r="AG23" i="29"/>
  <c r="AG24" i="29"/>
  <c r="AG25" i="29"/>
  <c r="AH25" i="29" s="1"/>
  <c r="AI25" i="29" s="1"/>
  <c r="AG26" i="29"/>
  <c r="AG27" i="29"/>
  <c r="AG28" i="29"/>
  <c r="AG29" i="29"/>
  <c r="AH29" i="29" s="1"/>
  <c r="AI29" i="29" s="1"/>
  <c r="AG30" i="29"/>
  <c r="AG31" i="29"/>
  <c r="AG32" i="29"/>
  <c r="AG33" i="29"/>
  <c r="AH33" i="29" s="1"/>
  <c r="AI33" i="29" s="1"/>
  <c r="AG34" i="29"/>
  <c r="AG35" i="29"/>
  <c r="AG36" i="29"/>
  <c r="AG37" i="29"/>
  <c r="AH37" i="29" s="1"/>
  <c r="AI37" i="29" s="1"/>
  <c r="AG38" i="29"/>
  <c r="AG39" i="29"/>
  <c r="AG40" i="29"/>
  <c r="AG41" i="29"/>
  <c r="AH41" i="29" s="1"/>
  <c r="AI41" i="29" s="1"/>
  <c r="AG42" i="29"/>
  <c r="AH42" i="29" s="1"/>
  <c r="AI42" i="29" s="1"/>
  <c r="AG43" i="29"/>
  <c r="AG44" i="29"/>
  <c r="AG45" i="29"/>
  <c r="AH45" i="29" s="1"/>
  <c r="AI45" i="29" s="1"/>
  <c r="AG46" i="29"/>
  <c r="AH46" i="29" s="1"/>
  <c r="AI46" i="29" s="1"/>
  <c r="AG47" i="29"/>
  <c r="AG48" i="29"/>
  <c r="AG49" i="29"/>
  <c r="AG50" i="29"/>
  <c r="AG51" i="29"/>
  <c r="AG52" i="29"/>
  <c r="AG53" i="29"/>
  <c r="AH53" i="29" s="1"/>
  <c r="AI53" i="29" s="1"/>
  <c r="AG54" i="29"/>
  <c r="AG55" i="29"/>
  <c r="AG56" i="29"/>
  <c r="AG57" i="29"/>
  <c r="AG58" i="29"/>
  <c r="AG59" i="29"/>
  <c r="AG60" i="29"/>
  <c r="AG61" i="29"/>
  <c r="AG62" i="29"/>
  <c r="AG63" i="29"/>
  <c r="AG64" i="29"/>
  <c r="AG65" i="29"/>
  <c r="AG66" i="29"/>
  <c r="AG67" i="29"/>
  <c r="AG68" i="29"/>
  <c r="AG69" i="29"/>
  <c r="AG70" i="29"/>
  <c r="AH7" i="29"/>
  <c r="AI7" i="29" s="1"/>
  <c r="AH8" i="29"/>
  <c r="AH9" i="29"/>
  <c r="AH10" i="29"/>
  <c r="AI10" i="29" s="1"/>
  <c r="AH11" i="29"/>
  <c r="AI11" i="29" s="1"/>
  <c r="AH12" i="29"/>
  <c r="AK19" i="29"/>
  <c r="AL7" i="29"/>
  <c r="AL8" i="29"/>
  <c r="AL9" i="29"/>
  <c r="AL10" i="29"/>
  <c r="AL11" i="29"/>
  <c r="AL12" i="29"/>
  <c r="AL13" i="29"/>
  <c r="AL14" i="29"/>
  <c r="AL15" i="29"/>
  <c r="AL16" i="29"/>
  <c r="AL17" i="29"/>
  <c r="AL18" i="29"/>
  <c r="AL19" i="29"/>
  <c r="AL20" i="29"/>
  <c r="AL21" i="29"/>
  <c r="AL22" i="29"/>
  <c r="AL23" i="29"/>
  <c r="AL24" i="29"/>
  <c r="AL25" i="29"/>
  <c r="AL26" i="29"/>
  <c r="AL27" i="29"/>
  <c r="AL28" i="29"/>
  <c r="AL29" i="29"/>
  <c r="AL30" i="29"/>
  <c r="AL31" i="29"/>
  <c r="AL32" i="29"/>
  <c r="AL33" i="29"/>
  <c r="AL34" i="29"/>
  <c r="AL35" i="29"/>
  <c r="AL36" i="29"/>
  <c r="AL37" i="29"/>
  <c r="AL38" i="29"/>
  <c r="AL39" i="29"/>
  <c r="AL40" i="29"/>
  <c r="AL41" i="29"/>
  <c r="AL42" i="29"/>
  <c r="AL43" i="29"/>
  <c r="AL44" i="29"/>
  <c r="AL45" i="29"/>
  <c r="AL46" i="29"/>
  <c r="AL47" i="29"/>
  <c r="AL48" i="29"/>
  <c r="AL49" i="29"/>
  <c r="AL50" i="29"/>
  <c r="AL51" i="29"/>
  <c r="AL52" i="29"/>
  <c r="AL53" i="29"/>
  <c r="AL54" i="29"/>
  <c r="AL55" i="29"/>
  <c r="AL56" i="29"/>
  <c r="AL57" i="29"/>
  <c r="AL58" i="29"/>
  <c r="AL59" i="29"/>
  <c r="AL60" i="29"/>
  <c r="AL61" i="29"/>
  <c r="AL62" i="29"/>
  <c r="AL63" i="29"/>
  <c r="AL64" i="29"/>
  <c r="AL65" i="29"/>
  <c r="AL66" i="29"/>
  <c r="AL67" i="29"/>
  <c r="AL68" i="29"/>
  <c r="AL69" i="29"/>
  <c r="AL70" i="29"/>
  <c r="AM7" i="29"/>
  <c r="AM8" i="29"/>
  <c r="AM9" i="29"/>
  <c r="AM10" i="29"/>
  <c r="AM11" i="29"/>
  <c r="AM12" i="29"/>
  <c r="AM13" i="29"/>
  <c r="AM14" i="29"/>
  <c r="AN14" i="29" s="1"/>
  <c r="AO14" i="29" s="1"/>
  <c r="AM15" i="29"/>
  <c r="AM16" i="29"/>
  <c r="AM17" i="29"/>
  <c r="AM18" i="29"/>
  <c r="AN18" i="29" s="1"/>
  <c r="AO18" i="29" s="1"/>
  <c r="AM19" i="29"/>
  <c r="AM20" i="29"/>
  <c r="AM21" i="29"/>
  <c r="AN21" i="29" s="1"/>
  <c r="AO21" i="29" s="1"/>
  <c r="AM22" i="29"/>
  <c r="AN22" i="29" s="1"/>
  <c r="AO22" i="29" s="1"/>
  <c r="AM23" i="29"/>
  <c r="AM24" i="29"/>
  <c r="AM25" i="29"/>
  <c r="AM26" i="29"/>
  <c r="AN26" i="29" s="1"/>
  <c r="AO26" i="29" s="1"/>
  <c r="AM27" i="29"/>
  <c r="AM28" i="29"/>
  <c r="AM29" i="29"/>
  <c r="AN29" i="29" s="1"/>
  <c r="AO29" i="29" s="1"/>
  <c r="AM30" i="29"/>
  <c r="AN30" i="29" s="1"/>
  <c r="AO30" i="29" s="1"/>
  <c r="AM31" i="29"/>
  <c r="AM32" i="29"/>
  <c r="AM33" i="29"/>
  <c r="AM34" i="29"/>
  <c r="AM35" i="29"/>
  <c r="AM36" i="29"/>
  <c r="AM37" i="29"/>
  <c r="AM38" i="29"/>
  <c r="AM39" i="29"/>
  <c r="AM40" i="29"/>
  <c r="AM41" i="29"/>
  <c r="AM42" i="29"/>
  <c r="AM43" i="29"/>
  <c r="AM44" i="29"/>
  <c r="AM45" i="29"/>
  <c r="AM46" i="29"/>
  <c r="AM47" i="29"/>
  <c r="AM48" i="29"/>
  <c r="AN48" i="29" s="1"/>
  <c r="AO48" i="29" s="1"/>
  <c r="AM49" i="29"/>
  <c r="AM50" i="29"/>
  <c r="AM51" i="29"/>
  <c r="AM52" i="29"/>
  <c r="AM53" i="29"/>
  <c r="AM54" i="29"/>
  <c r="AM55" i="29"/>
  <c r="AM56" i="29"/>
  <c r="AM57" i="29"/>
  <c r="AM58" i="29"/>
  <c r="AM59" i="29"/>
  <c r="AM60" i="29"/>
  <c r="AM61" i="29"/>
  <c r="AM62" i="29"/>
  <c r="AM63" i="29"/>
  <c r="AM64" i="29"/>
  <c r="AN64" i="29" s="1"/>
  <c r="AO64" i="29" s="1"/>
  <c r="AM65" i="29"/>
  <c r="AM66" i="29"/>
  <c r="AM67" i="29"/>
  <c r="AM68" i="29"/>
  <c r="AM69" i="29"/>
  <c r="AM70" i="29"/>
  <c r="AN7" i="29"/>
  <c r="AO7" i="29" s="1"/>
  <c r="AN8" i="29"/>
  <c r="AO8" i="29" s="1"/>
  <c r="AN9" i="29"/>
  <c r="AO9" i="29" s="1"/>
  <c r="AN10" i="29"/>
  <c r="AO10" i="29" s="1"/>
  <c r="AQ19" i="29"/>
  <c r="AR7" i="29"/>
  <c r="AR8" i="29"/>
  <c r="AR9" i="29"/>
  <c r="AR10" i="29"/>
  <c r="AR11" i="29"/>
  <c r="AR12" i="29"/>
  <c r="AR13" i="29"/>
  <c r="AR14" i="29"/>
  <c r="AR15" i="29"/>
  <c r="AR16" i="29"/>
  <c r="AR17" i="29"/>
  <c r="AR18" i="29"/>
  <c r="AR19" i="29"/>
  <c r="AR20" i="29"/>
  <c r="AR21" i="29"/>
  <c r="AR22" i="29"/>
  <c r="AR23" i="29"/>
  <c r="AR24" i="29"/>
  <c r="AR25" i="29"/>
  <c r="AR26" i="29"/>
  <c r="AR27" i="29"/>
  <c r="AR28" i="29"/>
  <c r="AR29" i="29"/>
  <c r="AR30" i="29"/>
  <c r="AR31" i="29"/>
  <c r="AR32" i="29"/>
  <c r="AR33" i="29"/>
  <c r="AR34" i="29"/>
  <c r="AR35" i="29"/>
  <c r="AR36" i="29"/>
  <c r="AR37" i="29"/>
  <c r="AR38" i="29"/>
  <c r="AR39" i="29"/>
  <c r="AR40" i="29"/>
  <c r="AR41" i="29"/>
  <c r="AR42" i="29"/>
  <c r="AR43" i="29"/>
  <c r="AR44" i="29"/>
  <c r="AR45" i="29"/>
  <c r="AR46" i="29"/>
  <c r="AR47" i="29"/>
  <c r="AR48" i="29"/>
  <c r="AR49" i="29"/>
  <c r="AR50" i="29"/>
  <c r="AR51" i="29"/>
  <c r="AR52" i="29"/>
  <c r="AR53" i="29"/>
  <c r="AR54" i="29"/>
  <c r="AR55" i="29"/>
  <c r="AR56" i="29"/>
  <c r="AR57" i="29"/>
  <c r="AR58" i="29"/>
  <c r="AR59" i="29"/>
  <c r="AR60" i="29"/>
  <c r="AR61" i="29"/>
  <c r="AR62" i="29"/>
  <c r="AR63" i="29"/>
  <c r="AR64" i="29"/>
  <c r="AR65" i="29"/>
  <c r="AR66" i="29"/>
  <c r="AR67" i="29"/>
  <c r="AR68" i="29"/>
  <c r="AR69" i="29"/>
  <c r="AR70" i="29"/>
  <c r="AS7" i="29"/>
  <c r="AS8" i="29"/>
  <c r="AS9" i="29"/>
  <c r="AS10" i="29"/>
  <c r="AS11" i="29"/>
  <c r="AS12" i="29"/>
  <c r="AT12" i="29" s="1"/>
  <c r="AU12" i="29" s="1"/>
  <c r="AS13" i="29"/>
  <c r="AS14" i="29"/>
  <c r="AT14" i="29" s="1"/>
  <c r="AU14" i="29" s="1"/>
  <c r="AS15" i="29"/>
  <c r="AS16" i="29"/>
  <c r="AS17" i="29"/>
  <c r="AS18" i="29"/>
  <c r="AT18" i="29" s="1"/>
  <c r="AU18" i="29" s="1"/>
  <c r="AS19" i="29"/>
  <c r="AS20" i="29"/>
  <c r="AT20" i="29" s="1"/>
  <c r="AU20" i="29" s="1"/>
  <c r="AS21" i="29"/>
  <c r="AS22" i="29"/>
  <c r="AS23" i="29"/>
  <c r="AS24" i="29"/>
  <c r="AS25" i="29"/>
  <c r="AS26" i="29"/>
  <c r="AS27" i="29"/>
  <c r="AT27" i="29" s="1"/>
  <c r="AU27" i="29" s="1"/>
  <c r="AS28" i="29"/>
  <c r="AS29" i="29"/>
  <c r="AS30" i="29"/>
  <c r="AS31" i="29"/>
  <c r="AT31" i="29" s="1"/>
  <c r="AU31" i="29" s="1"/>
  <c r="AS32" i="29"/>
  <c r="AS33" i="29"/>
  <c r="AS34" i="29"/>
  <c r="AS35" i="29"/>
  <c r="AS36" i="29"/>
  <c r="AS37" i="29"/>
  <c r="AS38" i="29"/>
  <c r="AS39" i="29"/>
  <c r="AT39" i="29" s="1"/>
  <c r="AU39" i="29" s="1"/>
  <c r="AS40" i="29"/>
  <c r="AS41" i="29"/>
  <c r="AS42" i="29"/>
  <c r="AS43" i="29"/>
  <c r="AS44" i="29"/>
  <c r="AS45" i="29"/>
  <c r="AS46" i="29"/>
  <c r="AS47" i="29"/>
  <c r="AT47" i="29" s="1"/>
  <c r="AU47" i="29" s="1"/>
  <c r="AS48" i="29"/>
  <c r="AS49" i="29"/>
  <c r="AS50" i="29"/>
  <c r="AS51" i="29"/>
  <c r="AT51" i="29" s="1"/>
  <c r="AU51" i="29" s="1"/>
  <c r="AS52" i="29"/>
  <c r="AS53" i="29"/>
  <c r="AS54" i="29"/>
  <c r="AS55" i="29"/>
  <c r="AT55" i="29" s="1"/>
  <c r="AU55" i="29" s="1"/>
  <c r="AS56" i="29"/>
  <c r="AS57" i="29"/>
  <c r="AS58" i="29"/>
  <c r="AS59" i="29"/>
  <c r="AS60" i="29"/>
  <c r="AS61" i="29"/>
  <c r="AS62" i="29"/>
  <c r="AS63" i="29"/>
  <c r="AS64" i="29"/>
  <c r="AS65" i="29"/>
  <c r="AS66" i="29"/>
  <c r="AS67" i="29"/>
  <c r="AS68" i="29"/>
  <c r="AS69" i="29"/>
  <c r="AS70" i="29"/>
  <c r="AT7" i="29"/>
  <c r="AU7" i="29" s="1"/>
  <c r="AT8" i="29"/>
  <c r="AU8" i="29" s="1"/>
  <c r="AT9" i="29"/>
  <c r="AU9" i="29" s="1"/>
  <c r="AT10" i="29"/>
  <c r="AU10" i="29" s="1"/>
  <c r="AT11" i="29"/>
  <c r="AU11" i="29" s="1"/>
  <c r="AY7" i="29"/>
  <c r="AY8" i="29"/>
  <c r="AY9" i="29"/>
  <c r="AY10" i="29"/>
  <c r="AY11" i="29"/>
  <c r="AY12" i="29"/>
  <c r="AY13" i="29"/>
  <c r="AY14" i="29"/>
  <c r="AY15" i="29"/>
  <c r="AY16" i="29"/>
  <c r="AY17" i="29"/>
  <c r="AY18" i="29"/>
  <c r="AY19" i="29"/>
  <c r="AY20" i="29"/>
  <c r="AY21" i="29"/>
  <c r="AY22" i="29"/>
  <c r="AY23" i="29"/>
  <c r="AY24" i="29"/>
  <c r="AY25" i="29"/>
  <c r="AY26" i="29"/>
  <c r="AY27" i="29"/>
  <c r="AY28" i="29"/>
  <c r="AY29" i="29"/>
  <c r="AY30" i="29"/>
  <c r="AY31" i="29"/>
  <c r="AY32" i="29"/>
  <c r="AY33" i="29"/>
  <c r="AY34" i="29"/>
  <c r="AY35" i="29"/>
  <c r="AY36" i="29"/>
  <c r="AY37" i="29"/>
  <c r="AY38" i="29"/>
  <c r="AY39" i="29"/>
  <c r="AY40" i="29"/>
  <c r="AY41" i="29"/>
  <c r="AY42" i="29"/>
  <c r="AY43" i="29"/>
  <c r="AY44" i="29"/>
  <c r="AY45" i="29"/>
  <c r="AY46" i="29"/>
  <c r="AY47" i="29"/>
  <c r="AY48" i="29"/>
  <c r="AY49" i="29"/>
  <c r="AY50" i="29"/>
  <c r="AY51" i="29"/>
  <c r="AY52" i="29"/>
  <c r="AY53" i="29"/>
  <c r="AY54" i="29"/>
  <c r="AY55" i="29"/>
  <c r="AY56" i="29"/>
  <c r="AY57" i="29"/>
  <c r="AY58" i="29"/>
  <c r="AY59" i="29"/>
  <c r="AY60" i="29"/>
  <c r="AY61" i="29"/>
  <c r="AY62" i="29"/>
  <c r="AY63" i="29"/>
  <c r="AY64" i="29"/>
  <c r="AY65" i="29"/>
  <c r="AY66" i="29"/>
  <c r="AY67" i="29"/>
  <c r="AY68" i="29"/>
  <c r="AY69" i="29"/>
  <c r="AY70" i="29"/>
  <c r="AZ7" i="29"/>
  <c r="AZ8" i="29"/>
  <c r="AZ9" i="29"/>
  <c r="AZ10" i="29"/>
  <c r="AZ11" i="29"/>
  <c r="AZ12" i="29"/>
  <c r="AZ13" i="29"/>
  <c r="AZ14" i="29"/>
  <c r="AZ15" i="29"/>
  <c r="AZ16" i="29"/>
  <c r="AZ17" i="29"/>
  <c r="AZ18" i="29"/>
  <c r="AZ19" i="29"/>
  <c r="AZ20" i="29"/>
  <c r="AZ21" i="29"/>
  <c r="AZ22" i="29"/>
  <c r="AZ23" i="29"/>
  <c r="AZ24" i="29"/>
  <c r="AZ25" i="29"/>
  <c r="AZ26" i="29"/>
  <c r="AZ27" i="29"/>
  <c r="AZ28" i="29"/>
  <c r="AZ29" i="29"/>
  <c r="AZ30" i="29"/>
  <c r="AZ31" i="29"/>
  <c r="AZ32" i="29"/>
  <c r="AZ33" i="29"/>
  <c r="AZ34" i="29"/>
  <c r="AZ35" i="29"/>
  <c r="AZ36" i="29"/>
  <c r="AZ37" i="29"/>
  <c r="AZ38" i="29"/>
  <c r="AZ39" i="29"/>
  <c r="AZ40" i="29"/>
  <c r="AZ41" i="29"/>
  <c r="AZ42" i="29"/>
  <c r="AZ43" i="29"/>
  <c r="AZ44" i="29"/>
  <c r="AZ45" i="29"/>
  <c r="AZ46" i="29"/>
  <c r="AZ47" i="29"/>
  <c r="AZ48" i="29"/>
  <c r="AZ49" i="29"/>
  <c r="AZ50" i="29"/>
  <c r="AZ51" i="29"/>
  <c r="AZ52" i="29"/>
  <c r="AZ53" i="29"/>
  <c r="AZ54" i="29"/>
  <c r="AZ55" i="29"/>
  <c r="AZ56" i="29"/>
  <c r="AZ57" i="29"/>
  <c r="AZ58" i="29"/>
  <c r="AZ59" i="29"/>
  <c r="AZ60" i="29"/>
  <c r="AZ61" i="29"/>
  <c r="AZ62" i="29"/>
  <c r="AZ63" i="29"/>
  <c r="AZ64" i="29"/>
  <c r="AZ65" i="29"/>
  <c r="AZ66" i="29"/>
  <c r="AZ67" i="29"/>
  <c r="AZ68" i="29"/>
  <c r="AZ69" i="29"/>
  <c r="AZ70" i="29"/>
  <c r="C71" i="17"/>
  <c r="D90" i="39" s="1"/>
  <c r="C72" i="17"/>
  <c r="D91" i="39" s="1"/>
  <c r="N71" i="17"/>
  <c r="N72" i="17"/>
  <c r="O71" i="17"/>
  <c r="O72" i="17"/>
  <c r="W71" i="17"/>
  <c r="B71" i="17" s="1"/>
  <c r="W72" i="17"/>
  <c r="B72" i="17" s="1"/>
  <c r="AB34" i="29" l="1"/>
  <c r="AB26" i="29"/>
  <c r="AB18" i="29"/>
  <c r="V49" i="29"/>
  <c r="W49" i="29" s="1"/>
  <c r="AB10" i="29"/>
  <c r="AT19" i="29"/>
  <c r="AU19" i="29" s="1"/>
  <c r="V65" i="29"/>
  <c r="W65" i="29" s="1"/>
  <c r="AT15" i="29"/>
  <c r="AU15" i="29" s="1"/>
  <c r="AT17" i="29"/>
  <c r="AU17" i="29" s="1"/>
  <c r="AT13" i="29"/>
  <c r="AU13" i="29" s="1"/>
  <c r="AT16" i="29"/>
  <c r="AU16" i="29" s="1"/>
  <c r="AH28" i="29"/>
  <c r="AI28" i="29" s="1"/>
  <c r="AH32" i="29"/>
  <c r="AE32" i="29" s="1"/>
  <c r="AH24" i="29"/>
  <c r="AI24" i="29" s="1"/>
  <c r="AH20" i="29"/>
  <c r="AE20" i="29" s="1"/>
  <c r="AH16" i="29"/>
  <c r="AI16" i="29" s="1"/>
  <c r="AH48" i="29"/>
  <c r="AE48" i="29" s="1"/>
  <c r="AH40" i="29"/>
  <c r="AE40" i="29" s="1"/>
  <c r="P40" i="29"/>
  <c r="Q40" i="29" s="1"/>
  <c r="AH31" i="29"/>
  <c r="AI31" i="29" s="1"/>
  <c r="AH15" i="29"/>
  <c r="AI15" i="29" s="1"/>
  <c r="AH38" i="29"/>
  <c r="AI38" i="29" s="1"/>
  <c r="AH30" i="29"/>
  <c r="AI30" i="29" s="1"/>
  <c r="AH26" i="29"/>
  <c r="AI26" i="29" s="1"/>
  <c r="AH22" i="29"/>
  <c r="AI22" i="29" s="1"/>
  <c r="AH18" i="29"/>
  <c r="AI18" i="29" s="1"/>
  <c r="AH14" i="29"/>
  <c r="AI14" i="29" s="1"/>
  <c r="AH27" i="29"/>
  <c r="AI27" i="29" s="1"/>
  <c r="AH19" i="29"/>
  <c r="AI19" i="29" s="1"/>
  <c r="AH23" i="29"/>
  <c r="AI23" i="29" s="1"/>
  <c r="R72" i="17"/>
  <c r="AH34" i="29"/>
  <c r="AI34" i="29" s="1"/>
  <c r="AH50" i="29"/>
  <c r="AI50" i="29" s="1"/>
  <c r="J35" i="29"/>
  <c r="K35" i="29" s="1"/>
  <c r="P31" i="29"/>
  <c r="M31" i="29" s="1"/>
  <c r="AV31" i="29" s="1"/>
  <c r="F54" i="39" s="1"/>
  <c r="P19" i="29"/>
  <c r="M19" i="29" s="1"/>
  <c r="AV19" i="29" s="1"/>
  <c r="F42" i="39" s="1"/>
  <c r="P59" i="29"/>
  <c r="M59" i="29" s="1"/>
  <c r="AV59" i="29" s="1"/>
  <c r="F80" i="39" s="1"/>
  <c r="AH52" i="29"/>
  <c r="AE52" i="29" s="1"/>
  <c r="AH44" i="29"/>
  <c r="AH36" i="29"/>
  <c r="AE36" i="29" s="1"/>
  <c r="AH67" i="29"/>
  <c r="AI67" i="29" s="1"/>
  <c r="AH63" i="29"/>
  <c r="AI63" i="29" s="1"/>
  <c r="AH51" i="29"/>
  <c r="AI51" i="29" s="1"/>
  <c r="AH47" i="29"/>
  <c r="AI47" i="29" s="1"/>
  <c r="AH43" i="29"/>
  <c r="AI43" i="29" s="1"/>
  <c r="AH39" i="29"/>
  <c r="AI39" i="29" s="1"/>
  <c r="AH35" i="29"/>
  <c r="AI35" i="29" s="1"/>
  <c r="AH49" i="29"/>
  <c r="AI49" i="29" s="1"/>
  <c r="AH70" i="29"/>
  <c r="AI70" i="29" s="1"/>
  <c r="AH62" i="29"/>
  <c r="AI62" i="29" s="1"/>
  <c r="P56" i="29"/>
  <c r="Q56" i="29" s="1"/>
  <c r="P48" i="29"/>
  <c r="M48" i="29" s="1"/>
  <c r="P32" i="29"/>
  <c r="Q32" i="29" s="1"/>
  <c r="P24" i="29"/>
  <c r="M24" i="29" s="1"/>
  <c r="P16" i="29"/>
  <c r="M16" i="29" s="1"/>
  <c r="AH69" i="29"/>
  <c r="AI69" i="29" s="1"/>
  <c r="P55" i="29"/>
  <c r="M55" i="29" s="1"/>
  <c r="P47" i="29"/>
  <c r="M47" i="29" s="1"/>
  <c r="AV47" i="29" s="1"/>
  <c r="F69" i="39" s="1"/>
  <c r="P43" i="29"/>
  <c r="M43" i="29" s="1"/>
  <c r="P35" i="29"/>
  <c r="M35" i="29" s="1"/>
  <c r="AV35" i="29" s="1"/>
  <c r="F58" i="39" s="1"/>
  <c r="P23" i="29"/>
  <c r="M23" i="29" s="1"/>
  <c r="P15" i="29"/>
  <c r="M15" i="29" s="1"/>
  <c r="P11" i="29"/>
  <c r="M11" i="29" s="1"/>
  <c r="AV11" i="29" s="1"/>
  <c r="F34" i="39" s="1"/>
  <c r="AH54" i="29"/>
  <c r="AI54" i="29" s="1"/>
  <c r="P60" i="29"/>
  <c r="Q60" i="29" s="1"/>
  <c r="P44" i="29"/>
  <c r="M44" i="29" s="1"/>
  <c r="P28" i="29"/>
  <c r="Q28" i="29" s="1"/>
  <c r="AE12" i="29"/>
  <c r="AE8" i="29"/>
  <c r="J67" i="29"/>
  <c r="G67" i="29" s="1"/>
  <c r="J43" i="29"/>
  <c r="G43" i="29" s="1"/>
  <c r="J15" i="29"/>
  <c r="G15" i="29" s="1"/>
  <c r="P52" i="29"/>
  <c r="Q52" i="29" s="1"/>
  <c r="P36" i="29"/>
  <c r="Q36" i="29" s="1"/>
  <c r="P20" i="29"/>
  <c r="M20" i="29" s="1"/>
  <c r="P12" i="29"/>
  <c r="Q12" i="29" s="1"/>
  <c r="R71" i="17"/>
  <c r="AQ20" i="29"/>
  <c r="P69" i="29"/>
  <c r="M69" i="29" s="1"/>
  <c r="AQ12" i="29"/>
  <c r="AH65" i="29"/>
  <c r="AI65" i="29" s="1"/>
  <c r="P42" i="29"/>
  <c r="M42" i="29" s="1"/>
  <c r="P34" i="29"/>
  <c r="Q34" i="29" s="1"/>
  <c r="P22" i="29"/>
  <c r="Q22" i="29" s="1"/>
  <c r="P14" i="29"/>
  <c r="Q14" i="29" s="1"/>
  <c r="P57" i="29"/>
  <c r="Q57" i="29" s="1"/>
  <c r="P49" i="29"/>
  <c r="M49" i="29" s="1"/>
  <c r="P41" i="29"/>
  <c r="Q41" i="29" s="1"/>
  <c r="P33" i="29"/>
  <c r="Q33" i="29" s="1"/>
  <c r="P29" i="29"/>
  <c r="Q29" i="29" s="1"/>
  <c r="P21" i="29"/>
  <c r="Q21" i="29" s="1"/>
  <c r="P17" i="29"/>
  <c r="Q17" i="29" s="1"/>
  <c r="P13" i="29"/>
  <c r="Q13" i="29" s="1"/>
  <c r="AH57" i="29"/>
  <c r="AI57" i="29" s="1"/>
  <c r="P54" i="29"/>
  <c r="Q54" i="29" s="1"/>
  <c r="P46" i="29"/>
  <c r="M46" i="29" s="1"/>
  <c r="P26" i="29"/>
  <c r="M26" i="29" s="1"/>
  <c r="P18" i="29"/>
  <c r="Q18" i="29" s="1"/>
  <c r="P10" i="29"/>
  <c r="Q10" i="29" s="1"/>
  <c r="P61" i="29"/>
  <c r="Q61" i="29" s="1"/>
  <c r="P53" i="29"/>
  <c r="M53" i="29" s="1"/>
  <c r="P45" i="29"/>
  <c r="M45" i="29" s="1"/>
  <c r="P37" i="29"/>
  <c r="Q37" i="29" s="1"/>
  <c r="P25" i="29"/>
  <c r="Q25" i="29" s="1"/>
  <c r="AH61" i="29"/>
  <c r="AI61" i="29" s="1"/>
  <c r="P58" i="29"/>
  <c r="M58" i="29" s="1"/>
  <c r="P50" i="29"/>
  <c r="M50" i="29" s="1"/>
  <c r="P38" i="29"/>
  <c r="M38" i="29" s="1"/>
  <c r="P30" i="29"/>
  <c r="Q30" i="29" s="1"/>
  <c r="AH66" i="29"/>
  <c r="AI66" i="29" s="1"/>
  <c r="AH58" i="29"/>
  <c r="AI58" i="29" s="1"/>
  <c r="AH59" i="29"/>
  <c r="AI59" i="29" s="1"/>
  <c r="AH55" i="29"/>
  <c r="AI55" i="29" s="1"/>
  <c r="AB48" i="29"/>
  <c r="Y48" i="29" s="1"/>
  <c r="AH56" i="29"/>
  <c r="AI56" i="29" s="1"/>
  <c r="P65" i="29"/>
  <c r="M65" i="29" s="1"/>
  <c r="AK48" i="29"/>
  <c r="V40" i="29"/>
  <c r="W40" i="29" s="1"/>
  <c r="M8" i="29"/>
  <c r="AV8" i="29" s="1"/>
  <c r="F31" i="39" s="1"/>
  <c r="J55" i="29"/>
  <c r="G55" i="29" s="1"/>
  <c r="J39" i="29"/>
  <c r="G39" i="29" s="1"/>
  <c r="AV39" i="29" s="1"/>
  <c r="F62" i="39" s="1"/>
  <c r="J23" i="29"/>
  <c r="G23" i="29" s="1"/>
  <c r="AH68" i="29"/>
  <c r="AE68" i="29" s="1"/>
  <c r="AH64" i="29"/>
  <c r="AE64" i="29" s="1"/>
  <c r="AH60" i="29"/>
  <c r="AE60" i="29" s="1"/>
  <c r="AB50" i="29"/>
  <c r="AC50" i="29" s="1"/>
  <c r="Y44" i="29"/>
  <c r="Y32" i="29"/>
  <c r="Y28" i="29"/>
  <c r="Y24" i="29"/>
  <c r="Y20" i="29"/>
  <c r="Y16" i="29"/>
  <c r="Y12" i="29"/>
  <c r="Y8" i="29"/>
  <c r="Y68" i="29"/>
  <c r="Y64" i="29"/>
  <c r="V39" i="29"/>
  <c r="W39" i="29" s="1"/>
  <c r="AB54" i="29"/>
  <c r="Y54" i="29" s="1"/>
  <c r="AB46" i="29"/>
  <c r="Y46" i="29" s="1"/>
  <c r="AB42" i="29"/>
  <c r="AC42" i="29" s="1"/>
  <c r="AB38" i="29"/>
  <c r="AC38" i="29" s="1"/>
  <c r="V55" i="29"/>
  <c r="W55" i="29" s="1"/>
  <c r="V27" i="29"/>
  <c r="W27" i="29" s="1"/>
  <c r="K7" i="29"/>
  <c r="AI8" i="29"/>
  <c r="P67" i="29"/>
  <c r="M67" i="29" s="1"/>
  <c r="J62" i="29"/>
  <c r="K62" i="29" s="1"/>
  <c r="J50" i="29"/>
  <c r="J38" i="29"/>
  <c r="G38" i="29" s="1"/>
  <c r="J30" i="29"/>
  <c r="K30" i="29" s="1"/>
  <c r="J18" i="29"/>
  <c r="K18" i="29" s="1"/>
  <c r="AB57" i="29"/>
  <c r="Y57" i="29" s="1"/>
  <c r="AB53" i="29"/>
  <c r="Y53" i="29" s="1"/>
  <c r="AB45" i="29"/>
  <c r="Y45" i="29" s="1"/>
  <c r="AB41" i="29"/>
  <c r="AC41" i="29" s="1"/>
  <c r="AB37" i="29"/>
  <c r="AC37" i="29" s="1"/>
  <c r="Q39" i="29"/>
  <c r="J69" i="29"/>
  <c r="G69" i="29" s="1"/>
  <c r="J65" i="29"/>
  <c r="J61" i="29"/>
  <c r="G61" i="29" s="1"/>
  <c r="J57" i="29"/>
  <c r="G57" i="29" s="1"/>
  <c r="J53" i="29"/>
  <c r="K53" i="29" s="1"/>
  <c r="J49" i="29"/>
  <c r="G49" i="29" s="1"/>
  <c r="J45" i="29"/>
  <c r="G45" i="29" s="1"/>
  <c r="J41" i="29"/>
  <c r="K41" i="29" s="1"/>
  <c r="J37" i="29"/>
  <c r="G37" i="29" s="1"/>
  <c r="J33" i="29"/>
  <c r="J29" i="29"/>
  <c r="G29" i="29" s="1"/>
  <c r="J25" i="29"/>
  <c r="G25" i="29" s="1"/>
  <c r="J21" i="29"/>
  <c r="K21" i="29" s="1"/>
  <c r="J17" i="29"/>
  <c r="G17" i="29" s="1"/>
  <c r="J13" i="29"/>
  <c r="G13" i="29" s="1"/>
  <c r="P63" i="29"/>
  <c r="M63" i="29" s="1"/>
  <c r="AV63" i="29" s="1"/>
  <c r="F84" i="39" s="1"/>
  <c r="J70" i="29"/>
  <c r="G70" i="29" s="1"/>
  <c r="J58" i="29"/>
  <c r="G58" i="29" s="1"/>
  <c r="J42" i="29"/>
  <c r="G42" i="29" s="1"/>
  <c r="J34" i="29"/>
  <c r="J22" i="29"/>
  <c r="K22" i="29" s="1"/>
  <c r="J14" i="29"/>
  <c r="K14" i="29" s="1"/>
  <c r="AN13" i="29"/>
  <c r="AO13" i="29" s="1"/>
  <c r="AB56" i="29"/>
  <c r="Y56" i="29" s="1"/>
  <c r="AB52" i="29"/>
  <c r="Y52" i="29" s="1"/>
  <c r="AB40" i="29"/>
  <c r="Y40" i="29" s="1"/>
  <c r="Q27" i="29"/>
  <c r="J68" i="29"/>
  <c r="G68" i="29" s="1"/>
  <c r="J64" i="29"/>
  <c r="K64" i="29" s="1"/>
  <c r="J60" i="29"/>
  <c r="G60" i="29" s="1"/>
  <c r="J56" i="29"/>
  <c r="AV56" i="29" s="1"/>
  <c r="J52" i="29"/>
  <c r="G52" i="29" s="1"/>
  <c r="AV52" i="29" s="1"/>
  <c r="F74" i="39" s="1"/>
  <c r="J48" i="29"/>
  <c r="K48" i="29" s="1"/>
  <c r="J44" i="29"/>
  <c r="J40" i="29"/>
  <c r="K40" i="29" s="1"/>
  <c r="J36" i="29"/>
  <c r="G36" i="29" s="1"/>
  <c r="AV36" i="29" s="1"/>
  <c r="F59" i="39" s="1"/>
  <c r="J32" i="29"/>
  <c r="K32" i="29" s="1"/>
  <c r="J28" i="29"/>
  <c r="G28" i="29" s="1"/>
  <c r="J24" i="29"/>
  <c r="G24" i="29" s="1"/>
  <c r="J20" i="29"/>
  <c r="G20" i="29" s="1"/>
  <c r="J16" i="29"/>
  <c r="K16" i="29" s="1"/>
  <c r="J12" i="29"/>
  <c r="K12" i="29" s="1"/>
  <c r="J66" i="29"/>
  <c r="K66" i="29" s="1"/>
  <c r="J54" i="29"/>
  <c r="G54" i="29" s="1"/>
  <c r="J46" i="29"/>
  <c r="G46" i="29" s="1"/>
  <c r="J26" i="29"/>
  <c r="K26" i="29" s="1"/>
  <c r="Q7" i="29"/>
  <c r="P68" i="29"/>
  <c r="M68" i="29" s="1"/>
  <c r="P64" i="29"/>
  <c r="Q64" i="29" s="1"/>
  <c r="V57" i="29"/>
  <c r="W57" i="29" s="1"/>
  <c r="K63" i="29"/>
  <c r="K59" i="29"/>
  <c r="K51" i="29"/>
  <c r="K47" i="29"/>
  <c r="K31" i="29"/>
  <c r="K27" i="29"/>
  <c r="K19" i="29"/>
  <c r="K11" i="29"/>
  <c r="AB55" i="29"/>
  <c r="AB51" i="29"/>
  <c r="Y51" i="29" s="1"/>
  <c r="AB47" i="29"/>
  <c r="Y47" i="29" s="1"/>
  <c r="AB43" i="29"/>
  <c r="AB39" i="29"/>
  <c r="Y39" i="29" s="1"/>
  <c r="P70" i="29"/>
  <c r="M70" i="29" s="1"/>
  <c r="P66" i="29"/>
  <c r="M66" i="29" s="1"/>
  <c r="K9" i="29"/>
  <c r="Q51" i="29"/>
  <c r="Q8" i="29"/>
  <c r="M9" i="29"/>
  <c r="AV9" i="29" s="1"/>
  <c r="F32" i="39" s="1"/>
  <c r="K8" i="29"/>
  <c r="P62" i="29"/>
  <c r="M62" i="29" s="1"/>
  <c r="AB36" i="29"/>
  <c r="Y36" i="29" s="1"/>
  <c r="V32" i="29"/>
  <c r="W32" i="29" s="1"/>
  <c r="V63" i="29"/>
  <c r="W63" i="29" s="1"/>
  <c r="V43" i="29"/>
  <c r="W43" i="29" s="1"/>
  <c r="V31" i="29"/>
  <c r="W31" i="29" s="1"/>
  <c r="V23" i="29"/>
  <c r="W23" i="29" s="1"/>
  <c r="V69" i="29"/>
  <c r="W69" i="29" s="1"/>
  <c r="V41" i="29"/>
  <c r="W41" i="29" s="1"/>
  <c r="V37" i="29"/>
  <c r="W37" i="29" s="1"/>
  <c r="V29" i="29"/>
  <c r="W29" i="29" s="1"/>
  <c r="AN23" i="29"/>
  <c r="AO23" i="29" s="1"/>
  <c r="V61" i="29"/>
  <c r="W61" i="29" s="1"/>
  <c r="V53" i="29"/>
  <c r="W53" i="29" s="1"/>
  <c r="V45" i="29"/>
  <c r="W45" i="29" s="1"/>
  <c r="V25" i="29"/>
  <c r="W25" i="29" s="1"/>
  <c r="AN27" i="29"/>
  <c r="AO27" i="29" s="1"/>
  <c r="AN25" i="29"/>
  <c r="AO25" i="29" s="1"/>
  <c r="AN17" i="29"/>
  <c r="AO17" i="29" s="1"/>
  <c r="Y29" i="29"/>
  <c r="Y25" i="29"/>
  <c r="Y21" i="29"/>
  <c r="Y17" i="29"/>
  <c r="Y13" i="29"/>
  <c r="Y9" i="29"/>
  <c r="AC17" i="29"/>
  <c r="AN28" i="29"/>
  <c r="AO28" i="29" s="1"/>
  <c r="AN24" i="29"/>
  <c r="AO24" i="29" s="1"/>
  <c r="AN20" i="29"/>
  <c r="AO20" i="29" s="1"/>
  <c r="AN16" i="29"/>
  <c r="AO16" i="29" s="1"/>
  <c r="AN12" i="29"/>
  <c r="AO12" i="29" s="1"/>
  <c r="AC7" i="29"/>
  <c r="AN19" i="29"/>
  <c r="AO19" i="29" s="1"/>
  <c r="AN15" i="29"/>
  <c r="AO15" i="29" s="1"/>
  <c r="AN11" i="29"/>
  <c r="AO11" i="29" s="1"/>
  <c r="AB69" i="29"/>
  <c r="Y69" i="29" s="1"/>
  <c r="V70" i="29"/>
  <c r="W70" i="29" s="1"/>
  <c r="V66" i="29"/>
  <c r="W66" i="29" s="1"/>
  <c r="V62" i="29"/>
  <c r="W62" i="29" s="1"/>
  <c r="V58" i="29"/>
  <c r="W58" i="29" s="1"/>
  <c r="V54" i="29"/>
  <c r="W54" i="29" s="1"/>
  <c r="V50" i="29"/>
  <c r="W50" i="29" s="1"/>
  <c r="V46" i="29"/>
  <c r="W46" i="29" s="1"/>
  <c r="V42" i="29"/>
  <c r="W42" i="29" s="1"/>
  <c r="V38" i="29"/>
  <c r="W38" i="29" s="1"/>
  <c r="V34" i="29"/>
  <c r="W34" i="29" s="1"/>
  <c r="V30" i="29"/>
  <c r="W30" i="29" s="1"/>
  <c r="V26" i="29"/>
  <c r="W26" i="29" s="1"/>
  <c r="V22" i="29"/>
  <c r="W22" i="29" s="1"/>
  <c r="AC19" i="29"/>
  <c r="Y34" i="29"/>
  <c r="Y30" i="29"/>
  <c r="Y26" i="29"/>
  <c r="Y22" i="29"/>
  <c r="Y10" i="29"/>
  <c r="G10" i="29"/>
  <c r="AB65" i="29"/>
  <c r="Y65" i="29" s="1"/>
  <c r="AB61" i="29"/>
  <c r="Y61" i="29" s="1"/>
  <c r="AE53" i="29"/>
  <c r="AE45" i="29"/>
  <c r="AE41" i="29"/>
  <c r="AE37" i="29"/>
  <c r="AE21" i="29"/>
  <c r="AE17" i="29"/>
  <c r="AE13" i="29"/>
  <c r="AE9" i="29"/>
  <c r="AC49" i="29"/>
  <c r="AQ61" i="29"/>
  <c r="AQ17" i="29"/>
  <c r="AC25" i="29"/>
  <c r="AC13" i="29"/>
  <c r="AC21" i="29"/>
  <c r="AC9" i="29"/>
  <c r="AC31" i="29"/>
  <c r="AT59" i="29"/>
  <c r="AU59" i="29" s="1"/>
  <c r="Y18" i="29"/>
  <c r="Y14" i="29"/>
  <c r="AT35" i="29"/>
  <c r="AU35" i="29" s="1"/>
  <c r="AI12" i="29"/>
  <c r="AB60" i="29"/>
  <c r="Y60" i="29" s="1"/>
  <c r="AN60" i="29"/>
  <c r="AO60" i="29" s="1"/>
  <c r="AN40" i="29"/>
  <c r="AO40" i="29" s="1"/>
  <c r="AN52" i="29"/>
  <c r="AO52" i="29" s="1"/>
  <c r="AN32" i="29"/>
  <c r="AO32" i="29" s="1"/>
  <c r="AI9" i="29"/>
  <c r="AN56" i="29"/>
  <c r="AO56" i="29" s="1"/>
  <c r="AN44" i="29"/>
  <c r="AO44" i="29" s="1"/>
  <c r="AN36" i="29"/>
  <c r="AO36" i="29" s="1"/>
  <c r="AT67" i="29"/>
  <c r="AU67" i="29" s="1"/>
  <c r="AC33" i="29"/>
  <c r="AC12" i="29"/>
  <c r="AC29" i="29"/>
  <c r="AC32" i="29"/>
  <c r="AC24" i="29"/>
  <c r="AC16" i="29"/>
  <c r="AC8" i="29"/>
  <c r="AN58" i="29"/>
  <c r="AO58" i="29" s="1"/>
  <c r="AN42" i="29"/>
  <c r="AO42" i="29" s="1"/>
  <c r="AB67" i="29"/>
  <c r="Y67" i="29" s="1"/>
  <c r="AB63" i="29"/>
  <c r="Y63" i="29" s="1"/>
  <c r="AC35" i="29"/>
  <c r="AC23" i="29"/>
  <c r="AC11" i="29"/>
  <c r="AT63" i="29"/>
  <c r="AU63" i="29" s="1"/>
  <c r="AT43" i="29"/>
  <c r="AU43" i="29" s="1"/>
  <c r="AT23" i="29"/>
  <c r="AU23" i="29" s="1"/>
  <c r="AC27" i="29"/>
  <c r="AC15" i="29"/>
  <c r="AN43" i="29"/>
  <c r="AO43" i="29" s="1"/>
  <c r="AB66" i="29"/>
  <c r="Y66" i="29" s="1"/>
  <c r="AN68" i="29"/>
  <c r="AO68" i="29" s="1"/>
  <c r="AC20" i="29"/>
  <c r="AB70" i="29"/>
  <c r="Y70" i="29" s="1"/>
  <c r="AB62" i="29"/>
  <c r="AC62" i="29" s="1"/>
  <c r="AN63" i="29"/>
  <c r="AO63" i="29" s="1"/>
  <c r="AN59" i="29"/>
  <c r="AO59" i="29" s="1"/>
  <c r="AN47" i="29"/>
  <c r="AO47" i="29" s="1"/>
  <c r="AN31" i="29"/>
  <c r="AO31" i="29" s="1"/>
  <c r="AC28" i="29"/>
  <c r="AN70" i="29"/>
  <c r="AO70" i="29" s="1"/>
  <c r="AN66" i="29"/>
  <c r="AO66" i="29" s="1"/>
  <c r="AN62" i="29"/>
  <c r="AO62" i="29" s="1"/>
  <c r="AN54" i="29"/>
  <c r="AO54" i="29" s="1"/>
  <c r="AN50" i="29"/>
  <c r="AO50" i="29" s="1"/>
  <c r="AN46" i="29"/>
  <c r="AO46" i="29" s="1"/>
  <c r="AN38" i="29"/>
  <c r="AO38" i="29" s="1"/>
  <c r="AN34" i="29"/>
  <c r="AO34" i="29" s="1"/>
  <c r="AC34" i="29"/>
  <c r="AC30" i="29"/>
  <c r="AC26" i="29"/>
  <c r="AC22" i="29"/>
  <c r="AC18" i="29"/>
  <c r="AC14" i="29"/>
  <c r="AC10" i="29"/>
  <c r="AN67" i="29"/>
  <c r="AO67" i="29" s="1"/>
  <c r="AN55" i="29"/>
  <c r="AO55" i="29" s="1"/>
  <c r="AN35" i="29"/>
  <c r="AO35" i="29" s="1"/>
  <c r="AN51" i="29"/>
  <c r="AO51" i="29" s="1"/>
  <c r="AN39" i="29"/>
  <c r="AO39" i="29" s="1"/>
  <c r="AN69" i="29"/>
  <c r="AO69" i="29" s="1"/>
  <c r="AN65" i="29"/>
  <c r="AO65" i="29" s="1"/>
  <c r="AN61" i="29"/>
  <c r="AO61" i="29" s="1"/>
  <c r="AN57" i="29"/>
  <c r="AO57" i="29" s="1"/>
  <c r="AN53" i="29"/>
  <c r="AO53" i="29" s="1"/>
  <c r="AN49" i="29"/>
  <c r="AO49" i="29" s="1"/>
  <c r="AN45" i="29"/>
  <c r="AO45" i="29" s="1"/>
  <c r="AN41" i="29"/>
  <c r="AO41" i="29" s="1"/>
  <c r="AN37" i="29"/>
  <c r="AO37" i="29" s="1"/>
  <c r="AN33" i="29"/>
  <c r="AO33" i="29" s="1"/>
  <c r="AV51" i="29"/>
  <c r="F73" i="39" s="1"/>
  <c r="AV27" i="29"/>
  <c r="F50" i="39" s="1"/>
  <c r="AV7" i="29"/>
  <c r="F30" i="39" s="1"/>
  <c r="AT68" i="29"/>
  <c r="AU68" i="29" s="1"/>
  <c r="AT64" i="29"/>
  <c r="AU64" i="29" s="1"/>
  <c r="AT60" i="29"/>
  <c r="AU60" i="29" s="1"/>
  <c r="AT56" i="29"/>
  <c r="AU56" i="29" s="1"/>
  <c r="AT52" i="29"/>
  <c r="AU52" i="29" s="1"/>
  <c r="AT48" i="29"/>
  <c r="AU48" i="29" s="1"/>
  <c r="AT44" i="29"/>
  <c r="AU44" i="29" s="1"/>
  <c r="AT40" i="29"/>
  <c r="AU40" i="29" s="1"/>
  <c r="AT24" i="29"/>
  <c r="AU24" i="29" s="1"/>
  <c r="AQ27" i="29"/>
  <c r="AE11" i="29"/>
  <c r="AE7" i="29"/>
  <c r="AQ66" i="29"/>
  <c r="AK42" i="29"/>
  <c r="AQ38" i="29"/>
  <c r="AK18" i="29"/>
  <c r="AQ51" i="29"/>
  <c r="AQ23" i="29"/>
  <c r="AT65" i="29"/>
  <c r="AU65" i="29" s="1"/>
  <c r="AT61" i="29"/>
  <c r="AU61" i="29" s="1"/>
  <c r="AT49" i="29"/>
  <c r="AU49" i="29" s="1"/>
  <c r="AT41" i="29"/>
  <c r="AU41" i="29" s="1"/>
  <c r="AT33" i="29"/>
  <c r="AU33" i="29" s="1"/>
  <c r="AT21" i="29"/>
  <c r="AU21" i="29" s="1"/>
  <c r="AC59" i="29"/>
  <c r="AT69" i="29"/>
  <c r="AU69" i="29" s="1"/>
  <c r="AT57" i="29"/>
  <c r="AU57" i="29" s="1"/>
  <c r="AT53" i="29"/>
  <c r="AU53" i="29" s="1"/>
  <c r="AT45" i="29"/>
  <c r="AU45" i="29" s="1"/>
  <c r="AT37" i="29"/>
  <c r="AU37" i="29" s="1"/>
  <c r="AT29" i="29"/>
  <c r="AU29" i="29" s="1"/>
  <c r="AT25" i="29"/>
  <c r="AU25" i="29" s="1"/>
  <c r="AK26" i="29"/>
  <c r="AQ26" i="29"/>
  <c r="AQ22" i="29"/>
  <c r="AK22" i="29"/>
  <c r="AT70" i="29"/>
  <c r="AU70" i="29" s="1"/>
  <c r="AT66" i="29"/>
  <c r="AU66" i="29" s="1"/>
  <c r="AT62" i="29"/>
  <c r="AU62" i="29" s="1"/>
  <c r="AQ58" i="29"/>
  <c r="AT58" i="29"/>
  <c r="AU58" i="29" s="1"/>
  <c r="AT54" i="29"/>
  <c r="AU54" i="29" s="1"/>
  <c r="AQ50" i="29"/>
  <c r="AT50" i="29"/>
  <c r="AU50" i="29" s="1"/>
  <c r="AQ46" i="29"/>
  <c r="AT46" i="29"/>
  <c r="AU46" i="29" s="1"/>
  <c r="AT42" i="29"/>
  <c r="AU42" i="29" s="1"/>
  <c r="AT38" i="29"/>
  <c r="AU38" i="29" s="1"/>
  <c r="AT34" i="29"/>
  <c r="AU34" i="29" s="1"/>
  <c r="AT30" i="29"/>
  <c r="AU30" i="29" s="1"/>
  <c r="AT26" i="29"/>
  <c r="AU26" i="29" s="1"/>
  <c r="AT22" i="29"/>
  <c r="AU22" i="29" s="1"/>
  <c r="AQ70" i="29"/>
  <c r="AC58" i="29"/>
  <c r="AQ32" i="29"/>
  <c r="AK66" i="29"/>
  <c r="AK34" i="29"/>
  <c r="AE42" i="29"/>
  <c r="AQ36" i="29"/>
  <c r="AQ28" i="29"/>
  <c r="AQ16" i="29"/>
  <c r="AQ8" i="29"/>
  <c r="AK58" i="29"/>
  <c r="AK50" i="29"/>
  <c r="AE46" i="29"/>
  <c r="AE10" i="29"/>
  <c r="AT36" i="29"/>
  <c r="AU36" i="29" s="1"/>
  <c r="AT32" i="29"/>
  <c r="AU32" i="29" s="1"/>
  <c r="AT28" i="29"/>
  <c r="AU28" i="29" s="1"/>
  <c r="AQ59" i="29"/>
  <c r="AC68" i="29"/>
  <c r="AC64" i="29"/>
  <c r="AC44" i="29"/>
  <c r="AQ57" i="29"/>
  <c r="AQ49" i="29"/>
  <c r="AQ68" i="29"/>
  <c r="AQ64" i="29"/>
  <c r="AQ60" i="29"/>
  <c r="AQ56" i="29"/>
  <c r="AQ52" i="29"/>
  <c r="AQ44" i="29"/>
  <c r="AQ40" i="29"/>
  <c r="AQ24" i="29"/>
  <c r="AQ69" i="29"/>
  <c r="AQ45" i="29"/>
  <c r="AQ67" i="29"/>
  <c r="AQ63" i="29"/>
  <c r="AQ55" i="29"/>
  <c r="AQ47" i="29"/>
  <c r="AQ43" i="29"/>
  <c r="AQ39" i="29"/>
  <c r="AQ7" i="29"/>
  <c r="AQ65" i="29"/>
  <c r="AQ53" i="29"/>
  <c r="AQ41" i="29"/>
  <c r="AQ42" i="29"/>
  <c r="AQ34" i="29"/>
  <c r="AQ18" i="29"/>
  <c r="AQ14" i="29"/>
  <c r="AK64" i="29"/>
  <c r="AK60" i="29"/>
  <c r="AK44" i="29"/>
  <c r="AK36" i="29"/>
  <c r="AK28" i="29"/>
  <c r="AK67" i="29"/>
  <c r="AK63" i="29"/>
  <c r="AK55" i="29"/>
  <c r="AK51" i="29"/>
  <c r="AK47" i="29"/>
  <c r="AK43" i="29"/>
  <c r="AK39" i="29"/>
  <c r="AK35" i="29"/>
  <c r="AK31" i="29"/>
  <c r="AK15" i="29"/>
  <c r="AK11" i="29"/>
  <c r="AK7" i="29"/>
  <c r="AK54" i="29"/>
  <c r="AK46" i="29"/>
  <c r="AK38" i="29"/>
  <c r="AK30" i="29"/>
  <c r="AK10" i="29"/>
  <c r="AK69" i="29"/>
  <c r="AK65" i="29"/>
  <c r="AK57" i="29"/>
  <c r="AK53" i="29"/>
  <c r="AK49" i="29"/>
  <c r="AK45" i="29"/>
  <c r="AK41" i="29"/>
  <c r="AK37" i="29"/>
  <c r="AK33" i="29"/>
  <c r="AK29" i="29"/>
  <c r="AK25" i="29"/>
  <c r="AK13" i="29"/>
  <c r="AK9" i="29"/>
  <c r="AK8" i="29"/>
  <c r="AK68" i="29"/>
  <c r="AK56" i="29"/>
  <c r="AK24" i="29"/>
  <c r="AK12" i="29"/>
  <c r="AQ35" i="29"/>
  <c r="AQ15" i="29"/>
  <c r="AQ30" i="29"/>
  <c r="AQ10" i="29"/>
  <c r="AK40" i="29"/>
  <c r="AK32" i="29"/>
  <c r="AK16" i="29"/>
  <c r="AQ31" i="29"/>
  <c r="AQ11" i="29"/>
  <c r="AQ29" i="29"/>
  <c r="AQ13" i="29"/>
  <c r="AQ33" i="29"/>
  <c r="AQ25" i="29"/>
  <c r="AQ9" i="29"/>
  <c r="P72" i="17"/>
  <c r="P71" i="17"/>
  <c r="AE67" i="29" l="1"/>
  <c r="AI32" i="29"/>
  <c r="AE50" i="29"/>
  <c r="AE19" i="29"/>
  <c r="AW19" i="29" s="1"/>
  <c r="AI48" i="29"/>
  <c r="AC53" i="29"/>
  <c r="K38" i="29"/>
  <c r="AE31" i="29"/>
  <c r="AW31" i="29" s="1"/>
  <c r="AI36" i="29"/>
  <c r="AE24" i="29"/>
  <c r="AI20" i="29"/>
  <c r="AE38" i="29"/>
  <c r="AE18" i="29"/>
  <c r="AW18" i="29" s="1"/>
  <c r="G41" i="39" s="1"/>
  <c r="AE23" i="29"/>
  <c r="AW23" i="29" s="1"/>
  <c r="G46" i="39" s="1"/>
  <c r="AI40" i="29"/>
  <c r="Q20" i="29"/>
  <c r="AE34" i="29"/>
  <c r="AW34" i="29" s="1"/>
  <c r="G57" i="39" s="1"/>
  <c r="I57" i="39" s="1"/>
  <c r="Q11" i="29"/>
  <c r="AE16" i="29"/>
  <c r="AW16" i="29" s="1"/>
  <c r="G39" i="39" s="1"/>
  <c r="AE26" i="29"/>
  <c r="AW26" i="29" s="1"/>
  <c r="G49" i="39" s="1"/>
  <c r="AE27" i="29"/>
  <c r="Q19" i="29"/>
  <c r="AW58" i="29"/>
  <c r="G79" i="39" s="1"/>
  <c r="M37" i="29"/>
  <c r="AV37" i="29" s="1"/>
  <c r="F60" i="39" s="1"/>
  <c r="AV34" i="29"/>
  <c r="M10" i="29"/>
  <c r="AV10" i="29" s="1"/>
  <c r="F33" i="39" s="1"/>
  <c r="Q50" i="29"/>
  <c r="M54" i="29"/>
  <c r="AV54" i="29" s="1"/>
  <c r="F76" i="39" s="1"/>
  <c r="Q69" i="29"/>
  <c r="Q23" i="29"/>
  <c r="AV23" i="29"/>
  <c r="F46" i="39" s="1"/>
  <c r="I46" i="39" s="1"/>
  <c r="M32" i="29"/>
  <c r="AV43" i="29"/>
  <c r="F66" i="39" s="1"/>
  <c r="AI44" i="29"/>
  <c r="AE14" i="29"/>
  <c r="AW14" i="29" s="1"/>
  <c r="G37" i="39" s="1"/>
  <c r="G66" i="29"/>
  <c r="AV66" i="29" s="1"/>
  <c r="F87" i="39" s="1"/>
  <c r="AV49" i="29"/>
  <c r="F71" i="39" s="1"/>
  <c r="M12" i="29"/>
  <c r="K43" i="29"/>
  <c r="Q43" i="29"/>
  <c r="AV67" i="29"/>
  <c r="F88" i="39" s="1"/>
  <c r="M28" i="29"/>
  <c r="Q16" i="29"/>
  <c r="AE51" i="29"/>
  <c r="AW51" i="29" s="1"/>
  <c r="Q31" i="29"/>
  <c r="AE70" i="29"/>
  <c r="AW70" i="29" s="1"/>
  <c r="G91" i="39" s="1"/>
  <c r="AE43" i="29"/>
  <c r="AW43" i="29" s="1"/>
  <c r="G66" i="39" s="1"/>
  <c r="Q55" i="29"/>
  <c r="AV55" i="29"/>
  <c r="F77" i="39" s="1"/>
  <c r="M60" i="29"/>
  <c r="AV60" i="29" s="1"/>
  <c r="F81" i="39" s="1"/>
  <c r="AC47" i="29"/>
  <c r="Q46" i="29"/>
  <c r="Q59" i="29"/>
  <c r="AE39" i="29"/>
  <c r="AW39" i="29" s="1"/>
  <c r="Q49" i="29"/>
  <c r="AV15" i="29"/>
  <c r="F38" i="39" s="1"/>
  <c r="Q24" i="29"/>
  <c r="Q44" i="29"/>
  <c r="AI52" i="29"/>
  <c r="Q47" i="29"/>
  <c r="K15" i="29"/>
  <c r="AE62" i="29"/>
  <c r="AE63" i="29"/>
  <c r="AW63" i="29" s="1"/>
  <c r="AC57" i="29"/>
  <c r="Q15" i="29"/>
  <c r="AE69" i="29"/>
  <c r="AW69" i="29" s="1"/>
  <c r="G90" i="39" s="1"/>
  <c r="K67" i="29"/>
  <c r="AE47" i="29"/>
  <c r="AW47" i="29" s="1"/>
  <c r="M57" i="29"/>
  <c r="AV57" i="29" s="1"/>
  <c r="Q35" i="29"/>
  <c r="AE49" i="29"/>
  <c r="AW49" i="29" s="1"/>
  <c r="G71" i="39" s="1"/>
  <c r="AE54" i="29"/>
  <c r="AW54" i="29" s="1"/>
  <c r="G76" i="39" s="1"/>
  <c r="G32" i="29"/>
  <c r="K61" i="29"/>
  <c r="AW20" i="29"/>
  <c r="G43" i="39" s="1"/>
  <c r="Q42" i="29"/>
  <c r="Q58" i="29"/>
  <c r="G64" i="29"/>
  <c r="AC45" i="29"/>
  <c r="Q67" i="29"/>
  <c r="Q48" i="29"/>
  <c r="G30" i="29"/>
  <c r="AE59" i="29"/>
  <c r="AW59" i="29" s="1"/>
  <c r="M13" i="29"/>
  <c r="AV13" i="29" s="1"/>
  <c r="F36" i="39" s="1"/>
  <c r="AV44" i="29"/>
  <c r="F67" i="39" s="1"/>
  <c r="AE65" i="29"/>
  <c r="AW65" i="29" s="1"/>
  <c r="G86" i="39" s="1"/>
  <c r="K20" i="29"/>
  <c r="M30" i="29"/>
  <c r="Q26" i="29"/>
  <c r="AV28" i="29"/>
  <c r="F51" i="39" s="1"/>
  <c r="AW12" i="29"/>
  <c r="G35" i="39" s="1"/>
  <c r="Y50" i="29"/>
  <c r="AC54" i="29"/>
  <c r="M25" i="29"/>
  <c r="AV25" i="29" s="1"/>
  <c r="F48" i="39" s="1"/>
  <c r="K23" i="29"/>
  <c r="AV21" i="29"/>
  <c r="M14" i="29"/>
  <c r="AE61" i="29"/>
  <c r="AW61" i="29" s="1"/>
  <c r="G82" i="39" s="1"/>
  <c r="AV33" i="29"/>
  <c r="Q65" i="29"/>
  <c r="M18" i="29"/>
  <c r="AE57" i="29"/>
  <c r="AW57" i="29" s="1"/>
  <c r="M29" i="29"/>
  <c r="AV29" i="29" s="1"/>
  <c r="F52" i="39" s="1"/>
  <c r="G41" i="29"/>
  <c r="AV41" i="29" s="1"/>
  <c r="F64" i="39" s="1"/>
  <c r="K34" i="29"/>
  <c r="AV45" i="29"/>
  <c r="F68" i="39" s="1"/>
  <c r="G18" i="29"/>
  <c r="Y41" i="29"/>
  <c r="AW41" i="29" s="1"/>
  <c r="G48" i="29"/>
  <c r="AV48" i="29" s="1"/>
  <c r="F70" i="39" s="1"/>
  <c r="K45" i="29"/>
  <c r="K42" i="29"/>
  <c r="AV65" i="29"/>
  <c r="F86" i="39" s="1"/>
  <c r="Q45" i="29"/>
  <c r="AE66" i="29"/>
  <c r="AW66" i="29" s="1"/>
  <c r="G87" i="39" s="1"/>
  <c r="AC46" i="29"/>
  <c r="AE55" i="29"/>
  <c r="AW55" i="29" s="1"/>
  <c r="G77" i="39" s="1"/>
  <c r="G16" i="29"/>
  <c r="AV16" i="29" s="1"/>
  <c r="F39" i="39" s="1"/>
  <c r="G62" i="29"/>
  <c r="AV62" i="29" s="1"/>
  <c r="F83" i="39" s="1"/>
  <c r="K57" i="29"/>
  <c r="Q53" i="29"/>
  <c r="AI60" i="29"/>
  <c r="M22" i="29"/>
  <c r="M61" i="29"/>
  <c r="AV61" i="29" s="1"/>
  <c r="F82" i="39" s="1"/>
  <c r="AV69" i="29"/>
  <c r="F90" i="39" s="1"/>
  <c r="Q38" i="29"/>
  <c r="M17" i="29"/>
  <c r="AV17" i="29" s="1"/>
  <c r="F40" i="39" s="1"/>
  <c r="K68" i="29"/>
  <c r="AC40" i="29"/>
  <c r="AC43" i="29"/>
  <c r="K39" i="29"/>
  <c r="K52" i="29"/>
  <c r="Y37" i="29"/>
  <c r="AW37" i="29" s="1"/>
  <c r="G60" i="39" s="1"/>
  <c r="AW48" i="29"/>
  <c r="G70" i="39" s="1"/>
  <c r="AW44" i="29"/>
  <c r="G67" i="39" s="1"/>
  <c r="AC48" i="29"/>
  <c r="AC55" i="29"/>
  <c r="AC52" i="29"/>
  <c r="Y42" i="29"/>
  <c r="AW42" i="29" s="1"/>
  <c r="G65" i="39" s="1"/>
  <c r="G40" i="29"/>
  <c r="AV40" i="29" s="1"/>
  <c r="F63" i="39" s="1"/>
  <c r="G53" i="29"/>
  <c r="AV53" i="29" s="1"/>
  <c r="F75" i="39" s="1"/>
  <c r="K55" i="29"/>
  <c r="K25" i="29"/>
  <c r="AC51" i="29"/>
  <c r="AI64" i="29"/>
  <c r="G12" i="29"/>
  <c r="K24" i="29"/>
  <c r="K44" i="29"/>
  <c r="K60" i="29"/>
  <c r="K46" i="29"/>
  <c r="K13" i="29"/>
  <c r="K29" i="29"/>
  <c r="AV20" i="29"/>
  <c r="F43" i="39" s="1"/>
  <c r="AV68" i="29"/>
  <c r="F89" i="39" s="1"/>
  <c r="AC56" i="29"/>
  <c r="AI68" i="29"/>
  <c r="Q63" i="29"/>
  <c r="Q68" i="29"/>
  <c r="G26" i="29"/>
  <c r="AV26" i="29" s="1"/>
  <c r="F49" i="39" s="1"/>
  <c r="AV24" i="29"/>
  <c r="F47" i="39" s="1"/>
  <c r="AV50" i="29"/>
  <c r="F72" i="39" s="1"/>
  <c r="Y38" i="29"/>
  <c r="AV42" i="29"/>
  <c r="F65" i="39" s="1"/>
  <c r="K70" i="29"/>
  <c r="K37" i="29"/>
  <c r="K69" i="29"/>
  <c r="K50" i="29"/>
  <c r="AC36" i="29"/>
  <c r="Q66" i="29"/>
  <c r="AV46" i="29"/>
  <c r="K28" i="29"/>
  <c r="K36" i="29"/>
  <c r="K56" i="29"/>
  <c r="K54" i="29"/>
  <c r="AV70" i="29"/>
  <c r="F91" i="39" s="1"/>
  <c r="G22" i="29"/>
  <c r="AV38" i="29"/>
  <c r="F61" i="39" s="1"/>
  <c r="G14" i="29"/>
  <c r="Q70" i="29"/>
  <c r="AV58" i="29"/>
  <c r="F79" i="39" s="1"/>
  <c r="I79" i="39" s="1"/>
  <c r="AC39" i="29"/>
  <c r="K17" i="29"/>
  <c r="K33" i="29"/>
  <c r="K49" i="29"/>
  <c r="K65" i="29"/>
  <c r="K58" i="29"/>
  <c r="Q62" i="29"/>
  <c r="AC61" i="29"/>
  <c r="AC69" i="29"/>
  <c r="AC65" i="29"/>
  <c r="AW17" i="29"/>
  <c r="G40" i="39" s="1"/>
  <c r="AW45" i="29"/>
  <c r="G68" i="39" s="1"/>
  <c r="AC60" i="29"/>
  <c r="AC66" i="29"/>
  <c r="AW68" i="29"/>
  <c r="G89" i="39" s="1"/>
  <c r="AW32" i="29"/>
  <c r="G55" i="39" s="1"/>
  <c r="AW8" i="29"/>
  <c r="AC63" i="29"/>
  <c r="AW13" i="29"/>
  <c r="G36" i="39" s="1"/>
  <c r="Y62" i="29"/>
  <c r="AC67" i="29"/>
  <c r="AC70" i="29"/>
  <c r="AW36" i="29"/>
  <c r="AW53" i="29"/>
  <c r="G75" i="39" s="1"/>
  <c r="AW22" i="29"/>
  <c r="G45" i="39" s="1"/>
  <c r="AW33" i="29"/>
  <c r="G56" i="39" s="1"/>
  <c r="I56" i="39" s="1"/>
  <c r="AW10" i="29"/>
  <c r="G33" i="39" s="1"/>
  <c r="I33" i="39" s="1"/>
  <c r="AW35" i="29"/>
  <c r="AW52" i="29"/>
  <c r="AW28" i="29"/>
  <c r="G51" i="39" s="1"/>
  <c r="AW7" i="29"/>
  <c r="AW27" i="29"/>
  <c r="AW21" i="29"/>
  <c r="G44" i="39" s="1"/>
  <c r="I44" i="39" s="1"/>
  <c r="AW46" i="29"/>
  <c r="AW25" i="29"/>
  <c r="G48" i="39" s="1"/>
  <c r="AW40" i="29"/>
  <c r="G63" i="39" s="1"/>
  <c r="AW15" i="29"/>
  <c r="G38" i="39" s="1"/>
  <c r="AW24" i="29"/>
  <c r="G47" i="39" s="1"/>
  <c r="AW56" i="29"/>
  <c r="AW9" i="29"/>
  <c r="AW11" i="29"/>
  <c r="AW29" i="29"/>
  <c r="G52" i="39" s="1"/>
  <c r="AW30" i="29"/>
  <c r="G53" i="39" s="1"/>
  <c r="AW67" i="29"/>
  <c r="AW60" i="29"/>
  <c r="G81" i="39" s="1"/>
  <c r="AW64" i="29"/>
  <c r="G85" i="39" s="1"/>
  <c r="C70" i="17"/>
  <c r="D89" i="39" s="1"/>
  <c r="K89" i="39" s="1"/>
  <c r="N70" i="17"/>
  <c r="O70" i="17"/>
  <c r="W70" i="17"/>
  <c r="B70" i="17" s="1"/>
  <c r="I63" i="39" l="1"/>
  <c r="I82" i="39"/>
  <c r="I65" i="39"/>
  <c r="I66" i="39"/>
  <c r="AX27" i="29"/>
  <c r="G50" i="39"/>
  <c r="I50" i="39" s="1"/>
  <c r="AX7" i="29"/>
  <c r="G30" i="39"/>
  <c r="I30" i="39" s="1"/>
  <c r="I68" i="39"/>
  <c r="I51" i="39"/>
  <c r="I81" i="39"/>
  <c r="AX9" i="29"/>
  <c r="G32" i="39"/>
  <c r="I32" i="39" s="1"/>
  <c r="I89" i="39"/>
  <c r="I77" i="39"/>
  <c r="AX59" i="29"/>
  <c r="G80" i="39"/>
  <c r="I80" i="39" s="1"/>
  <c r="AX56" i="29"/>
  <c r="G78" i="39"/>
  <c r="I78" i="39" s="1"/>
  <c r="AX36" i="29"/>
  <c r="G59" i="39"/>
  <c r="I59" i="39" s="1"/>
  <c r="AX52" i="29"/>
  <c r="G74" i="39"/>
  <c r="I74" i="39" s="1"/>
  <c r="I43" i="39"/>
  <c r="I38" i="39"/>
  <c r="I60" i="39"/>
  <c r="AX31" i="29"/>
  <c r="G54" i="39"/>
  <c r="I54" i="39" s="1"/>
  <c r="AX11" i="29"/>
  <c r="G34" i="39"/>
  <c r="I34" i="39" s="1"/>
  <c r="AX67" i="29"/>
  <c r="G88" i="39"/>
  <c r="I88" i="39" s="1"/>
  <c r="AX35" i="29"/>
  <c r="G58" i="39"/>
  <c r="I58" i="39" s="1"/>
  <c r="I47" i="39"/>
  <c r="I52" i="39"/>
  <c r="AX63" i="29"/>
  <c r="G84" i="39"/>
  <c r="I84" i="39" s="1"/>
  <c r="AX8" i="29"/>
  <c r="G31" i="39"/>
  <c r="I31" i="39" s="1"/>
  <c r="I40" i="39"/>
  <c r="I48" i="39"/>
  <c r="I86" i="39"/>
  <c r="AX39" i="29"/>
  <c r="G62" i="39"/>
  <c r="I62" i="39" s="1"/>
  <c r="I91" i="39"/>
  <c r="K91" i="39"/>
  <c r="I39" i="39"/>
  <c r="I70" i="39"/>
  <c r="I67" i="39"/>
  <c r="I71" i="39"/>
  <c r="I75" i="39"/>
  <c r="I90" i="39"/>
  <c r="K90" i="39"/>
  <c r="AX41" i="29"/>
  <c r="G64" i="39"/>
  <c r="I64" i="39" s="1"/>
  <c r="AW50" i="29"/>
  <c r="G72" i="39" s="1"/>
  <c r="I72" i="39" s="1"/>
  <c r="I36" i="39"/>
  <c r="AX47" i="29"/>
  <c r="G69" i="39"/>
  <c r="I69" i="39" s="1"/>
  <c r="AX51" i="29"/>
  <c r="G73" i="39"/>
  <c r="I73" i="39" s="1"/>
  <c r="I87" i="39"/>
  <c r="I76" i="39"/>
  <c r="I49" i="39"/>
  <c r="AX19" i="29"/>
  <c r="G42" i="39"/>
  <c r="I42" i="39" s="1"/>
  <c r="AV12" i="29"/>
  <c r="F35" i="39" s="1"/>
  <c r="I35" i="39" s="1"/>
  <c r="AW38" i="29"/>
  <c r="G61" i="39" s="1"/>
  <c r="I61" i="39" s="1"/>
  <c r="AX23" i="29"/>
  <c r="AX15" i="29"/>
  <c r="AV32" i="29"/>
  <c r="AX43" i="29"/>
  <c r="AX55" i="29"/>
  <c r="AX49" i="29"/>
  <c r="AX26" i="29"/>
  <c r="P70" i="17"/>
  <c r="AW62" i="29"/>
  <c r="AV64" i="29"/>
  <c r="AX60" i="29"/>
  <c r="AX28" i="29"/>
  <c r="AX42" i="29"/>
  <c r="AV30" i="29"/>
  <c r="AX53" i="29"/>
  <c r="AX24" i="29"/>
  <c r="AX20" i="29"/>
  <c r="AX44" i="29"/>
  <c r="AX48" i="29"/>
  <c r="AX65" i="29"/>
  <c r="AX45" i="29"/>
  <c r="AX46" i="29"/>
  <c r="AX69" i="29"/>
  <c r="AV14" i="29"/>
  <c r="AV18" i="29"/>
  <c r="AX57" i="29"/>
  <c r="R70" i="17"/>
  <c r="AX33" i="29"/>
  <c r="AV22" i="29"/>
  <c r="AX25" i="29"/>
  <c r="AX40" i="29"/>
  <c r="AX16" i="29"/>
  <c r="AX50" i="29"/>
  <c r="AX58" i="29"/>
  <c r="AX17" i="29"/>
  <c r="AX10" i="29"/>
  <c r="AX37" i="29"/>
  <c r="AX34" i="29"/>
  <c r="AX68" i="29"/>
  <c r="AX54" i="29"/>
  <c r="AX66" i="29"/>
  <c r="AX29" i="29"/>
  <c r="AX21" i="29"/>
  <c r="AX70" i="29"/>
  <c r="AX13" i="29"/>
  <c r="AX61" i="29"/>
  <c r="P403" i="21"/>
  <c r="O403" i="21"/>
  <c r="N403" i="21"/>
  <c r="M403" i="21"/>
  <c r="L403" i="21"/>
  <c r="K403" i="21"/>
  <c r="J403" i="21"/>
  <c r="I403" i="21"/>
  <c r="H403" i="21"/>
  <c r="G403" i="21"/>
  <c r="F403" i="21"/>
  <c r="E403" i="21"/>
  <c r="D403" i="21"/>
  <c r="C403" i="21"/>
  <c r="P402" i="21"/>
  <c r="O402" i="21"/>
  <c r="N402" i="21"/>
  <c r="M402" i="21"/>
  <c r="L402" i="21"/>
  <c r="K402" i="21"/>
  <c r="J402" i="21"/>
  <c r="I402" i="21"/>
  <c r="H402" i="21"/>
  <c r="G402" i="21"/>
  <c r="F402" i="21"/>
  <c r="E402" i="21"/>
  <c r="D402" i="21"/>
  <c r="C402" i="21"/>
  <c r="P401" i="21"/>
  <c r="O401" i="21"/>
  <c r="N401" i="21"/>
  <c r="M401" i="21"/>
  <c r="L401" i="21"/>
  <c r="K401" i="21"/>
  <c r="J401" i="21"/>
  <c r="I401" i="21"/>
  <c r="H401" i="21"/>
  <c r="G401" i="21"/>
  <c r="F401" i="21"/>
  <c r="E401" i="21"/>
  <c r="D401" i="21"/>
  <c r="C401" i="21"/>
  <c r="P400" i="21"/>
  <c r="O400" i="21"/>
  <c r="N400" i="21"/>
  <c r="M400" i="21"/>
  <c r="L400" i="21"/>
  <c r="K400" i="21"/>
  <c r="J400" i="21"/>
  <c r="I400" i="21"/>
  <c r="H400" i="21"/>
  <c r="G400" i="21"/>
  <c r="F400" i="21"/>
  <c r="E400" i="21"/>
  <c r="D400" i="21"/>
  <c r="C400" i="21"/>
  <c r="P399" i="21"/>
  <c r="O399" i="21"/>
  <c r="N399" i="21"/>
  <c r="M399" i="21"/>
  <c r="L399" i="21"/>
  <c r="K399" i="21"/>
  <c r="J399" i="21"/>
  <c r="I399" i="21"/>
  <c r="H399" i="21"/>
  <c r="G399" i="21"/>
  <c r="F399" i="21"/>
  <c r="E399" i="21"/>
  <c r="D399" i="21"/>
  <c r="C399" i="21"/>
  <c r="P398" i="21"/>
  <c r="O398" i="21"/>
  <c r="N398" i="21"/>
  <c r="M398" i="21"/>
  <c r="L398" i="21"/>
  <c r="K398" i="21"/>
  <c r="J398" i="21"/>
  <c r="I398" i="21"/>
  <c r="H398" i="21"/>
  <c r="G398" i="21"/>
  <c r="F398" i="21"/>
  <c r="E398" i="21"/>
  <c r="D398" i="21"/>
  <c r="C398" i="21"/>
  <c r="P397" i="21"/>
  <c r="O397" i="21"/>
  <c r="N397" i="21"/>
  <c r="M397" i="21"/>
  <c r="L397" i="21"/>
  <c r="K397" i="21"/>
  <c r="J397" i="21"/>
  <c r="I397" i="21"/>
  <c r="H397" i="21"/>
  <c r="G397" i="21"/>
  <c r="F397" i="21"/>
  <c r="E397" i="21"/>
  <c r="D397" i="21"/>
  <c r="C397" i="21"/>
  <c r="P396" i="21"/>
  <c r="O396" i="21"/>
  <c r="N396" i="21"/>
  <c r="M396" i="21"/>
  <c r="L396" i="21"/>
  <c r="K396" i="21"/>
  <c r="J396" i="21"/>
  <c r="I396" i="21"/>
  <c r="H396" i="21"/>
  <c r="G396" i="21"/>
  <c r="F396" i="21"/>
  <c r="E396" i="21"/>
  <c r="D396" i="21"/>
  <c r="C396" i="21"/>
  <c r="P395" i="21"/>
  <c r="O395" i="21"/>
  <c r="N395" i="21"/>
  <c r="M395" i="21"/>
  <c r="L395" i="21"/>
  <c r="K395" i="21"/>
  <c r="J395" i="21"/>
  <c r="I395" i="21"/>
  <c r="H395" i="21"/>
  <c r="G395" i="21"/>
  <c r="F395" i="21"/>
  <c r="E395" i="21"/>
  <c r="D395" i="21"/>
  <c r="C395" i="21"/>
  <c r="P394" i="21"/>
  <c r="O394" i="21"/>
  <c r="N394" i="21"/>
  <c r="M394" i="21"/>
  <c r="L394" i="21"/>
  <c r="K394" i="21"/>
  <c r="J394" i="21"/>
  <c r="I394" i="21"/>
  <c r="H394" i="21"/>
  <c r="G394" i="21"/>
  <c r="F394" i="21"/>
  <c r="E394" i="21"/>
  <c r="D394" i="21"/>
  <c r="C394" i="21"/>
  <c r="P393" i="21"/>
  <c r="O393" i="21"/>
  <c r="N393" i="21"/>
  <c r="M393" i="21"/>
  <c r="L393" i="21"/>
  <c r="K393" i="21"/>
  <c r="J393" i="21"/>
  <c r="I393" i="21"/>
  <c r="H393" i="21"/>
  <c r="G393" i="21"/>
  <c r="F393" i="21"/>
  <c r="E393" i="21"/>
  <c r="D393" i="21"/>
  <c r="C393" i="21"/>
  <c r="P392" i="21"/>
  <c r="O392" i="21"/>
  <c r="N392" i="21"/>
  <c r="M392" i="21"/>
  <c r="L392" i="21"/>
  <c r="K392" i="21"/>
  <c r="J392" i="21"/>
  <c r="I392" i="21"/>
  <c r="H392" i="21"/>
  <c r="G392" i="21"/>
  <c r="F392" i="21"/>
  <c r="E392" i="21"/>
  <c r="D392" i="21"/>
  <c r="C392" i="21"/>
  <c r="P391" i="21"/>
  <c r="O391" i="21"/>
  <c r="N391" i="21"/>
  <c r="M391" i="21"/>
  <c r="L391" i="21"/>
  <c r="K391" i="21"/>
  <c r="J391" i="21"/>
  <c r="I391" i="21"/>
  <c r="H391" i="21"/>
  <c r="G391" i="21"/>
  <c r="F391" i="21"/>
  <c r="E391" i="21"/>
  <c r="D391" i="21"/>
  <c r="C391" i="21"/>
  <c r="P390" i="21"/>
  <c r="O390" i="21"/>
  <c r="N390" i="21"/>
  <c r="M390" i="21"/>
  <c r="L390" i="21"/>
  <c r="K390" i="21"/>
  <c r="J390" i="21"/>
  <c r="I390" i="21"/>
  <c r="H390" i="21"/>
  <c r="G390" i="21"/>
  <c r="F390" i="21"/>
  <c r="E390" i="21"/>
  <c r="D390" i="21"/>
  <c r="C390" i="21"/>
  <c r="P389" i="21"/>
  <c r="O389" i="21"/>
  <c r="N389" i="21"/>
  <c r="M389" i="21"/>
  <c r="L389" i="21"/>
  <c r="K389" i="21"/>
  <c r="J389" i="21"/>
  <c r="I389" i="21"/>
  <c r="H389" i="21"/>
  <c r="G389" i="21"/>
  <c r="F389" i="21"/>
  <c r="E389" i="21"/>
  <c r="D389" i="21"/>
  <c r="C389" i="21"/>
  <c r="P388" i="21"/>
  <c r="O388" i="21"/>
  <c r="N388" i="21"/>
  <c r="M388" i="21"/>
  <c r="L388" i="21"/>
  <c r="K388" i="21"/>
  <c r="J388" i="21"/>
  <c r="I388" i="21"/>
  <c r="H388" i="21"/>
  <c r="G388" i="21"/>
  <c r="F388" i="21"/>
  <c r="E388" i="21"/>
  <c r="D388" i="21"/>
  <c r="C388" i="21"/>
  <c r="P387" i="21"/>
  <c r="O387" i="21"/>
  <c r="N387" i="21"/>
  <c r="M387" i="21"/>
  <c r="L387" i="21"/>
  <c r="K387" i="21"/>
  <c r="J387" i="21"/>
  <c r="I387" i="21"/>
  <c r="H387" i="21"/>
  <c r="G387" i="21"/>
  <c r="F387" i="21"/>
  <c r="E387" i="21"/>
  <c r="D387" i="21"/>
  <c r="C387" i="21"/>
  <c r="P386" i="21"/>
  <c r="O386" i="21"/>
  <c r="N386" i="21"/>
  <c r="M386" i="21"/>
  <c r="L386" i="21"/>
  <c r="K386" i="21"/>
  <c r="J386" i="21"/>
  <c r="I386" i="21"/>
  <c r="H386" i="21"/>
  <c r="G386" i="21"/>
  <c r="F386" i="21"/>
  <c r="E386" i="21"/>
  <c r="D386" i="21"/>
  <c r="C386" i="21"/>
  <c r="P385" i="21"/>
  <c r="O385" i="21"/>
  <c r="N385" i="21"/>
  <c r="M385" i="21"/>
  <c r="L385" i="21"/>
  <c r="K385" i="21"/>
  <c r="J385" i="21"/>
  <c r="I385" i="21"/>
  <c r="H385" i="21"/>
  <c r="G385" i="21"/>
  <c r="F385" i="21"/>
  <c r="E385" i="21"/>
  <c r="D385" i="21"/>
  <c r="C385" i="21"/>
  <c r="P384" i="21"/>
  <c r="O384" i="21"/>
  <c r="N384" i="21"/>
  <c r="M384" i="21"/>
  <c r="L384" i="21"/>
  <c r="K384" i="21"/>
  <c r="J384" i="21"/>
  <c r="I384" i="21"/>
  <c r="H384" i="21"/>
  <c r="G384" i="21"/>
  <c r="F384" i="21"/>
  <c r="E384" i="21"/>
  <c r="D384" i="21"/>
  <c r="C384" i="21"/>
  <c r="P383" i="21"/>
  <c r="O383" i="21"/>
  <c r="N383" i="21"/>
  <c r="M383" i="21"/>
  <c r="L383" i="21"/>
  <c r="K383" i="21"/>
  <c r="J383" i="21"/>
  <c r="I383" i="21"/>
  <c r="H383" i="21"/>
  <c r="G383" i="21"/>
  <c r="F383" i="21"/>
  <c r="E383" i="21"/>
  <c r="D383" i="21"/>
  <c r="C383" i="21"/>
  <c r="P382" i="21"/>
  <c r="O382" i="21"/>
  <c r="N382" i="21"/>
  <c r="M382" i="21"/>
  <c r="L382" i="21"/>
  <c r="K382" i="21"/>
  <c r="J382" i="21"/>
  <c r="I382" i="21"/>
  <c r="H382" i="21"/>
  <c r="G382" i="21"/>
  <c r="F382" i="21"/>
  <c r="E382" i="21"/>
  <c r="D382" i="21"/>
  <c r="C382" i="21"/>
  <c r="P381" i="21"/>
  <c r="O381" i="21"/>
  <c r="N381" i="21"/>
  <c r="M381" i="21"/>
  <c r="L381" i="21"/>
  <c r="K381" i="21"/>
  <c r="J381" i="21"/>
  <c r="I381" i="21"/>
  <c r="H381" i="21"/>
  <c r="G381" i="21"/>
  <c r="F381" i="21"/>
  <c r="E381" i="21"/>
  <c r="D381" i="21"/>
  <c r="C381" i="21"/>
  <c r="P380" i="21"/>
  <c r="O380" i="21"/>
  <c r="N380" i="21"/>
  <c r="M380" i="21"/>
  <c r="L380" i="21"/>
  <c r="K380" i="21"/>
  <c r="J380" i="21"/>
  <c r="I380" i="21"/>
  <c r="H380" i="21"/>
  <c r="G380" i="21"/>
  <c r="F380" i="21"/>
  <c r="E380" i="21"/>
  <c r="D380" i="21"/>
  <c r="C380" i="21"/>
  <c r="P379" i="21"/>
  <c r="O379" i="21"/>
  <c r="N379" i="21"/>
  <c r="M379" i="21"/>
  <c r="L379" i="21"/>
  <c r="K379" i="21"/>
  <c r="J379" i="21"/>
  <c r="I379" i="21"/>
  <c r="H379" i="21"/>
  <c r="G379" i="21"/>
  <c r="F379" i="21"/>
  <c r="E379" i="21"/>
  <c r="D379" i="21"/>
  <c r="C379" i="21"/>
  <c r="P378" i="21"/>
  <c r="O378" i="21"/>
  <c r="N378" i="21"/>
  <c r="M378" i="21"/>
  <c r="L378" i="21"/>
  <c r="K378" i="21"/>
  <c r="J378" i="21"/>
  <c r="I378" i="21"/>
  <c r="H378" i="21"/>
  <c r="G378" i="21"/>
  <c r="F378" i="21"/>
  <c r="E378" i="21"/>
  <c r="D378" i="21"/>
  <c r="C378" i="21"/>
  <c r="P377" i="21"/>
  <c r="O377" i="21"/>
  <c r="N377" i="21"/>
  <c r="M377" i="21"/>
  <c r="L377" i="21"/>
  <c r="K377" i="21"/>
  <c r="J377" i="21"/>
  <c r="I377" i="21"/>
  <c r="H377" i="21"/>
  <c r="G377" i="21"/>
  <c r="F377" i="21"/>
  <c r="E377" i="21"/>
  <c r="D377" i="21"/>
  <c r="C377" i="21"/>
  <c r="P376" i="21"/>
  <c r="O376" i="21"/>
  <c r="N376" i="21"/>
  <c r="M376" i="21"/>
  <c r="L376" i="21"/>
  <c r="K376" i="21"/>
  <c r="J376" i="21"/>
  <c r="I376" i="21"/>
  <c r="H376" i="21"/>
  <c r="G376" i="21"/>
  <c r="F376" i="21"/>
  <c r="E376" i="21"/>
  <c r="D376" i="21"/>
  <c r="C376" i="21"/>
  <c r="P375" i="21"/>
  <c r="O375" i="21"/>
  <c r="N375" i="21"/>
  <c r="M375" i="21"/>
  <c r="L375" i="21"/>
  <c r="K375" i="21"/>
  <c r="J375" i="21"/>
  <c r="I375" i="21"/>
  <c r="H375" i="21"/>
  <c r="G375" i="21"/>
  <c r="F375" i="21"/>
  <c r="E375" i="21"/>
  <c r="D375" i="21"/>
  <c r="C375" i="21"/>
  <c r="P374" i="21"/>
  <c r="O374" i="21"/>
  <c r="N374" i="21"/>
  <c r="M374" i="21"/>
  <c r="L374" i="21"/>
  <c r="K374" i="21"/>
  <c r="J374" i="21"/>
  <c r="I374" i="21"/>
  <c r="H374" i="21"/>
  <c r="G374" i="21"/>
  <c r="F374" i="21"/>
  <c r="E374" i="21"/>
  <c r="D374" i="21"/>
  <c r="C374" i="21"/>
  <c r="P373" i="21"/>
  <c r="O373" i="21"/>
  <c r="N373" i="21"/>
  <c r="M373" i="21"/>
  <c r="L373" i="21"/>
  <c r="K373" i="21"/>
  <c r="J373" i="21"/>
  <c r="I373" i="21"/>
  <c r="H373" i="21"/>
  <c r="G373" i="21"/>
  <c r="F373" i="21"/>
  <c r="E373" i="21"/>
  <c r="D373" i="21"/>
  <c r="C373" i="21"/>
  <c r="P372" i="21"/>
  <c r="O372" i="21"/>
  <c r="N372" i="21"/>
  <c r="M372" i="21"/>
  <c r="L372" i="21"/>
  <c r="K372" i="21"/>
  <c r="J372" i="21"/>
  <c r="I372" i="21"/>
  <c r="H372" i="21"/>
  <c r="G372" i="21"/>
  <c r="F372" i="21"/>
  <c r="E372" i="21"/>
  <c r="D372" i="21"/>
  <c r="C372" i="21"/>
  <c r="P371" i="21"/>
  <c r="O371" i="21"/>
  <c r="N371" i="21"/>
  <c r="M371" i="21"/>
  <c r="L371" i="21"/>
  <c r="K371" i="21"/>
  <c r="J371" i="21"/>
  <c r="I371" i="21"/>
  <c r="H371" i="21"/>
  <c r="G371" i="21"/>
  <c r="F371" i="21"/>
  <c r="E371" i="21"/>
  <c r="D371" i="21"/>
  <c r="C371" i="21"/>
  <c r="P370" i="21"/>
  <c r="O370" i="21"/>
  <c r="N370" i="21"/>
  <c r="M370" i="21"/>
  <c r="L370" i="21"/>
  <c r="K370" i="21"/>
  <c r="J370" i="21"/>
  <c r="I370" i="21"/>
  <c r="H370" i="21"/>
  <c r="G370" i="21"/>
  <c r="F370" i="21"/>
  <c r="E370" i="21"/>
  <c r="D370" i="21"/>
  <c r="C370" i="21"/>
  <c r="P369" i="21"/>
  <c r="O369" i="21"/>
  <c r="N369" i="21"/>
  <c r="M369" i="21"/>
  <c r="L369" i="21"/>
  <c r="K369" i="21"/>
  <c r="J369" i="21"/>
  <c r="I369" i="21"/>
  <c r="H369" i="21"/>
  <c r="G369" i="21"/>
  <c r="F369" i="21"/>
  <c r="E369" i="21"/>
  <c r="D369" i="21"/>
  <c r="C369" i="21"/>
  <c r="P368" i="21"/>
  <c r="O368" i="21"/>
  <c r="N368" i="21"/>
  <c r="M368" i="21"/>
  <c r="L368" i="21"/>
  <c r="K368" i="21"/>
  <c r="J368" i="21"/>
  <c r="I368" i="21"/>
  <c r="H368" i="21"/>
  <c r="G368" i="21"/>
  <c r="F368" i="21"/>
  <c r="E368" i="21"/>
  <c r="D368" i="21"/>
  <c r="C368" i="21"/>
  <c r="P367" i="21"/>
  <c r="O367" i="21"/>
  <c r="N367" i="21"/>
  <c r="M367" i="21"/>
  <c r="L367" i="21"/>
  <c r="K367" i="21"/>
  <c r="J367" i="21"/>
  <c r="I367" i="21"/>
  <c r="H367" i="21"/>
  <c r="G367" i="21"/>
  <c r="F367" i="21"/>
  <c r="E367" i="21"/>
  <c r="D367" i="21"/>
  <c r="C367" i="21"/>
  <c r="P366" i="21"/>
  <c r="O366" i="21"/>
  <c r="N366" i="21"/>
  <c r="M366" i="21"/>
  <c r="L366" i="21"/>
  <c r="K366" i="21"/>
  <c r="J366" i="21"/>
  <c r="I366" i="21"/>
  <c r="H366" i="21"/>
  <c r="G366" i="21"/>
  <c r="F366" i="21"/>
  <c r="E366" i="21"/>
  <c r="D366" i="21"/>
  <c r="C366" i="21"/>
  <c r="P365" i="21"/>
  <c r="O365" i="21"/>
  <c r="N365" i="21"/>
  <c r="M365" i="21"/>
  <c r="L365" i="21"/>
  <c r="K365" i="21"/>
  <c r="J365" i="21"/>
  <c r="I365" i="21"/>
  <c r="H365" i="21"/>
  <c r="G365" i="21"/>
  <c r="F365" i="21"/>
  <c r="E365" i="21"/>
  <c r="D365" i="21"/>
  <c r="C365" i="21"/>
  <c r="P364" i="21"/>
  <c r="O364" i="21"/>
  <c r="N364" i="21"/>
  <c r="M364" i="21"/>
  <c r="L364" i="21"/>
  <c r="K364" i="21"/>
  <c r="J364" i="21"/>
  <c r="I364" i="21"/>
  <c r="H364" i="21"/>
  <c r="G364" i="21"/>
  <c r="E364" i="21"/>
  <c r="C364" i="21"/>
  <c r="P363" i="21"/>
  <c r="O363" i="21"/>
  <c r="N363" i="21"/>
  <c r="M363" i="21"/>
  <c r="L363" i="21"/>
  <c r="K363" i="21"/>
  <c r="J363" i="21"/>
  <c r="I363" i="21"/>
  <c r="H363" i="21"/>
  <c r="G363" i="21"/>
  <c r="F363" i="21"/>
  <c r="E363" i="21"/>
  <c r="D363" i="21"/>
  <c r="C363" i="21"/>
  <c r="P362" i="21"/>
  <c r="O362" i="21"/>
  <c r="N362" i="21"/>
  <c r="M362" i="21"/>
  <c r="L362" i="21"/>
  <c r="K362" i="21"/>
  <c r="J362" i="21"/>
  <c r="I362" i="21"/>
  <c r="H362" i="21"/>
  <c r="G362" i="21"/>
  <c r="F362" i="21"/>
  <c r="E362" i="21"/>
  <c r="D362" i="21"/>
  <c r="C362" i="21"/>
  <c r="P361" i="21"/>
  <c r="O361" i="21"/>
  <c r="N361" i="21"/>
  <c r="M361" i="21"/>
  <c r="L361" i="21"/>
  <c r="K361" i="21"/>
  <c r="J361" i="21"/>
  <c r="I361" i="21"/>
  <c r="H361" i="21"/>
  <c r="G361" i="21"/>
  <c r="F361" i="21"/>
  <c r="E361" i="21"/>
  <c r="D361" i="21"/>
  <c r="C361" i="21"/>
  <c r="P360" i="21"/>
  <c r="O360" i="21"/>
  <c r="N360" i="21"/>
  <c r="M360" i="21"/>
  <c r="L360" i="21"/>
  <c r="K360" i="21"/>
  <c r="J360" i="21"/>
  <c r="I360" i="21"/>
  <c r="H360" i="21"/>
  <c r="G360" i="21"/>
  <c r="F360" i="21"/>
  <c r="E360" i="21"/>
  <c r="D360" i="21"/>
  <c r="C360" i="21"/>
  <c r="P359" i="21"/>
  <c r="O359" i="21"/>
  <c r="N359" i="21"/>
  <c r="M359" i="21"/>
  <c r="L359" i="21"/>
  <c r="K359" i="21"/>
  <c r="J359" i="21"/>
  <c r="I359" i="21"/>
  <c r="H359" i="21"/>
  <c r="G359" i="21"/>
  <c r="F359" i="21"/>
  <c r="E359" i="21"/>
  <c r="D359" i="21"/>
  <c r="C359" i="21"/>
  <c r="P358" i="21"/>
  <c r="O358" i="21"/>
  <c r="N358" i="21"/>
  <c r="M358" i="21"/>
  <c r="L358" i="21"/>
  <c r="K358" i="21"/>
  <c r="J358" i="21"/>
  <c r="I358" i="21"/>
  <c r="H358" i="21"/>
  <c r="G358" i="21"/>
  <c r="F358" i="21"/>
  <c r="E358" i="21"/>
  <c r="D358" i="21"/>
  <c r="C358" i="21"/>
  <c r="P357" i="21"/>
  <c r="O357" i="21"/>
  <c r="N357" i="21"/>
  <c r="M357" i="21"/>
  <c r="L357" i="21"/>
  <c r="K357" i="21"/>
  <c r="J357" i="21"/>
  <c r="I357" i="21"/>
  <c r="H357" i="21"/>
  <c r="G357" i="21"/>
  <c r="F357" i="21"/>
  <c r="E357" i="21"/>
  <c r="D357" i="21"/>
  <c r="C357" i="21"/>
  <c r="P356" i="21"/>
  <c r="O356" i="21"/>
  <c r="N356" i="21"/>
  <c r="M356" i="21"/>
  <c r="L356" i="21"/>
  <c r="K356" i="21"/>
  <c r="J356" i="21"/>
  <c r="I356" i="21"/>
  <c r="H356" i="21"/>
  <c r="G356" i="21"/>
  <c r="F356" i="21"/>
  <c r="E356" i="21"/>
  <c r="D356" i="21"/>
  <c r="C356" i="21"/>
  <c r="P355" i="21"/>
  <c r="O355" i="21"/>
  <c r="N355" i="21"/>
  <c r="M355" i="21"/>
  <c r="L355" i="21"/>
  <c r="K355" i="21"/>
  <c r="J355" i="21"/>
  <c r="I355" i="21"/>
  <c r="H355" i="21"/>
  <c r="G355" i="21"/>
  <c r="F355" i="21"/>
  <c r="E355" i="21"/>
  <c r="D355" i="21"/>
  <c r="C355" i="21"/>
  <c r="P354" i="21"/>
  <c r="O354" i="21"/>
  <c r="N354" i="21"/>
  <c r="M354" i="21"/>
  <c r="L354" i="21"/>
  <c r="K354" i="21"/>
  <c r="J354" i="21"/>
  <c r="I354" i="21"/>
  <c r="H354" i="21"/>
  <c r="G354" i="21"/>
  <c r="F354" i="21"/>
  <c r="E354" i="21"/>
  <c r="D354" i="21"/>
  <c r="C354" i="21"/>
  <c r="P353" i="21"/>
  <c r="O353" i="21"/>
  <c r="N353" i="21"/>
  <c r="M353" i="21"/>
  <c r="L353" i="21"/>
  <c r="K353" i="21"/>
  <c r="J353" i="21"/>
  <c r="I353" i="21"/>
  <c r="H353" i="21"/>
  <c r="G353" i="21"/>
  <c r="F353" i="21"/>
  <c r="E353" i="21"/>
  <c r="D353" i="21"/>
  <c r="C353" i="21"/>
  <c r="P352" i="21"/>
  <c r="O352" i="21"/>
  <c r="N352" i="21"/>
  <c r="M352" i="21"/>
  <c r="L352" i="21"/>
  <c r="K352" i="21"/>
  <c r="J352" i="21"/>
  <c r="I352" i="21"/>
  <c r="H352" i="21"/>
  <c r="G352" i="21"/>
  <c r="F352" i="21"/>
  <c r="E352" i="21"/>
  <c r="D352" i="21"/>
  <c r="C352" i="21"/>
  <c r="P351" i="21"/>
  <c r="O351" i="21"/>
  <c r="N351" i="21"/>
  <c r="M351" i="21"/>
  <c r="L351" i="21"/>
  <c r="K351" i="21"/>
  <c r="J351" i="21"/>
  <c r="I351" i="21"/>
  <c r="H351" i="21"/>
  <c r="G351" i="21"/>
  <c r="F351" i="21"/>
  <c r="E351" i="21"/>
  <c r="D351" i="21"/>
  <c r="C351" i="21"/>
  <c r="P350" i="21"/>
  <c r="O350" i="21"/>
  <c r="N350" i="21"/>
  <c r="M350" i="21"/>
  <c r="L350" i="21"/>
  <c r="K350" i="21"/>
  <c r="J350" i="21"/>
  <c r="I350" i="21"/>
  <c r="H350" i="21"/>
  <c r="G350" i="21"/>
  <c r="F350" i="21"/>
  <c r="E350" i="21"/>
  <c r="D350" i="21"/>
  <c r="C350" i="21"/>
  <c r="P349" i="21"/>
  <c r="O349" i="21"/>
  <c r="N349" i="21"/>
  <c r="M349" i="21"/>
  <c r="L349" i="21"/>
  <c r="K349" i="21"/>
  <c r="J349" i="21"/>
  <c r="I349" i="21"/>
  <c r="H349" i="21"/>
  <c r="G349" i="21"/>
  <c r="F349" i="21"/>
  <c r="E349" i="21"/>
  <c r="D349" i="21"/>
  <c r="C349" i="21"/>
  <c r="P348" i="21"/>
  <c r="O348" i="21"/>
  <c r="N348" i="21"/>
  <c r="M348" i="21"/>
  <c r="L348" i="21"/>
  <c r="K348" i="21"/>
  <c r="J348" i="21"/>
  <c r="I348" i="21"/>
  <c r="H348" i="21"/>
  <c r="G348" i="21"/>
  <c r="F348" i="21"/>
  <c r="E348" i="21"/>
  <c r="D348" i="21"/>
  <c r="C348" i="21"/>
  <c r="P347" i="21"/>
  <c r="O347" i="21"/>
  <c r="N347" i="21"/>
  <c r="M347" i="21"/>
  <c r="L347" i="21"/>
  <c r="K347" i="21"/>
  <c r="J347" i="21"/>
  <c r="I347" i="21"/>
  <c r="H347" i="21"/>
  <c r="G347" i="21"/>
  <c r="F347" i="21"/>
  <c r="E347" i="21"/>
  <c r="D347" i="21"/>
  <c r="C347" i="21"/>
  <c r="P346" i="21"/>
  <c r="O346" i="21"/>
  <c r="N346" i="21"/>
  <c r="M346" i="21"/>
  <c r="L346" i="21"/>
  <c r="K346" i="21"/>
  <c r="J346" i="21"/>
  <c r="I346" i="21"/>
  <c r="H346" i="21"/>
  <c r="G346" i="21"/>
  <c r="F346" i="21"/>
  <c r="E346" i="21"/>
  <c r="D346" i="21"/>
  <c r="C346" i="21"/>
  <c r="P345" i="21"/>
  <c r="O345" i="21"/>
  <c r="N345" i="21"/>
  <c r="M345" i="21"/>
  <c r="L345" i="21"/>
  <c r="K345" i="21"/>
  <c r="J345" i="21"/>
  <c r="I345" i="21"/>
  <c r="H345" i="21"/>
  <c r="G345" i="21"/>
  <c r="F345" i="21"/>
  <c r="E345" i="21"/>
  <c r="D345" i="21"/>
  <c r="C345" i="21"/>
  <c r="P344" i="21"/>
  <c r="O344" i="21"/>
  <c r="N344" i="21"/>
  <c r="M344" i="21"/>
  <c r="L344" i="21"/>
  <c r="K344" i="21"/>
  <c r="J344" i="21"/>
  <c r="I344" i="21"/>
  <c r="H344" i="21"/>
  <c r="G344" i="21"/>
  <c r="F344" i="21"/>
  <c r="E344" i="21"/>
  <c r="D344" i="21"/>
  <c r="C344" i="21"/>
  <c r="P343" i="21"/>
  <c r="O343" i="21"/>
  <c r="N343" i="21"/>
  <c r="M343" i="21"/>
  <c r="L343" i="21"/>
  <c r="K343" i="21"/>
  <c r="J343" i="21"/>
  <c r="I343" i="21"/>
  <c r="H343" i="21"/>
  <c r="G343" i="21"/>
  <c r="F343" i="21"/>
  <c r="E343" i="21"/>
  <c r="D343" i="21"/>
  <c r="C343" i="21"/>
  <c r="P342" i="21"/>
  <c r="O342" i="21"/>
  <c r="N342" i="21"/>
  <c r="M342" i="21"/>
  <c r="L342" i="21"/>
  <c r="K342" i="21"/>
  <c r="J342" i="21"/>
  <c r="I342" i="21"/>
  <c r="H342" i="21"/>
  <c r="G342" i="21"/>
  <c r="F342" i="21"/>
  <c r="E342" i="21"/>
  <c r="D342" i="21"/>
  <c r="C342" i="21"/>
  <c r="P341" i="21"/>
  <c r="O341" i="21"/>
  <c r="N341" i="21"/>
  <c r="M341" i="21"/>
  <c r="L341" i="21"/>
  <c r="K341" i="21"/>
  <c r="J341" i="21"/>
  <c r="I341" i="21"/>
  <c r="H341" i="21"/>
  <c r="G341" i="21"/>
  <c r="F341" i="21"/>
  <c r="E341" i="21"/>
  <c r="C341" i="21"/>
  <c r="P340" i="21"/>
  <c r="O340" i="21"/>
  <c r="N340" i="21"/>
  <c r="M340" i="21"/>
  <c r="L340" i="21"/>
  <c r="K340" i="21"/>
  <c r="J340" i="21"/>
  <c r="I340" i="21"/>
  <c r="H340" i="21"/>
  <c r="G340" i="21"/>
  <c r="F340" i="21"/>
  <c r="E340" i="21"/>
  <c r="D340" i="21"/>
  <c r="C340" i="21"/>
  <c r="P339" i="21"/>
  <c r="O339" i="21"/>
  <c r="N339" i="21"/>
  <c r="M339" i="21"/>
  <c r="L339" i="21"/>
  <c r="K339" i="21"/>
  <c r="J339" i="21"/>
  <c r="I339" i="21"/>
  <c r="H339" i="21"/>
  <c r="G339" i="21"/>
  <c r="F339" i="21"/>
  <c r="E339" i="21"/>
  <c r="D339" i="21"/>
  <c r="C339" i="21"/>
  <c r="P338" i="21"/>
  <c r="O338" i="21"/>
  <c r="N338" i="21"/>
  <c r="M338" i="21"/>
  <c r="L338" i="21"/>
  <c r="K338" i="21"/>
  <c r="J338" i="21"/>
  <c r="I338" i="21"/>
  <c r="H338" i="21"/>
  <c r="G338" i="21"/>
  <c r="F338" i="21"/>
  <c r="E338" i="21"/>
  <c r="D338" i="21"/>
  <c r="C338" i="21"/>
  <c r="P337" i="21"/>
  <c r="O337" i="21"/>
  <c r="N337" i="21"/>
  <c r="M337" i="21"/>
  <c r="L337" i="21"/>
  <c r="K337" i="21"/>
  <c r="J337" i="21"/>
  <c r="I337" i="21"/>
  <c r="H337" i="21"/>
  <c r="G337" i="21"/>
  <c r="F337" i="21"/>
  <c r="E337" i="21"/>
  <c r="D337" i="21"/>
  <c r="C337" i="21"/>
  <c r="P336" i="21"/>
  <c r="O336" i="21"/>
  <c r="N336" i="21"/>
  <c r="M336" i="21"/>
  <c r="L336" i="21"/>
  <c r="K336" i="21"/>
  <c r="J336" i="21"/>
  <c r="I336" i="21"/>
  <c r="H336" i="21"/>
  <c r="G336" i="21"/>
  <c r="F336" i="21"/>
  <c r="E336" i="21"/>
  <c r="D336" i="21"/>
  <c r="C336" i="21"/>
  <c r="P335" i="21"/>
  <c r="O335" i="21"/>
  <c r="N335" i="21"/>
  <c r="M335" i="21"/>
  <c r="L335" i="21"/>
  <c r="K335" i="21"/>
  <c r="J335" i="21"/>
  <c r="I335" i="21"/>
  <c r="H335" i="21"/>
  <c r="G335" i="21"/>
  <c r="F335" i="21"/>
  <c r="E335" i="21"/>
  <c r="D335" i="21"/>
  <c r="C335" i="21"/>
  <c r="P334" i="21"/>
  <c r="O334" i="21"/>
  <c r="N334" i="21"/>
  <c r="M334" i="21"/>
  <c r="L334" i="21"/>
  <c r="K334" i="21"/>
  <c r="J334" i="21"/>
  <c r="I334" i="21"/>
  <c r="H334" i="21"/>
  <c r="G334" i="21"/>
  <c r="F334" i="21"/>
  <c r="E334" i="21"/>
  <c r="D334" i="21"/>
  <c r="C334" i="21"/>
  <c r="P333" i="21"/>
  <c r="O333" i="21"/>
  <c r="N333" i="21"/>
  <c r="M333" i="21"/>
  <c r="L333" i="21"/>
  <c r="K333" i="21"/>
  <c r="J333" i="21"/>
  <c r="I333" i="21"/>
  <c r="H333" i="21"/>
  <c r="G333" i="21"/>
  <c r="F333" i="21"/>
  <c r="E333" i="21"/>
  <c r="D333" i="21"/>
  <c r="C333" i="21"/>
  <c r="P332" i="21"/>
  <c r="O332" i="21"/>
  <c r="N332" i="21"/>
  <c r="M332" i="21"/>
  <c r="L332" i="21"/>
  <c r="K332" i="21"/>
  <c r="J332" i="21"/>
  <c r="I332" i="21"/>
  <c r="H332" i="21"/>
  <c r="G332" i="21"/>
  <c r="F332" i="21"/>
  <c r="E332" i="21"/>
  <c r="D332" i="21"/>
  <c r="C332" i="21"/>
  <c r="P331" i="21"/>
  <c r="O331" i="21"/>
  <c r="N331" i="21"/>
  <c r="M331" i="21"/>
  <c r="L331" i="21"/>
  <c r="K331" i="21"/>
  <c r="J331" i="21"/>
  <c r="I331" i="21"/>
  <c r="H331" i="21"/>
  <c r="G331" i="21"/>
  <c r="F331" i="21"/>
  <c r="E331" i="21"/>
  <c r="D331" i="21"/>
  <c r="C331" i="21"/>
  <c r="P330" i="21"/>
  <c r="O330" i="21"/>
  <c r="N330" i="21"/>
  <c r="M330" i="21"/>
  <c r="L330" i="21"/>
  <c r="K330" i="21"/>
  <c r="J330" i="21"/>
  <c r="I330" i="21"/>
  <c r="H330" i="21"/>
  <c r="G330" i="21"/>
  <c r="F330" i="21"/>
  <c r="E330" i="21"/>
  <c r="D330" i="21"/>
  <c r="C330" i="21"/>
  <c r="P329" i="21"/>
  <c r="O329" i="21"/>
  <c r="N329" i="21"/>
  <c r="M329" i="21"/>
  <c r="L329" i="21"/>
  <c r="K329" i="21"/>
  <c r="J329" i="21"/>
  <c r="I329" i="21"/>
  <c r="H329" i="21"/>
  <c r="G329" i="21"/>
  <c r="F329" i="21"/>
  <c r="E329" i="21"/>
  <c r="D329" i="21"/>
  <c r="C329" i="21"/>
  <c r="P328" i="21"/>
  <c r="O328" i="21"/>
  <c r="N328" i="21"/>
  <c r="M328" i="21"/>
  <c r="L328" i="21"/>
  <c r="K328" i="21"/>
  <c r="J328" i="21"/>
  <c r="I328" i="21"/>
  <c r="H328" i="21"/>
  <c r="G328" i="21"/>
  <c r="F328" i="21"/>
  <c r="E328" i="21"/>
  <c r="D328" i="21"/>
  <c r="C328" i="21"/>
  <c r="P327" i="21"/>
  <c r="O327" i="21"/>
  <c r="N327" i="21"/>
  <c r="M327" i="21"/>
  <c r="L327" i="21"/>
  <c r="K327" i="21"/>
  <c r="J327" i="21"/>
  <c r="I327" i="21"/>
  <c r="H327" i="21"/>
  <c r="G327" i="21"/>
  <c r="F327" i="21"/>
  <c r="E327" i="21"/>
  <c r="D327" i="21"/>
  <c r="C327" i="21"/>
  <c r="P326" i="21"/>
  <c r="O326" i="21"/>
  <c r="N326" i="21"/>
  <c r="M326" i="21"/>
  <c r="L326" i="21"/>
  <c r="K326" i="21"/>
  <c r="J326" i="21"/>
  <c r="I326" i="21"/>
  <c r="H326" i="21"/>
  <c r="G326" i="21"/>
  <c r="F326" i="21"/>
  <c r="E326" i="21"/>
  <c r="D326" i="21"/>
  <c r="C326" i="21"/>
  <c r="P325" i="21"/>
  <c r="O325" i="21"/>
  <c r="N325" i="21"/>
  <c r="M325" i="21"/>
  <c r="L325" i="21"/>
  <c r="K325" i="21"/>
  <c r="J325" i="21"/>
  <c r="I325" i="21"/>
  <c r="H325" i="21"/>
  <c r="G325" i="21"/>
  <c r="F325" i="21"/>
  <c r="E325" i="21"/>
  <c r="D325" i="21"/>
  <c r="C325" i="21"/>
  <c r="P324" i="21"/>
  <c r="O324" i="21"/>
  <c r="N324" i="21"/>
  <c r="M324" i="21"/>
  <c r="L324" i="21"/>
  <c r="K324" i="21"/>
  <c r="J324" i="21"/>
  <c r="I324" i="21"/>
  <c r="H324" i="21"/>
  <c r="G324" i="21"/>
  <c r="F324" i="21"/>
  <c r="E324" i="21"/>
  <c r="D324" i="21"/>
  <c r="C324" i="21"/>
  <c r="P323" i="21"/>
  <c r="O323" i="21"/>
  <c r="N323" i="21"/>
  <c r="M323" i="21"/>
  <c r="L323" i="21"/>
  <c r="K323" i="21"/>
  <c r="J323" i="21"/>
  <c r="I323" i="21"/>
  <c r="H323" i="21"/>
  <c r="G323" i="21"/>
  <c r="F323" i="21"/>
  <c r="E323" i="21"/>
  <c r="D323" i="21"/>
  <c r="C323" i="21"/>
  <c r="P322" i="21"/>
  <c r="O322" i="21"/>
  <c r="N322" i="21"/>
  <c r="M322" i="21"/>
  <c r="L322" i="21"/>
  <c r="K322" i="21"/>
  <c r="J322" i="21"/>
  <c r="I322" i="21"/>
  <c r="H322" i="21"/>
  <c r="G322" i="21"/>
  <c r="F322" i="21"/>
  <c r="E322" i="21"/>
  <c r="D322" i="21"/>
  <c r="C322" i="21"/>
  <c r="P321" i="21"/>
  <c r="O321" i="21"/>
  <c r="N321" i="21"/>
  <c r="M321" i="21"/>
  <c r="L321" i="21"/>
  <c r="K321" i="21"/>
  <c r="J321" i="21"/>
  <c r="I321" i="21"/>
  <c r="H321" i="21"/>
  <c r="G321" i="21"/>
  <c r="F321" i="21"/>
  <c r="E321" i="21"/>
  <c r="D321" i="21"/>
  <c r="C321" i="21"/>
  <c r="P320" i="21"/>
  <c r="O320" i="21"/>
  <c r="N320" i="21"/>
  <c r="M320" i="21"/>
  <c r="L320" i="21"/>
  <c r="K320" i="21"/>
  <c r="J320" i="21"/>
  <c r="I320" i="21"/>
  <c r="H320" i="21"/>
  <c r="G320" i="21"/>
  <c r="E320" i="21"/>
  <c r="D320" i="21"/>
  <c r="C320" i="21"/>
  <c r="P319" i="21"/>
  <c r="O319" i="21"/>
  <c r="N319" i="21"/>
  <c r="M319" i="21"/>
  <c r="L319" i="21"/>
  <c r="K319" i="21"/>
  <c r="J319" i="21"/>
  <c r="I319" i="21"/>
  <c r="H319" i="21"/>
  <c r="G319" i="21"/>
  <c r="F319" i="21"/>
  <c r="E319" i="21"/>
  <c r="D319" i="21"/>
  <c r="C319" i="21"/>
  <c r="P318" i="21"/>
  <c r="O318" i="21"/>
  <c r="N318" i="21"/>
  <c r="M318" i="21"/>
  <c r="L318" i="21"/>
  <c r="K318" i="21"/>
  <c r="J318" i="21"/>
  <c r="I318" i="21"/>
  <c r="H318" i="21"/>
  <c r="G318" i="21"/>
  <c r="F318" i="21"/>
  <c r="E318" i="21"/>
  <c r="D318" i="21"/>
  <c r="C318" i="21"/>
  <c r="P317" i="21"/>
  <c r="O317" i="21"/>
  <c r="N317" i="21"/>
  <c r="M317" i="21"/>
  <c r="L317" i="21"/>
  <c r="K317" i="21"/>
  <c r="J317" i="21"/>
  <c r="I317" i="21"/>
  <c r="H317" i="21"/>
  <c r="G317" i="21"/>
  <c r="F317" i="21"/>
  <c r="E317" i="21"/>
  <c r="D317" i="21"/>
  <c r="C317" i="21"/>
  <c r="P316" i="21"/>
  <c r="O316" i="21"/>
  <c r="N316" i="21"/>
  <c r="M316" i="21"/>
  <c r="L316" i="21"/>
  <c r="K316" i="21"/>
  <c r="J316" i="21"/>
  <c r="I316" i="21"/>
  <c r="H316" i="21"/>
  <c r="G316" i="21"/>
  <c r="F316" i="21"/>
  <c r="E316" i="21"/>
  <c r="D316" i="21"/>
  <c r="C316" i="21"/>
  <c r="P315" i="21"/>
  <c r="O315" i="21"/>
  <c r="N315" i="21"/>
  <c r="M315" i="21"/>
  <c r="L315" i="21"/>
  <c r="K315" i="21"/>
  <c r="J315" i="21"/>
  <c r="I315" i="21"/>
  <c r="H315" i="21"/>
  <c r="G315" i="21"/>
  <c r="F315" i="21"/>
  <c r="E315" i="21"/>
  <c r="D315" i="21"/>
  <c r="C315" i="21"/>
  <c r="P314" i="21"/>
  <c r="O314" i="21"/>
  <c r="N314" i="21"/>
  <c r="M314" i="21"/>
  <c r="L314" i="21"/>
  <c r="K314" i="21"/>
  <c r="J314" i="21"/>
  <c r="I314" i="21"/>
  <c r="H314" i="21"/>
  <c r="G314" i="21"/>
  <c r="F314" i="21"/>
  <c r="E314" i="21"/>
  <c r="D314" i="21"/>
  <c r="C314" i="21"/>
  <c r="P313" i="21"/>
  <c r="O313" i="21"/>
  <c r="N313" i="21"/>
  <c r="M313" i="21"/>
  <c r="L313" i="21"/>
  <c r="K313" i="21"/>
  <c r="J313" i="21"/>
  <c r="I313" i="21"/>
  <c r="H313" i="21"/>
  <c r="G313" i="21"/>
  <c r="F313" i="21"/>
  <c r="E313" i="21"/>
  <c r="D313" i="21"/>
  <c r="C313" i="21"/>
  <c r="P312" i="21"/>
  <c r="O312" i="21"/>
  <c r="N312" i="21"/>
  <c r="M312" i="21"/>
  <c r="L312" i="21"/>
  <c r="K312" i="21"/>
  <c r="J312" i="21"/>
  <c r="I312" i="21"/>
  <c r="H312" i="21"/>
  <c r="G312" i="21"/>
  <c r="F312" i="21"/>
  <c r="E312" i="21"/>
  <c r="D312" i="21"/>
  <c r="C312" i="21"/>
  <c r="P311" i="21"/>
  <c r="O311" i="21"/>
  <c r="N311" i="21"/>
  <c r="M311" i="21"/>
  <c r="L311" i="21"/>
  <c r="K311" i="21"/>
  <c r="J311" i="21"/>
  <c r="I311" i="21"/>
  <c r="H311" i="21"/>
  <c r="G311" i="21"/>
  <c r="F311" i="21"/>
  <c r="E311" i="21"/>
  <c r="D311" i="21"/>
  <c r="C311" i="21"/>
  <c r="P310" i="21"/>
  <c r="O310" i="21"/>
  <c r="N310" i="21"/>
  <c r="M310" i="21"/>
  <c r="L310" i="21"/>
  <c r="K310" i="21"/>
  <c r="J310" i="21"/>
  <c r="I310" i="21"/>
  <c r="H310" i="21"/>
  <c r="G310" i="21"/>
  <c r="F310" i="21"/>
  <c r="E310" i="21"/>
  <c r="D310" i="21"/>
  <c r="C310" i="21"/>
  <c r="P309" i="21"/>
  <c r="O309" i="21"/>
  <c r="N309" i="21"/>
  <c r="M309" i="21"/>
  <c r="L309" i="21"/>
  <c r="K309" i="21"/>
  <c r="J309" i="21"/>
  <c r="I309" i="21"/>
  <c r="H309" i="21"/>
  <c r="G309" i="21"/>
  <c r="F309" i="21"/>
  <c r="E309" i="21"/>
  <c r="D309" i="21"/>
  <c r="C309" i="21"/>
  <c r="P308" i="21"/>
  <c r="O308" i="21"/>
  <c r="N308" i="21"/>
  <c r="M308" i="21"/>
  <c r="L308" i="21"/>
  <c r="K308" i="21"/>
  <c r="J308" i="21"/>
  <c r="I308" i="21"/>
  <c r="H308" i="21"/>
  <c r="G308" i="21"/>
  <c r="F308" i="21"/>
  <c r="E308" i="21"/>
  <c r="D308" i="21"/>
  <c r="C308" i="21"/>
  <c r="P307" i="21"/>
  <c r="O307" i="21"/>
  <c r="N307" i="21"/>
  <c r="M307" i="21"/>
  <c r="L307" i="21"/>
  <c r="K307" i="21"/>
  <c r="J307" i="21"/>
  <c r="I307" i="21"/>
  <c r="H307" i="21"/>
  <c r="G307" i="21"/>
  <c r="F307" i="21"/>
  <c r="E307" i="21"/>
  <c r="D307" i="21"/>
  <c r="C307" i="21"/>
  <c r="P306" i="21"/>
  <c r="O306" i="21"/>
  <c r="N306" i="21"/>
  <c r="M306" i="21"/>
  <c r="L306" i="21"/>
  <c r="K306" i="21"/>
  <c r="J306" i="21"/>
  <c r="I306" i="21"/>
  <c r="H306" i="21"/>
  <c r="G306" i="21"/>
  <c r="F306" i="21"/>
  <c r="E306" i="21"/>
  <c r="D306" i="21"/>
  <c r="C306" i="21"/>
  <c r="P305" i="21"/>
  <c r="O305" i="21"/>
  <c r="N305" i="21"/>
  <c r="M305" i="21"/>
  <c r="L305" i="21"/>
  <c r="K305" i="21"/>
  <c r="J305" i="21"/>
  <c r="I305" i="21"/>
  <c r="H305" i="21"/>
  <c r="G305" i="21"/>
  <c r="F305" i="21"/>
  <c r="E305" i="21"/>
  <c r="D305" i="21"/>
  <c r="C305" i="21"/>
  <c r="P304" i="21"/>
  <c r="O304" i="21"/>
  <c r="N304" i="21"/>
  <c r="M304" i="21"/>
  <c r="L304" i="21"/>
  <c r="K304" i="21"/>
  <c r="J304" i="21"/>
  <c r="I304" i="21"/>
  <c r="H304" i="21"/>
  <c r="G304" i="21"/>
  <c r="F304" i="21"/>
  <c r="E304" i="21"/>
  <c r="D304" i="21"/>
  <c r="C304" i="21"/>
  <c r="P303" i="21"/>
  <c r="O303" i="21"/>
  <c r="N303" i="21"/>
  <c r="M303" i="21"/>
  <c r="L303" i="21"/>
  <c r="K303" i="21"/>
  <c r="J303" i="21"/>
  <c r="I303" i="21"/>
  <c r="H303" i="21"/>
  <c r="G303" i="21"/>
  <c r="F303" i="21"/>
  <c r="E303" i="21"/>
  <c r="D303" i="21"/>
  <c r="C303" i="21"/>
  <c r="P302" i="21"/>
  <c r="O302" i="21"/>
  <c r="N302" i="21"/>
  <c r="M302" i="21"/>
  <c r="L302" i="21"/>
  <c r="K302" i="21"/>
  <c r="J302" i="21"/>
  <c r="I302" i="21"/>
  <c r="H302" i="21"/>
  <c r="G302" i="21"/>
  <c r="F302" i="21"/>
  <c r="E302" i="21"/>
  <c r="D302" i="21"/>
  <c r="C302" i="21"/>
  <c r="P301" i="21"/>
  <c r="O301" i="21"/>
  <c r="N301" i="21"/>
  <c r="M301" i="21"/>
  <c r="L301" i="21"/>
  <c r="K301" i="21"/>
  <c r="J301" i="21"/>
  <c r="I301" i="21"/>
  <c r="H301" i="21"/>
  <c r="G301" i="21"/>
  <c r="F301" i="21"/>
  <c r="E301" i="21"/>
  <c r="D301" i="21"/>
  <c r="C301" i="21"/>
  <c r="P300" i="21"/>
  <c r="O300" i="21"/>
  <c r="N300" i="21"/>
  <c r="M300" i="21"/>
  <c r="L300" i="21"/>
  <c r="K300" i="21"/>
  <c r="J300" i="21"/>
  <c r="I300" i="21"/>
  <c r="H300" i="21"/>
  <c r="G300" i="21"/>
  <c r="F300" i="21"/>
  <c r="E300" i="21"/>
  <c r="D300" i="21"/>
  <c r="C300" i="21"/>
  <c r="P299" i="21"/>
  <c r="O299" i="21"/>
  <c r="N299" i="21"/>
  <c r="M299" i="21"/>
  <c r="L299" i="21"/>
  <c r="K299" i="21"/>
  <c r="J299" i="21"/>
  <c r="I299" i="21"/>
  <c r="H299" i="21"/>
  <c r="G299" i="21"/>
  <c r="F299" i="21"/>
  <c r="E299" i="21"/>
  <c r="D299" i="21"/>
  <c r="C299" i="21"/>
  <c r="P298" i="21"/>
  <c r="O298" i="21"/>
  <c r="N298" i="21"/>
  <c r="M298" i="21"/>
  <c r="L298" i="21"/>
  <c r="K298" i="21"/>
  <c r="J298" i="21"/>
  <c r="I298" i="21"/>
  <c r="H298" i="21"/>
  <c r="G298" i="21"/>
  <c r="F298" i="21"/>
  <c r="E298" i="21"/>
  <c r="D298" i="21"/>
  <c r="C298" i="21"/>
  <c r="P297" i="21"/>
  <c r="O297" i="21"/>
  <c r="N297" i="21"/>
  <c r="M297" i="21"/>
  <c r="L297" i="21"/>
  <c r="K297" i="21"/>
  <c r="J297" i="21"/>
  <c r="I297" i="21"/>
  <c r="H297" i="21"/>
  <c r="G297" i="21"/>
  <c r="F297" i="21"/>
  <c r="E297" i="21"/>
  <c r="D297" i="21"/>
  <c r="C297" i="21"/>
  <c r="P296" i="21"/>
  <c r="O296" i="21"/>
  <c r="N296" i="21"/>
  <c r="M296" i="21"/>
  <c r="L296" i="21"/>
  <c r="K296" i="21"/>
  <c r="J296" i="21"/>
  <c r="I296" i="21"/>
  <c r="H296" i="21"/>
  <c r="G296" i="21"/>
  <c r="F296" i="21"/>
  <c r="E296" i="21"/>
  <c r="D296" i="21"/>
  <c r="C296" i="21"/>
  <c r="P295" i="21"/>
  <c r="O295" i="21"/>
  <c r="N295" i="21"/>
  <c r="M295" i="21"/>
  <c r="L295" i="21"/>
  <c r="K295" i="21"/>
  <c r="J295" i="21"/>
  <c r="I295" i="21"/>
  <c r="H295" i="21"/>
  <c r="G295" i="21"/>
  <c r="F295" i="21"/>
  <c r="E295" i="21"/>
  <c r="D295" i="21"/>
  <c r="C295" i="21"/>
  <c r="P294" i="21"/>
  <c r="O294" i="21"/>
  <c r="N294" i="21"/>
  <c r="M294" i="21"/>
  <c r="L294" i="21"/>
  <c r="K294" i="21"/>
  <c r="J294" i="21"/>
  <c r="I294" i="21"/>
  <c r="H294" i="21"/>
  <c r="G294" i="21"/>
  <c r="F294" i="21"/>
  <c r="E294" i="21"/>
  <c r="D294" i="21"/>
  <c r="C294" i="21"/>
  <c r="P293" i="21"/>
  <c r="O293" i="21"/>
  <c r="N293" i="21"/>
  <c r="M293" i="21"/>
  <c r="L293" i="21"/>
  <c r="K293" i="21"/>
  <c r="J293" i="21"/>
  <c r="I293" i="21"/>
  <c r="H293" i="21"/>
  <c r="G293" i="21"/>
  <c r="F293" i="21"/>
  <c r="E293" i="21"/>
  <c r="D293" i="21"/>
  <c r="C293" i="21"/>
  <c r="P292" i="21"/>
  <c r="O292" i="21"/>
  <c r="N292" i="21"/>
  <c r="M292" i="21"/>
  <c r="L292" i="21"/>
  <c r="K292" i="21"/>
  <c r="J292" i="21"/>
  <c r="I292" i="21"/>
  <c r="H292" i="21"/>
  <c r="G292" i="21"/>
  <c r="F292" i="21"/>
  <c r="E292" i="21"/>
  <c r="D292" i="21"/>
  <c r="C292" i="21"/>
  <c r="P291" i="21"/>
  <c r="O291" i="21"/>
  <c r="N291" i="21"/>
  <c r="M291" i="21"/>
  <c r="L291" i="21"/>
  <c r="K291" i="21"/>
  <c r="J291" i="21"/>
  <c r="I291" i="21"/>
  <c r="H291" i="21"/>
  <c r="G291" i="21"/>
  <c r="F291" i="21"/>
  <c r="E291" i="21"/>
  <c r="D291" i="21"/>
  <c r="C291" i="21"/>
  <c r="P290" i="21"/>
  <c r="O290" i="21"/>
  <c r="N290" i="21"/>
  <c r="M290" i="21"/>
  <c r="L290" i="21"/>
  <c r="K290" i="21"/>
  <c r="J290" i="21"/>
  <c r="I290" i="21"/>
  <c r="H290" i="21"/>
  <c r="G290" i="21"/>
  <c r="F290" i="21"/>
  <c r="E290" i="21"/>
  <c r="D290" i="21"/>
  <c r="C290" i="21"/>
  <c r="P289" i="21"/>
  <c r="O289" i="21"/>
  <c r="N289" i="21"/>
  <c r="M289" i="21"/>
  <c r="L289" i="21"/>
  <c r="K289" i="21"/>
  <c r="J289" i="21"/>
  <c r="I289" i="21"/>
  <c r="H289" i="21"/>
  <c r="G289" i="21"/>
  <c r="F289" i="21"/>
  <c r="E289" i="21"/>
  <c r="D289" i="21"/>
  <c r="C289" i="21"/>
  <c r="P288" i="21"/>
  <c r="O288" i="21"/>
  <c r="N288" i="21"/>
  <c r="M288" i="21"/>
  <c r="L288" i="21"/>
  <c r="K288" i="21"/>
  <c r="J288" i="21"/>
  <c r="I288" i="21"/>
  <c r="H288" i="21"/>
  <c r="G288" i="21"/>
  <c r="F288" i="21"/>
  <c r="E288" i="21"/>
  <c r="D288" i="21"/>
  <c r="C288" i="21"/>
  <c r="P287" i="21"/>
  <c r="O287" i="21"/>
  <c r="N287" i="21"/>
  <c r="M287" i="21"/>
  <c r="L287" i="21"/>
  <c r="K287" i="21"/>
  <c r="J287" i="21"/>
  <c r="I287" i="21"/>
  <c r="H287" i="21"/>
  <c r="G287" i="21"/>
  <c r="F287" i="21"/>
  <c r="E287" i="21"/>
  <c r="D287" i="21"/>
  <c r="C287" i="21"/>
  <c r="P286" i="21"/>
  <c r="O286" i="21"/>
  <c r="N286" i="21"/>
  <c r="M286" i="21"/>
  <c r="L286" i="21"/>
  <c r="K286" i="21"/>
  <c r="J286" i="21"/>
  <c r="I286" i="21"/>
  <c r="H286" i="21"/>
  <c r="G286" i="21"/>
  <c r="F286" i="21"/>
  <c r="E286" i="21"/>
  <c r="D286" i="21"/>
  <c r="C286" i="21"/>
  <c r="P285" i="21"/>
  <c r="O285" i="21"/>
  <c r="N285" i="21"/>
  <c r="M285" i="21"/>
  <c r="L285" i="21"/>
  <c r="K285" i="21"/>
  <c r="J285" i="21"/>
  <c r="I285" i="21"/>
  <c r="H285" i="21"/>
  <c r="G285" i="21"/>
  <c r="F285" i="21"/>
  <c r="E285" i="21"/>
  <c r="D285" i="21"/>
  <c r="C285" i="21"/>
  <c r="P284" i="21"/>
  <c r="O284" i="21"/>
  <c r="N284" i="21"/>
  <c r="M284" i="21"/>
  <c r="L284" i="21"/>
  <c r="K284" i="21"/>
  <c r="J284" i="21"/>
  <c r="I284" i="21"/>
  <c r="H284" i="21"/>
  <c r="G284" i="21"/>
  <c r="F284" i="21"/>
  <c r="E284" i="21"/>
  <c r="D284" i="21"/>
  <c r="C284" i="21"/>
  <c r="P283" i="21"/>
  <c r="O283" i="21"/>
  <c r="N283" i="21"/>
  <c r="M283" i="21"/>
  <c r="L283" i="21"/>
  <c r="K283" i="21"/>
  <c r="J283" i="21"/>
  <c r="I283" i="21"/>
  <c r="H283" i="21"/>
  <c r="G283" i="21"/>
  <c r="F283" i="21"/>
  <c r="E283" i="21"/>
  <c r="D283" i="21"/>
  <c r="C283" i="21"/>
  <c r="P282" i="21"/>
  <c r="O282" i="21"/>
  <c r="N282" i="21"/>
  <c r="M282" i="21"/>
  <c r="L282" i="21"/>
  <c r="K282" i="21"/>
  <c r="J282" i="21"/>
  <c r="I282" i="21"/>
  <c r="H282" i="21"/>
  <c r="G282" i="21"/>
  <c r="F282" i="21"/>
  <c r="E282" i="21"/>
  <c r="D282" i="21"/>
  <c r="C282" i="21"/>
  <c r="P281" i="21"/>
  <c r="O281" i="21"/>
  <c r="N281" i="21"/>
  <c r="M281" i="21"/>
  <c r="L281" i="21"/>
  <c r="K281" i="21"/>
  <c r="J281" i="21"/>
  <c r="I281" i="21"/>
  <c r="H281" i="21"/>
  <c r="G281" i="21"/>
  <c r="F281" i="21"/>
  <c r="E281" i="21"/>
  <c r="D281" i="21"/>
  <c r="C281" i="21"/>
  <c r="P280" i="21"/>
  <c r="O280" i="21"/>
  <c r="N280" i="21"/>
  <c r="M280" i="21"/>
  <c r="L280" i="21"/>
  <c r="K280" i="21"/>
  <c r="J280" i="21"/>
  <c r="I280" i="21"/>
  <c r="H280" i="21"/>
  <c r="G280" i="21"/>
  <c r="F280" i="21"/>
  <c r="E280" i="21"/>
  <c r="D280" i="21"/>
  <c r="C280" i="21"/>
  <c r="O279" i="21"/>
  <c r="N279" i="21"/>
  <c r="M279" i="21"/>
  <c r="L279" i="21"/>
  <c r="K279" i="21"/>
  <c r="I279" i="21"/>
  <c r="G279" i="21"/>
  <c r="F279" i="21"/>
  <c r="E279" i="21"/>
  <c r="D279" i="21"/>
  <c r="C279" i="21"/>
  <c r="P278" i="21"/>
  <c r="O278" i="21"/>
  <c r="N278" i="21"/>
  <c r="M278" i="21"/>
  <c r="L278" i="21"/>
  <c r="K278" i="21"/>
  <c r="J278" i="21"/>
  <c r="I278" i="21"/>
  <c r="H278" i="21"/>
  <c r="G278" i="21"/>
  <c r="F278" i="21"/>
  <c r="E278" i="21"/>
  <c r="C278" i="21"/>
  <c r="P277" i="21"/>
  <c r="O277" i="21"/>
  <c r="N277" i="21"/>
  <c r="M277" i="21"/>
  <c r="L277" i="21"/>
  <c r="K277" i="21"/>
  <c r="J277" i="21"/>
  <c r="I277" i="21"/>
  <c r="H277" i="21"/>
  <c r="G277" i="21"/>
  <c r="F277" i="21"/>
  <c r="E277" i="21"/>
  <c r="D277" i="21"/>
  <c r="C277" i="21"/>
  <c r="P276" i="21"/>
  <c r="O276" i="21"/>
  <c r="N276" i="21"/>
  <c r="M276" i="21"/>
  <c r="L276" i="21"/>
  <c r="K276" i="21"/>
  <c r="J276" i="21"/>
  <c r="I276" i="21"/>
  <c r="H276" i="21"/>
  <c r="G276" i="21"/>
  <c r="F276" i="21"/>
  <c r="E276" i="21"/>
  <c r="D276" i="21"/>
  <c r="C276" i="21"/>
  <c r="P275" i="21"/>
  <c r="O275" i="21"/>
  <c r="N275" i="21"/>
  <c r="M275" i="21"/>
  <c r="L275" i="21"/>
  <c r="K275" i="21"/>
  <c r="J275" i="21"/>
  <c r="I275" i="21"/>
  <c r="H275" i="21"/>
  <c r="G275" i="21"/>
  <c r="F275" i="21"/>
  <c r="E275" i="21"/>
  <c r="D275" i="21"/>
  <c r="C275" i="21"/>
  <c r="P274" i="21"/>
  <c r="O274" i="21"/>
  <c r="N274" i="21"/>
  <c r="M274" i="21"/>
  <c r="L274" i="21"/>
  <c r="K274" i="21"/>
  <c r="J274" i="21"/>
  <c r="I274" i="21"/>
  <c r="H274" i="21"/>
  <c r="G274" i="21"/>
  <c r="F274" i="21"/>
  <c r="E274" i="21"/>
  <c r="D274" i="21"/>
  <c r="C274" i="21"/>
  <c r="P273" i="21"/>
  <c r="O273" i="21"/>
  <c r="N273" i="21"/>
  <c r="M273" i="21"/>
  <c r="L273" i="21"/>
  <c r="K273" i="21"/>
  <c r="J273" i="21"/>
  <c r="I273" i="21"/>
  <c r="H273" i="21"/>
  <c r="G273" i="21"/>
  <c r="F273" i="21"/>
  <c r="E273" i="21"/>
  <c r="D273" i="21"/>
  <c r="C273" i="21"/>
  <c r="P272" i="21"/>
  <c r="O272" i="21"/>
  <c r="N272" i="21"/>
  <c r="M272" i="21"/>
  <c r="L272" i="21"/>
  <c r="K272" i="21"/>
  <c r="J272" i="21"/>
  <c r="I272" i="21"/>
  <c r="H272" i="21"/>
  <c r="G272" i="21"/>
  <c r="F272" i="21"/>
  <c r="E272" i="21"/>
  <c r="D272" i="21"/>
  <c r="C272" i="21"/>
  <c r="P271" i="21"/>
  <c r="O271" i="21"/>
  <c r="N271" i="21"/>
  <c r="M271" i="21"/>
  <c r="L271" i="21"/>
  <c r="K271" i="21"/>
  <c r="J271" i="21"/>
  <c r="I271" i="21"/>
  <c r="H271" i="21"/>
  <c r="G271" i="21"/>
  <c r="F271" i="21"/>
  <c r="E271" i="21"/>
  <c r="D271" i="21"/>
  <c r="C271" i="21"/>
  <c r="P270" i="21"/>
  <c r="O270" i="21"/>
  <c r="N270" i="21"/>
  <c r="M270" i="21"/>
  <c r="L270" i="21"/>
  <c r="K270" i="21"/>
  <c r="J270" i="21"/>
  <c r="I270" i="21"/>
  <c r="H270" i="21"/>
  <c r="G270" i="21"/>
  <c r="F270" i="21"/>
  <c r="E270" i="21"/>
  <c r="D270" i="21"/>
  <c r="C270" i="21"/>
  <c r="P269" i="21"/>
  <c r="O269" i="21"/>
  <c r="N269" i="21"/>
  <c r="M269" i="21"/>
  <c r="L269" i="21"/>
  <c r="K269" i="21"/>
  <c r="J269" i="21"/>
  <c r="I269" i="21"/>
  <c r="H269" i="21"/>
  <c r="G269" i="21"/>
  <c r="F269" i="21"/>
  <c r="E269" i="21"/>
  <c r="D269" i="21"/>
  <c r="C269" i="21"/>
  <c r="P268" i="21"/>
  <c r="O268" i="21"/>
  <c r="N268" i="21"/>
  <c r="M268" i="21"/>
  <c r="L268" i="21"/>
  <c r="K268" i="21"/>
  <c r="J268" i="21"/>
  <c r="I268" i="21"/>
  <c r="H268" i="21"/>
  <c r="G268" i="21"/>
  <c r="F268" i="21"/>
  <c r="E268" i="21"/>
  <c r="D268" i="21"/>
  <c r="C268" i="21"/>
  <c r="P267" i="21"/>
  <c r="O267" i="21"/>
  <c r="N267" i="21"/>
  <c r="M267" i="21"/>
  <c r="L267" i="21"/>
  <c r="K267" i="21"/>
  <c r="J267" i="21"/>
  <c r="I267" i="21"/>
  <c r="H267" i="21"/>
  <c r="G267" i="21"/>
  <c r="F267" i="21"/>
  <c r="E267" i="21"/>
  <c r="D267" i="21"/>
  <c r="C267" i="21"/>
  <c r="P266" i="21"/>
  <c r="O266" i="21"/>
  <c r="N266" i="21"/>
  <c r="M266" i="21"/>
  <c r="L266" i="21"/>
  <c r="K266" i="21"/>
  <c r="J266" i="21"/>
  <c r="I266" i="21"/>
  <c r="H266" i="21"/>
  <c r="G266" i="21"/>
  <c r="F266" i="21"/>
  <c r="E266" i="21"/>
  <c r="D266" i="21"/>
  <c r="C266" i="21"/>
  <c r="P265" i="21"/>
  <c r="O265" i="21"/>
  <c r="N265" i="21"/>
  <c r="M265" i="21"/>
  <c r="L265" i="21"/>
  <c r="K265" i="21"/>
  <c r="J265" i="21"/>
  <c r="I265" i="21"/>
  <c r="H265" i="21"/>
  <c r="G265" i="21"/>
  <c r="F265" i="21"/>
  <c r="E265" i="21"/>
  <c r="D265" i="21"/>
  <c r="C265" i="21"/>
  <c r="P264" i="21"/>
  <c r="O264" i="21"/>
  <c r="N264" i="21"/>
  <c r="M264" i="21"/>
  <c r="L264" i="21"/>
  <c r="K264" i="21"/>
  <c r="J264" i="21"/>
  <c r="I264" i="21"/>
  <c r="H264" i="21"/>
  <c r="G264" i="21"/>
  <c r="F264" i="21"/>
  <c r="E264" i="21"/>
  <c r="D264" i="21"/>
  <c r="C264" i="21"/>
  <c r="P263" i="21"/>
  <c r="O263" i="21"/>
  <c r="N263" i="21"/>
  <c r="M263" i="21"/>
  <c r="L263" i="21"/>
  <c r="K263" i="21"/>
  <c r="J263" i="21"/>
  <c r="I263" i="21"/>
  <c r="H263" i="21"/>
  <c r="G263" i="21"/>
  <c r="F263" i="21"/>
  <c r="E263" i="21"/>
  <c r="D263" i="21"/>
  <c r="C263" i="21"/>
  <c r="P262" i="21"/>
  <c r="O262" i="21"/>
  <c r="N262" i="21"/>
  <c r="M262" i="21"/>
  <c r="L262" i="21"/>
  <c r="K262" i="21"/>
  <c r="J262" i="21"/>
  <c r="I262" i="21"/>
  <c r="H262" i="21"/>
  <c r="G262" i="21"/>
  <c r="F262" i="21"/>
  <c r="E262" i="21"/>
  <c r="D262" i="21"/>
  <c r="C262" i="21"/>
  <c r="P261" i="21"/>
  <c r="O261" i="21"/>
  <c r="N261" i="21"/>
  <c r="M261" i="21"/>
  <c r="L261" i="21"/>
  <c r="K261" i="21"/>
  <c r="J261" i="21"/>
  <c r="I261" i="21"/>
  <c r="H261" i="21"/>
  <c r="G261" i="21"/>
  <c r="F261" i="21"/>
  <c r="E261" i="21"/>
  <c r="D261" i="21"/>
  <c r="C261" i="21"/>
  <c r="P260" i="21"/>
  <c r="O260" i="21"/>
  <c r="N260" i="21"/>
  <c r="M260" i="21"/>
  <c r="L260" i="21"/>
  <c r="K260" i="21"/>
  <c r="J260" i="21"/>
  <c r="I260" i="21"/>
  <c r="H260" i="21"/>
  <c r="G260" i="21"/>
  <c r="F260" i="21"/>
  <c r="E260" i="21"/>
  <c r="D260" i="21"/>
  <c r="C260" i="21"/>
  <c r="P259" i="21"/>
  <c r="O259" i="21"/>
  <c r="N259" i="21"/>
  <c r="M259" i="21"/>
  <c r="L259" i="21"/>
  <c r="K259" i="21"/>
  <c r="J259" i="21"/>
  <c r="I259" i="21"/>
  <c r="H259" i="21"/>
  <c r="G259" i="21"/>
  <c r="E259" i="21"/>
  <c r="D259" i="21"/>
  <c r="C259" i="21"/>
  <c r="P258" i="21"/>
  <c r="O258" i="21"/>
  <c r="N258" i="21"/>
  <c r="M258" i="21"/>
  <c r="L258" i="21"/>
  <c r="K258" i="21"/>
  <c r="J258" i="21"/>
  <c r="I258" i="21"/>
  <c r="H258" i="21"/>
  <c r="G258" i="21"/>
  <c r="F258" i="21"/>
  <c r="E258" i="21"/>
  <c r="D258" i="21"/>
  <c r="C258" i="21"/>
  <c r="P257" i="21"/>
  <c r="O257" i="21"/>
  <c r="N257" i="21"/>
  <c r="M257" i="21"/>
  <c r="L257" i="21"/>
  <c r="K257" i="21"/>
  <c r="J257" i="21"/>
  <c r="I257" i="21"/>
  <c r="H257" i="21"/>
  <c r="G257" i="21"/>
  <c r="F257" i="21"/>
  <c r="E257" i="21"/>
  <c r="D257" i="21"/>
  <c r="C257" i="21"/>
  <c r="P256" i="21"/>
  <c r="O256" i="21"/>
  <c r="N256" i="21"/>
  <c r="M256" i="21"/>
  <c r="L256" i="21"/>
  <c r="K256" i="21"/>
  <c r="J256" i="21"/>
  <c r="I256" i="21"/>
  <c r="H256" i="21"/>
  <c r="G256" i="21"/>
  <c r="F256" i="21"/>
  <c r="E256" i="21"/>
  <c r="D256" i="21"/>
  <c r="C256" i="21"/>
  <c r="P255" i="21"/>
  <c r="O255" i="21"/>
  <c r="N255" i="21"/>
  <c r="M255" i="21"/>
  <c r="L255" i="21"/>
  <c r="K255" i="21"/>
  <c r="J255" i="21"/>
  <c r="I255" i="21"/>
  <c r="H255" i="21"/>
  <c r="G255" i="21"/>
  <c r="F255" i="21"/>
  <c r="E255" i="21"/>
  <c r="D255" i="21"/>
  <c r="C255" i="21"/>
  <c r="P254" i="21"/>
  <c r="O254" i="21"/>
  <c r="N254" i="21"/>
  <c r="M254" i="21"/>
  <c r="L254" i="21"/>
  <c r="K254" i="21"/>
  <c r="J254" i="21"/>
  <c r="I254" i="21"/>
  <c r="H254" i="21"/>
  <c r="G254" i="21"/>
  <c r="F254" i="21"/>
  <c r="E254" i="21"/>
  <c r="D254" i="21"/>
  <c r="C254" i="21"/>
  <c r="P253" i="21"/>
  <c r="O253" i="21"/>
  <c r="N253" i="21"/>
  <c r="M253" i="21"/>
  <c r="L253" i="21"/>
  <c r="K253" i="21"/>
  <c r="J253" i="21"/>
  <c r="I253" i="21"/>
  <c r="H253" i="21"/>
  <c r="G253" i="21"/>
  <c r="F253" i="21"/>
  <c r="E253" i="21"/>
  <c r="D253" i="21"/>
  <c r="C253" i="21"/>
  <c r="P252" i="21"/>
  <c r="O252" i="21"/>
  <c r="N252" i="21"/>
  <c r="M252" i="21"/>
  <c r="L252" i="21"/>
  <c r="K252" i="21"/>
  <c r="J252" i="21"/>
  <c r="I252" i="21"/>
  <c r="H252" i="21"/>
  <c r="G252" i="21"/>
  <c r="F252" i="21"/>
  <c r="E252" i="21"/>
  <c r="D252" i="21"/>
  <c r="C252" i="21"/>
  <c r="P251" i="21"/>
  <c r="O251" i="21"/>
  <c r="N251" i="21"/>
  <c r="M251" i="21"/>
  <c r="L251" i="21"/>
  <c r="K251" i="21"/>
  <c r="J251" i="21"/>
  <c r="I251" i="21"/>
  <c r="H251" i="21"/>
  <c r="G251" i="21"/>
  <c r="F251" i="21"/>
  <c r="E251" i="21"/>
  <c r="D251" i="21"/>
  <c r="C251" i="21"/>
  <c r="P250" i="21"/>
  <c r="O250" i="21"/>
  <c r="N250" i="21"/>
  <c r="M250" i="21"/>
  <c r="L250" i="21"/>
  <c r="K250" i="21"/>
  <c r="J250" i="21"/>
  <c r="I250" i="21"/>
  <c r="H250" i="21"/>
  <c r="G250" i="21"/>
  <c r="F250" i="21"/>
  <c r="E250" i="21"/>
  <c r="D250" i="21"/>
  <c r="C250" i="21"/>
  <c r="P249" i="21"/>
  <c r="O249" i="21"/>
  <c r="N249" i="21"/>
  <c r="M249" i="21"/>
  <c r="L249" i="21"/>
  <c r="K249" i="21"/>
  <c r="J249" i="21"/>
  <c r="I249" i="21"/>
  <c r="H249" i="21"/>
  <c r="G249" i="21"/>
  <c r="F249" i="21"/>
  <c r="E249" i="21"/>
  <c r="D249" i="21"/>
  <c r="C249" i="21"/>
  <c r="P248" i="21"/>
  <c r="O248" i="21"/>
  <c r="N248" i="21"/>
  <c r="M248" i="21"/>
  <c r="L248" i="21"/>
  <c r="K248" i="21"/>
  <c r="J248" i="21"/>
  <c r="I248" i="21"/>
  <c r="H248" i="21"/>
  <c r="G248" i="21"/>
  <c r="F248" i="21"/>
  <c r="E248" i="21"/>
  <c r="D248" i="21"/>
  <c r="C248" i="21"/>
  <c r="P247" i="21"/>
  <c r="O247" i="21"/>
  <c r="N247" i="21"/>
  <c r="M247" i="21"/>
  <c r="L247" i="21"/>
  <c r="K247" i="21"/>
  <c r="J247" i="21"/>
  <c r="I247" i="21"/>
  <c r="H247" i="21"/>
  <c r="G247" i="21"/>
  <c r="F247" i="21"/>
  <c r="E247" i="21"/>
  <c r="D247" i="21"/>
  <c r="C247" i="21"/>
  <c r="P246" i="21"/>
  <c r="O246" i="21"/>
  <c r="N246" i="21"/>
  <c r="M246" i="21"/>
  <c r="L246" i="21"/>
  <c r="K246" i="21"/>
  <c r="J246" i="21"/>
  <c r="I246" i="21"/>
  <c r="G246" i="21"/>
  <c r="F246" i="21"/>
  <c r="E246" i="21"/>
  <c r="D246" i="21"/>
  <c r="C246" i="21"/>
  <c r="P245" i="21"/>
  <c r="O245" i="21"/>
  <c r="N245" i="21"/>
  <c r="M245" i="21"/>
  <c r="L245" i="21"/>
  <c r="K245" i="21"/>
  <c r="J245" i="21"/>
  <c r="I245" i="21"/>
  <c r="H245" i="21"/>
  <c r="G245" i="21"/>
  <c r="F245" i="21"/>
  <c r="E245" i="21"/>
  <c r="D245" i="21"/>
  <c r="C245" i="21"/>
  <c r="P244" i="21"/>
  <c r="O244" i="21"/>
  <c r="N244" i="21"/>
  <c r="M244" i="21"/>
  <c r="L244" i="21"/>
  <c r="K244" i="21"/>
  <c r="J244" i="21"/>
  <c r="I244" i="21"/>
  <c r="H244" i="21"/>
  <c r="G244" i="21"/>
  <c r="F244" i="21"/>
  <c r="E244" i="21"/>
  <c r="D244" i="21"/>
  <c r="C244" i="21"/>
  <c r="P243" i="21"/>
  <c r="O243" i="21"/>
  <c r="N243" i="21"/>
  <c r="M243" i="21"/>
  <c r="L243" i="21"/>
  <c r="K243" i="21"/>
  <c r="J243" i="21"/>
  <c r="I243" i="21"/>
  <c r="H243" i="21"/>
  <c r="G243" i="21"/>
  <c r="F243" i="21"/>
  <c r="E243" i="21"/>
  <c r="D243" i="21"/>
  <c r="C243" i="21"/>
  <c r="P242" i="21"/>
  <c r="O242" i="21"/>
  <c r="N242" i="21"/>
  <c r="M242" i="21"/>
  <c r="L242" i="21"/>
  <c r="K242" i="21"/>
  <c r="J242" i="21"/>
  <c r="I242" i="21"/>
  <c r="H242" i="21"/>
  <c r="G242" i="21"/>
  <c r="F242" i="21"/>
  <c r="E242" i="21"/>
  <c r="D242" i="21"/>
  <c r="C242" i="21"/>
  <c r="P241" i="21"/>
  <c r="O241" i="21"/>
  <c r="N241" i="21"/>
  <c r="M241" i="21"/>
  <c r="L241" i="21"/>
  <c r="K241" i="21"/>
  <c r="J241" i="21"/>
  <c r="I241" i="21"/>
  <c r="H241" i="21"/>
  <c r="G241" i="21"/>
  <c r="F241" i="21"/>
  <c r="E241" i="21"/>
  <c r="D241" i="21"/>
  <c r="C241" i="21"/>
  <c r="P240" i="21"/>
  <c r="O240" i="21"/>
  <c r="N240" i="21"/>
  <c r="M240" i="21"/>
  <c r="L240" i="21"/>
  <c r="K240" i="21"/>
  <c r="J240" i="21"/>
  <c r="I240" i="21"/>
  <c r="H240" i="21"/>
  <c r="G240" i="21"/>
  <c r="F240" i="21"/>
  <c r="E240" i="21"/>
  <c r="D240" i="21"/>
  <c r="C240" i="21"/>
  <c r="P239" i="21"/>
  <c r="O239" i="21"/>
  <c r="N239" i="21"/>
  <c r="M239" i="21"/>
  <c r="L239" i="21"/>
  <c r="K239" i="21"/>
  <c r="J239" i="21"/>
  <c r="I239" i="21"/>
  <c r="H239" i="21"/>
  <c r="G239" i="21"/>
  <c r="F239" i="21"/>
  <c r="E239" i="21"/>
  <c r="D239" i="21"/>
  <c r="C239" i="21"/>
  <c r="P238" i="21"/>
  <c r="O238" i="21"/>
  <c r="N238" i="21"/>
  <c r="M238" i="21"/>
  <c r="L238" i="21"/>
  <c r="K238" i="21"/>
  <c r="J238" i="21"/>
  <c r="I238" i="21"/>
  <c r="H238" i="21"/>
  <c r="G238" i="21"/>
  <c r="F238" i="21"/>
  <c r="E238" i="21"/>
  <c r="D238" i="21"/>
  <c r="C238" i="21"/>
  <c r="P237" i="21"/>
  <c r="O237" i="21"/>
  <c r="N237" i="21"/>
  <c r="M237" i="21"/>
  <c r="L237" i="21"/>
  <c r="K237" i="21"/>
  <c r="J237" i="21"/>
  <c r="I237" i="21"/>
  <c r="H237" i="21"/>
  <c r="G237" i="21"/>
  <c r="F237" i="21"/>
  <c r="E237" i="21"/>
  <c r="D237" i="21"/>
  <c r="C237" i="21"/>
  <c r="P236" i="21"/>
  <c r="O236" i="21"/>
  <c r="N236" i="21"/>
  <c r="M236" i="21"/>
  <c r="L236" i="21"/>
  <c r="K236" i="21"/>
  <c r="J236" i="21"/>
  <c r="I236" i="21"/>
  <c r="H236" i="21"/>
  <c r="G236" i="21"/>
  <c r="E236" i="21"/>
  <c r="D236" i="21"/>
  <c r="C236" i="21"/>
  <c r="P235" i="21"/>
  <c r="O235" i="21"/>
  <c r="N235" i="21"/>
  <c r="M235" i="21"/>
  <c r="L235" i="21"/>
  <c r="K235" i="21"/>
  <c r="J235" i="21"/>
  <c r="I235" i="21"/>
  <c r="H235" i="21"/>
  <c r="G235" i="21"/>
  <c r="F235" i="21"/>
  <c r="E235" i="21"/>
  <c r="D235" i="21"/>
  <c r="C235" i="21"/>
  <c r="P234" i="21"/>
  <c r="O234" i="21"/>
  <c r="N234" i="21"/>
  <c r="M234" i="21"/>
  <c r="L234" i="21"/>
  <c r="K234" i="21"/>
  <c r="J234" i="21"/>
  <c r="I234" i="21"/>
  <c r="H234" i="21"/>
  <c r="G234" i="21"/>
  <c r="F234" i="21"/>
  <c r="E234" i="21"/>
  <c r="D234" i="21"/>
  <c r="C234" i="21"/>
  <c r="P233" i="21"/>
  <c r="O233" i="21"/>
  <c r="N233" i="21"/>
  <c r="M233" i="21"/>
  <c r="L233" i="21"/>
  <c r="K233" i="21"/>
  <c r="J233" i="21"/>
  <c r="I233" i="21"/>
  <c r="H233" i="21"/>
  <c r="G233" i="21"/>
  <c r="F233" i="21"/>
  <c r="E233" i="21"/>
  <c r="D233" i="21"/>
  <c r="C233" i="21"/>
  <c r="P232" i="21"/>
  <c r="O232" i="21"/>
  <c r="N232" i="21"/>
  <c r="M232" i="21"/>
  <c r="L232" i="21"/>
  <c r="K232" i="21"/>
  <c r="J232" i="21"/>
  <c r="I232" i="21"/>
  <c r="H232" i="21"/>
  <c r="G232" i="21"/>
  <c r="F232" i="21"/>
  <c r="E232" i="21"/>
  <c r="D232" i="21"/>
  <c r="C232" i="21"/>
  <c r="P231" i="21"/>
  <c r="O231" i="21"/>
  <c r="N231" i="21"/>
  <c r="M231" i="21"/>
  <c r="L231" i="21"/>
  <c r="K231" i="21"/>
  <c r="J231" i="21"/>
  <c r="I231" i="21"/>
  <c r="H231" i="21"/>
  <c r="G231" i="21"/>
  <c r="F231" i="21"/>
  <c r="E231" i="21"/>
  <c r="D231" i="21"/>
  <c r="C231" i="21"/>
  <c r="P230" i="21"/>
  <c r="O230" i="21"/>
  <c r="N230" i="21"/>
  <c r="M230" i="21"/>
  <c r="L230" i="21"/>
  <c r="K230" i="21"/>
  <c r="J230" i="21"/>
  <c r="I230" i="21"/>
  <c r="H230" i="21"/>
  <c r="G230" i="21"/>
  <c r="F230" i="21"/>
  <c r="E230" i="21"/>
  <c r="D230" i="21"/>
  <c r="C230" i="21"/>
  <c r="P229" i="21"/>
  <c r="O229" i="21"/>
  <c r="N229" i="21"/>
  <c r="M229" i="21"/>
  <c r="L229" i="21"/>
  <c r="K229" i="21"/>
  <c r="J229" i="21"/>
  <c r="I229" i="21"/>
  <c r="H229" i="21"/>
  <c r="G229" i="21"/>
  <c r="F229" i="21"/>
  <c r="E229" i="21"/>
  <c r="D229" i="21"/>
  <c r="C229" i="21"/>
  <c r="P228" i="21"/>
  <c r="O228" i="21"/>
  <c r="N228" i="21"/>
  <c r="M228" i="21"/>
  <c r="K228" i="21"/>
  <c r="J228" i="21"/>
  <c r="H228" i="21"/>
  <c r="G228" i="21"/>
  <c r="F228" i="21"/>
  <c r="E228" i="21"/>
  <c r="C228" i="21"/>
  <c r="P227" i="21"/>
  <c r="O227" i="21"/>
  <c r="N227" i="21"/>
  <c r="M227" i="21"/>
  <c r="L227" i="21"/>
  <c r="K227" i="21"/>
  <c r="J227" i="21"/>
  <c r="I227" i="21"/>
  <c r="H227" i="21"/>
  <c r="G227" i="21"/>
  <c r="F227" i="21"/>
  <c r="E227" i="21"/>
  <c r="D227" i="21"/>
  <c r="C227" i="21"/>
  <c r="P226" i="21"/>
  <c r="O226" i="21"/>
  <c r="N226" i="21"/>
  <c r="M226" i="21"/>
  <c r="L226" i="21"/>
  <c r="K226" i="21"/>
  <c r="J226" i="21"/>
  <c r="I226" i="21"/>
  <c r="H226" i="21"/>
  <c r="G226" i="21"/>
  <c r="F226" i="21"/>
  <c r="E226" i="21"/>
  <c r="D226" i="21"/>
  <c r="C226" i="21"/>
  <c r="P225" i="21"/>
  <c r="O225" i="21"/>
  <c r="N225" i="21"/>
  <c r="M225" i="21"/>
  <c r="L225" i="21"/>
  <c r="K225" i="21"/>
  <c r="J225" i="21"/>
  <c r="I225" i="21"/>
  <c r="H225" i="21"/>
  <c r="G225" i="21"/>
  <c r="F225" i="21"/>
  <c r="E225" i="21"/>
  <c r="D225" i="21"/>
  <c r="C225" i="21"/>
  <c r="P224" i="21"/>
  <c r="O224" i="21"/>
  <c r="N224" i="21"/>
  <c r="M224" i="21"/>
  <c r="L224" i="21"/>
  <c r="K224" i="21"/>
  <c r="J224" i="21"/>
  <c r="I224" i="21"/>
  <c r="H224" i="21"/>
  <c r="G224" i="21"/>
  <c r="F224" i="21"/>
  <c r="E224" i="21"/>
  <c r="D224" i="21"/>
  <c r="C224" i="21"/>
  <c r="P223" i="21"/>
  <c r="O223" i="21"/>
  <c r="N223" i="21"/>
  <c r="M223" i="21"/>
  <c r="L223" i="21"/>
  <c r="K223" i="21"/>
  <c r="J223" i="21"/>
  <c r="I223" i="21"/>
  <c r="H223" i="21"/>
  <c r="G223" i="21"/>
  <c r="F223" i="21"/>
  <c r="E223" i="21"/>
  <c r="D223" i="21"/>
  <c r="C223" i="21"/>
  <c r="P222" i="21"/>
  <c r="O222" i="21"/>
  <c r="N222" i="21"/>
  <c r="M222" i="21"/>
  <c r="L222" i="21"/>
  <c r="K222" i="21"/>
  <c r="J222" i="21"/>
  <c r="I222" i="21"/>
  <c r="H222" i="21"/>
  <c r="G222" i="21"/>
  <c r="F222" i="21"/>
  <c r="E222" i="21"/>
  <c r="D222" i="21"/>
  <c r="C222" i="21"/>
  <c r="P221" i="21"/>
  <c r="O221" i="21"/>
  <c r="N221" i="21"/>
  <c r="M221" i="21"/>
  <c r="L221" i="21"/>
  <c r="K221" i="21"/>
  <c r="J221" i="21"/>
  <c r="I221" i="21"/>
  <c r="H221" i="21"/>
  <c r="G221" i="21"/>
  <c r="F221" i="21"/>
  <c r="E221" i="21"/>
  <c r="D221" i="21"/>
  <c r="C221" i="21"/>
  <c r="P220" i="21"/>
  <c r="O220" i="21"/>
  <c r="N220" i="21"/>
  <c r="M220" i="21"/>
  <c r="L220" i="21"/>
  <c r="K220" i="21"/>
  <c r="J220" i="21"/>
  <c r="I220" i="21"/>
  <c r="H220" i="21"/>
  <c r="G220" i="21"/>
  <c r="F220" i="21"/>
  <c r="E220" i="21"/>
  <c r="D220" i="21"/>
  <c r="C220" i="21"/>
  <c r="P219" i="21"/>
  <c r="O219" i="21"/>
  <c r="N219" i="21"/>
  <c r="M219" i="21"/>
  <c r="L219" i="21"/>
  <c r="K219" i="21"/>
  <c r="J219" i="21"/>
  <c r="I219" i="21"/>
  <c r="H219" i="21"/>
  <c r="G219" i="21"/>
  <c r="F219" i="21"/>
  <c r="E219" i="21"/>
  <c r="D219" i="21"/>
  <c r="C219" i="21"/>
  <c r="P218" i="21"/>
  <c r="O218" i="21"/>
  <c r="N218" i="21"/>
  <c r="M218" i="21"/>
  <c r="L218" i="21"/>
  <c r="K218" i="21"/>
  <c r="J218" i="21"/>
  <c r="I218" i="21"/>
  <c r="H218" i="21"/>
  <c r="G218" i="21"/>
  <c r="F218" i="21"/>
  <c r="E218" i="21"/>
  <c r="D218" i="21"/>
  <c r="C218" i="21"/>
  <c r="P217" i="21"/>
  <c r="O217" i="21"/>
  <c r="N217" i="21"/>
  <c r="M217" i="21"/>
  <c r="L217" i="21"/>
  <c r="K217" i="21"/>
  <c r="J217" i="21"/>
  <c r="I217" i="21"/>
  <c r="H217" i="21"/>
  <c r="G217" i="21"/>
  <c r="F217" i="21"/>
  <c r="E217" i="21"/>
  <c r="D217" i="21"/>
  <c r="C217" i="21"/>
  <c r="P216" i="21"/>
  <c r="O216" i="21"/>
  <c r="N216" i="21"/>
  <c r="M216" i="21"/>
  <c r="L216" i="21"/>
  <c r="K216" i="21"/>
  <c r="J216" i="21"/>
  <c r="I216" i="21"/>
  <c r="H216" i="21"/>
  <c r="G216" i="21"/>
  <c r="F216" i="21"/>
  <c r="E216" i="21"/>
  <c r="D216" i="21"/>
  <c r="C216" i="21"/>
  <c r="P215" i="21"/>
  <c r="O215" i="21"/>
  <c r="N215" i="21"/>
  <c r="M215" i="21"/>
  <c r="L215" i="21"/>
  <c r="K215" i="21"/>
  <c r="J215" i="21"/>
  <c r="I215" i="21"/>
  <c r="H215" i="21"/>
  <c r="G215" i="21"/>
  <c r="F215" i="21"/>
  <c r="E215" i="21"/>
  <c r="D215" i="21"/>
  <c r="C215" i="21"/>
  <c r="P214" i="21"/>
  <c r="O214" i="21"/>
  <c r="M214" i="21"/>
  <c r="L214" i="21"/>
  <c r="K214" i="21"/>
  <c r="J214" i="21"/>
  <c r="I214" i="21"/>
  <c r="G214" i="21"/>
  <c r="F214" i="21"/>
  <c r="E214" i="21"/>
  <c r="D214" i="21"/>
  <c r="C214" i="21"/>
  <c r="P213" i="21"/>
  <c r="O213" i="21"/>
  <c r="N213" i="21"/>
  <c r="M213" i="21"/>
  <c r="L213" i="21"/>
  <c r="K213" i="21"/>
  <c r="J213" i="21"/>
  <c r="I213" i="21"/>
  <c r="H213" i="21"/>
  <c r="G213" i="21"/>
  <c r="F213" i="21"/>
  <c r="E213" i="21"/>
  <c r="D213" i="21"/>
  <c r="C213" i="21"/>
  <c r="P212" i="21"/>
  <c r="O212" i="21"/>
  <c r="N212" i="21"/>
  <c r="M212" i="21"/>
  <c r="L212" i="21"/>
  <c r="K212" i="21"/>
  <c r="J212" i="21"/>
  <c r="I212" i="21"/>
  <c r="H212" i="21"/>
  <c r="G212" i="21"/>
  <c r="F212" i="21"/>
  <c r="E212" i="21"/>
  <c r="D212" i="21"/>
  <c r="C212" i="21"/>
  <c r="P211" i="21"/>
  <c r="O211" i="21"/>
  <c r="N211" i="21"/>
  <c r="M211" i="21"/>
  <c r="L211" i="21"/>
  <c r="K211" i="21"/>
  <c r="J211" i="21"/>
  <c r="I211" i="21"/>
  <c r="H211" i="21"/>
  <c r="G211" i="21"/>
  <c r="F211" i="21"/>
  <c r="E211" i="21"/>
  <c r="D211" i="21"/>
  <c r="C211" i="21"/>
  <c r="P210" i="21"/>
  <c r="O210" i="21"/>
  <c r="N210" i="21"/>
  <c r="M210" i="21"/>
  <c r="L210" i="21"/>
  <c r="K210" i="21"/>
  <c r="J210" i="21"/>
  <c r="I210" i="21"/>
  <c r="H210" i="21"/>
  <c r="G210" i="21"/>
  <c r="F210" i="21"/>
  <c r="E210" i="21"/>
  <c r="D210" i="21"/>
  <c r="C210" i="21"/>
  <c r="P209" i="21"/>
  <c r="O209" i="21"/>
  <c r="N209" i="21"/>
  <c r="M209" i="21"/>
  <c r="L209" i="21"/>
  <c r="K209" i="21"/>
  <c r="J209" i="21"/>
  <c r="I209" i="21"/>
  <c r="H209" i="21"/>
  <c r="G209" i="21"/>
  <c r="F209" i="21"/>
  <c r="E209" i="21"/>
  <c r="D209" i="21"/>
  <c r="C209" i="21"/>
  <c r="P208" i="21"/>
  <c r="O208" i="21"/>
  <c r="N208" i="21"/>
  <c r="M208" i="21"/>
  <c r="L208" i="21"/>
  <c r="K208" i="21"/>
  <c r="J208" i="21"/>
  <c r="I208" i="21"/>
  <c r="H208" i="21"/>
  <c r="G208" i="21"/>
  <c r="F208" i="21"/>
  <c r="E208" i="21"/>
  <c r="D208" i="21"/>
  <c r="C208" i="21"/>
  <c r="P207" i="21"/>
  <c r="O207" i="21"/>
  <c r="N207" i="21"/>
  <c r="M207" i="21"/>
  <c r="L207" i="21"/>
  <c r="K207" i="21"/>
  <c r="J207" i="21"/>
  <c r="I207" i="21"/>
  <c r="H207" i="21"/>
  <c r="G207" i="21"/>
  <c r="F207" i="21"/>
  <c r="E207" i="21"/>
  <c r="D207" i="21"/>
  <c r="C207" i="21"/>
  <c r="P206" i="21"/>
  <c r="O206" i="21"/>
  <c r="N206" i="21"/>
  <c r="M206" i="21"/>
  <c r="L206" i="21"/>
  <c r="K206" i="21"/>
  <c r="J206" i="21"/>
  <c r="I206" i="21"/>
  <c r="H206" i="21"/>
  <c r="G206" i="21"/>
  <c r="F206" i="21"/>
  <c r="E206" i="21"/>
  <c r="D206" i="21"/>
  <c r="C206" i="21"/>
  <c r="P205" i="21"/>
  <c r="O205" i="21"/>
  <c r="N205" i="21"/>
  <c r="M205" i="21"/>
  <c r="L205" i="21"/>
  <c r="K205" i="21"/>
  <c r="J205" i="21"/>
  <c r="I205" i="21"/>
  <c r="H205" i="21"/>
  <c r="G205" i="21"/>
  <c r="F205" i="21"/>
  <c r="E205" i="21"/>
  <c r="D205" i="21"/>
  <c r="C205" i="21"/>
  <c r="P204" i="21"/>
  <c r="O204" i="21"/>
  <c r="N204" i="21"/>
  <c r="M204" i="21"/>
  <c r="L204" i="21"/>
  <c r="K204" i="21"/>
  <c r="J204" i="21"/>
  <c r="I204" i="21"/>
  <c r="H204" i="21"/>
  <c r="G204" i="21"/>
  <c r="F204" i="21"/>
  <c r="E204" i="21"/>
  <c r="D204" i="21"/>
  <c r="C204" i="21"/>
  <c r="P203" i="21"/>
  <c r="O203" i="21"/>
  <c r="N203" i="21"/>
  <c r="M203" i="21"/>
  <c r="L203" i="21"/>
  <c r="K203" i="21"/>
  <c r="J203" i="21"/>
  <c r="I203" i="21"/>
  <c r="H203" i="21"/>
  <c r="G203" i="21"/>
  <c r="F203" i="21"/>
  <c r="E203" i="21"/>
  <c r="D203" i="21"/>
  <c r="C203" i="21"/>
  <c r="P202" i="21"/>
  <c r="O202" i="21"/>
  <c r="N202" i="21"/>
  <c r="M202" i="21"/>
  <c r="L202" i="21"/>
  <c r="K202" i="21"/>
  <c r="J202" i="21"/>
  <c r="I202" i="21"/>
  <c r="H202" i="21"/>
  <c r="G202" i="21"/>
  <c r="F202" i="21"/>
  <c r="E202" i="21"/>
  <c r="D202" i="21"/>
  <c r="C202" i="21"/>
  <c r="P201" i="21"/>
  <c r="O201" i="21"/>
  <c r="N201" i="21"/>
  <c r="M201" i="21"/>
  <c r="L201" i="21"/>
  <c r="K201" i="21"/>
  <c r="J201" i="21"/>
  <c r="I201" i="21"/>
  <c r="H201" i="21"/>
  <c r="G201" i="21"/>
  <c r="F201" i="21"/>
  <c r="E201" i="21"/>
  <c r="D201" i="21"/>
  <c r="C201" i="21"/>
  <c r="P200" i="21"/>
  <c r="O200" i="21"/>
  <c r="N200" i="21"/>
  <c r="M200" i="21"/>
  <c r="L200" i="21"/>
  <c r="K200" i="21"/>
  <c r="J200" i="21"/>
  <c r="I200" i="21"/>
  <c r="H200" i="21"/>
  <c r="G200" i="21"/>
  <c r="F200" i="21"/>
  <c r="E200" i="21"/>
  <c r="D200" i="21"/>
  <c r="C200" i="21"/>
  <c r="P199" i="21"/>
  <c r="O199" i="21"/>
  <c r="N199" i="21"/>
  <c r="M199" i="21"/>
  <c r="L199" i="21"/>
  <c r="K199" i="21"/>
  <c r="J199" i="21"/>
  <c r="I199" i="21"/>
  <c r="H199" i="21"/>
  <c r="G199" i="21"/>
  <c r="F199" i="21"/>
  <c r="E199" i="21"/>
  <c r="D199" i="21"/>
  <c r="C199" i="21"/>
  <c r="P198" i="21"/>
  <c r="O198" i="21"/>
  <c r="N198" i="21"/>
  <c r="M198" i="21"/>
  <c r="L198" i="21"/>
  <c r="K198" i="21"/>
  <c r="J198" i="21"/>
  <c r="I198" i="21"/>
  <c r="H198" i="21"/>
  <c r="G198" i="21"/>
  <c r="F198" i="21"/>
  <c r="E198" i="21"/>
  <c r="D198" i="21"/>
  <c r="C198" i="21"/>
  <c r="P197" i="21"/>
  <c r="O197" i="21"/>
  <c r="N197" i="21"/>
  <c r="M197" i="21"/>
  <c r="L197" i="21"/>
  <c r="K197" i="21"/>
  <c r="J197" i="21"/>
  <c r="I197" i="21"/>
  <c r="H197" i="21"/>
  <c r="G197" i="21"/>
  <c r="F197" i="21"/>
  <c r="E197" i="21"/>
  <c r="D197" i="21"/>
  <c r="C197" i="21"/>
  <c r="P196" i="21"/>
  <c r="O196" i="21"/>
  <c r="N196" i="21"/>
  <c r="M196" i="21"/>
  <c r="L196" i="21"/>
  <c r="K196" i="21"/>
  <c r="J196" i="21"/>
  <c r="I196" i="21"/>
  <c r="H196" i="21"/>
  <c r="G196" i="21"/>
  <c r="F196" i="21"/>
  <c r="E196" i="21"/>
  <c r="D196" i="21"/>
  <c r="C196" i="21"/>
  <c r="P195" i="21"/>
  <c r="O195" i="21"/>
  <c r="N195" i="21"/>
  <c r="M195" i="21"/>
  <c r="L195" i="21"/>
  <c r="K195" i="21"/>
  <c r="J195" i="21"/>
  <c r="I195" i="21"/>
  <c r="H195" i="21"/>
  <c r="G195" i="21"/>
  <c r="F195" i="21"/>
  <c r="E195" i="21"/>
  <c r="D195" i="21"/>
  <c r="C195" i="21"/>
  <c r="P194" i="21"/>
  <c r="O194" i="21"/>
  <c r="N194" i="21"/>
  <c r="M194" i="21"/>
  <c r="L194" i="21"/>
  <c r="K194" i="21"/>
  <c r="J194" i="21"/>
  <c r="I194" i="21"/>
  <c r="H194" i="21"/>
  <c r="G194" i="21"/>
  <c r="F194" i="21"/>
  <c r="E194" i="21"/>
  <c r="D194" i="21"/>
  <c r="C194" i="21"/>
  <c r="P193" i="21"/>
  <c r="O193" i="21"/>
  <c r="N193" i="21"/>
  <c r="M193" i="21"/>
  <c r="L193" i="21"/>
  <c r="K193" i="21"/>
  <c r="J193" i="21"/>
  <c r="I193" i="21"/>
  <c r="H193" i="21"/>
  <c r="G193" i="21"/>
  <c r="F193" i="21"/>
  <c r="E193" i="21"/>
  <c r="D193" i="21"/>
  <c r="C193" i="21"/>
  <c r="P192" i="21"/>
  <c r="O192" i="21"/>
  <c r="N192" i="21"/>
  <c r="M192" i="21"/>
  <c r="L192" i="21"/>
  <c r="K192" i="21"/>
  <c r="J192" i="21"/>
  <c r="I192" i="21"/>
  <c r="H192" i="21"/>
  <c r="G192" i="21"/>
  <c r="F192" i="21"/>
  <c r="E192" i="21"/>
  <c r="D192" i="21"/>
  <c r="C192" i="21"/>
  <c r="P191" i="21"/>
  <c r="O191" i="21"/>
  <c r="N191" i="21"/>
  <c r="M191" i="21"/>
  <c r="L191" i="21"/>
  <c r="K191" i="21"/>
  <c r="J191" i="21"/>
  <c r="I191" i="21"/>
  <c r="H191" i="21"/>
  <c r="G191" i="21"/>
  <c r="F191" i="21"/>
  <c r="E191" i="21"/>
  <c r="D191" i="21"/>
  <c r="C191" i="21"/>
  <c r="P190" i="21"/>
  <c r="O190" i="21"/>
  <c r="N190" i="21"/>
  <c r="M190" i="21"/>
  <c r="L190" i="21"/>
  <c r="K190" i="21"/>
  <c r="J190" i="21"/>
  <c r="I190" i="21"/>
  <c r="H190" i="21"/>
  <c r="G190" i="21"/>
  <c r="F190" i="21"/>
  <c r="E190" i="21"/>
  <c r="D190" i="21"/>
  <c r="C190" i="21"/>
  <c r="P189" i="21"/>
  <c r="O189" i="21"/>
  <c r="M189" i="21"/>
  <c r="K189" i="21"/>
  <c r="J189" i="21"/>
  <c r="I189" i="21"/>
  <c r="H189" i="21"/>
  <c r="G189" i="21"/>
  <c r="E189" i="21"/>
  <c r="D189" i="21"/>
  <c r="C189" i="21"/>
  <c r="P188" i="21"/>
  <c r="O188" i="21"/>
  <c r="N188" i="21"/>
  <c r="M188" i="21"/>
  <c r="L188" i="21"/>
  <c r="K188" i="21"/>
  <c r="J188" i="21"/>
  <c r="I188" i="21"/>
  <c r="H188" i="21"/>
  <c r="G188" i="21"/>
  <c r="F188" i="21"/>
  <c r="E188" i="21"/>
  <c r="D188" i="21"/>
  <c r="C188" i="21"/>
  <c r="P187" i="21"/>
  <c r="O187" i="21"/>
  <c r="N187" i="21"/>
  <c r="M187" i="21"/>
  <c r="L187" i="21"/>
  <c r="K187" i="21"/>
  <c r="J187" i="21"/>
  <c r="I187" i="21"/>
  <c r="H187" i="21"/>
  <c r="G187" i="21"/>
  <c r="F187" i="21"/>
  <c r="E187" i="21"/>
  <c r="D187" i="21"/>
  <c r="C187" i="21"/>
  <c r="P186" i="21"/>
  <c r="O186" i="21"/>
  <c r="N186" i="21"/>
  <c r="M186" i="21"/>
  <c r="L186" i="21"/>
  <c r="K186" i="21"/>
  <c r="J186" i="21"/>
  <c r="I186" i="21"/>
  <c r="H186" i="21"/>
  <c r="G186" i="21"/>
  <c r="F186" i="21"/>
  <c r="E186" i="21"/>
  <c r="D186" i="21"/>
  <c r="C186" i="21"/>
  <c r="P185" i="21"/>
  <c r="O185" i="21"/>
  <c r="N185" i="21"/>
  <c r="M185" i="21"/>
  <c r="L185" i="21"/>
  <c r="K185" i="21"/>
  <c r="J185" i="21"/>
  <c r="I185" i="21"/>
  <c r="H185" i="21"/>
  <c r="G185" i="21"/>
  <c r="F185" i="21"/>
  <c r="E185" i="21"/>
  <c r="D185" i="21"/>
  <c r="C185" i="21"/>
  <c r="P184" i="21"/>
  <c r="O184" i="21"/>
  <c r="N184" i="21"/>
  <c r="M184" i="21"/>
  <c r="L184" i="21"/>
  <c r="K184" i="21"/>
  <c r="J184" i="21"/>
  <c r="I184" i="21"/>
  <c r="H184" i="21"/>
  <c r="G184" i="21"/>
  <c r="F184" i="21"/>
  <c r="E184" i="21"/>
  <c r="D184" i="21"/>
  <c r="C184" i="21"/>
  <c r="P183" i="21"/>
  <c r="O183" i="21"/>
  <c r="N183" i="21"/>
  <c r="M183" i="21"/>
  <c r="L183" i="21"/>
  <c r="K183" i="21"/>
  <c r="J183" i="21"/>
  <c r="I183" i="21"/>
  <c r="H183" i="21"/>
  <c r="G183" i="21"/>
  <c r="F183" i="21"/>
  <c r="E183" i="21"/>
  <c r="D183" i="21"/>
  <c r="C183" i="21"/>
  <c r="P182" i="21"/>
  <c r="O182" i="21"/>
  <c r="N182" i="21"/>
  <c r="M182" i="21"/>
  <c r="L182" i="21"/>
  <c r="K182" i="21"/>
  <c r="J182" i="21"/>
  <c r="I182" i="21"/>
  <c r="H182" i="21"/>
  <c r="G182" i="21"/>
  <c r="F182" i="21"/>
  <c r="E182" i="21"/>
  <c r="D182" i="21"/>
  <c r="C182" i="21"/>
  <c r="P181" i="21"/>
  <c r="O181" i="21"/>
  <c r="N181" i="21"/>
  <c r="M181" i="21"/>
  <c r="L181" i="21"/>
  <c r="K181" i="21"/>
  <c r="J181" i="21"/>
  <c r="I181" i="21"/>
  <c r="H181" i="21"/>
  <c r="G181" i="21"/>
  <c r="F181" i="21"/>
  <c r="E181" i="21"/>
  <c r="D181" i="21"/>
  <c r="C181" i="21"/>
  <c r="P180" i="21"/>
  <c r="O180" i="21"/>
  <c r="N180" i="21"/>
  <c r="M180" i="21"/>
  <c r="L180" i="21"/>
  <c r="K180" i="21"/>
  <c r="J180" i="21"/>
  <c r="I180" i="21"/>
  <c r="H180" i="21"/>
  <c r="G180" i="21"/>
  <c r="F180" i="21"/>
  <c r="E180" i="21"/>
  <c r="D180" i="21"/>
  <c r="C180" i="21"/>
  <c r="P179" i="21"/>
  <c r="O179" i="21"/>
  <c r="N179" i="21"/>
  <c r="M179" i="21"/>
  <c r="L179" i="21"/>
  <c r="K179" i="21"/>
  <c r="J179" i="21"/>
  <c r="I179" i="21"/>
  <c r="H179" i="21"/>
  <c r="G179" i="21"/>
  <c r="F179" i="21"/>
  <c r="E179" i="21"/>
  <c r="D179" i="21"/>
  <c r="C179" i="21"/>
  <c r="P178" i="21"/>
  <c r="O178" i="21"/>
  <c r="N178" i="21"/>
  <c r="M178" i="21"/>
  <c r="L178" i="21"/>
  <c r="K178" i="21"/>
  <c r="J178" i="21"/>
  <c r="I178" i="21"/>
  <c r="H178" i="21"/>
  <c r="G178" i="21"/>
  <c r="F178" i="21"/>
  <c r="E178" i="21"/>
  <c r="D178" i="21"/>
  <c r="C178" i="21"/>
  <c r="P177" i="21"/>
  <c r="O177" i="21"/>
  <c r="N177" i="21"/>
  <c r="M177" i="21"/>
  <c r="L177" i="21"/>
  <c r="K177" i="21"/>
  <c r="J177" i="21"/>
  <c r="I177" i="21"/>
  <c r="H177" i="21"/>
  <c r="G177" i="21"/>
  <c r="F177" i="21"/>
  <c r="E177" i="21"/>
  <c r="D177" i="21"/>
  <c r="C177" i="21"/>
  <c r="P176" i="21"/>
  <c r="O176" i="21"/>
  <c r="N176" i="21"/>
  <c r="M176" i="21"/>
  <c r="L176" i="21"/>
  <c r="K176" i="21"/>
  <c r="J176" i="21"/>
  <c r="I176" i="21"/>
  <c r="H176" i="21"/>
  <c r="G176" i="21"/>
  <c r="F176" i="21"/>
  <c r="E176" i="21"/>
  <c r="D176" i="21"/>
  <c r="C176" i="21"/>
  <c r="P175" i="21"/>
  <c r="O175" i="21"/>
  <c r="N175" i="21"/>
  <c r="M175" i="21"/>
  <c r="L175" i="21"/>
  <c r="K175" i="21"/>
  <c r="J175" i="21"/>
  <c r="I175" i="21"/>
  <c r="H175" i="21"/>
  <c r="G175" i="21"/>
  <c r="F175" i="21"/>
  <c r="E175" i="21"/>
  <c r="D175" i="21"/>
  <c r="C175" i="21"/>
  <c r="P174" i="21"/>
  <c r="O174" i="21"/>
  <c r="N174" i="21"/>
  <c r="M174" i="21"/>
  <c r="L174" i="21"/>
  <c r="K174" i="21"/>
  <c r="J174" i="21"/>
  <c r="I174" i="21"/>
  <c r="H174" i="21"/>
  <c r="G174" i="21"/>
  <c r="F174" i="21"/>
  <c r="E174" i="21"/>
  <c r="D174" i="21"/>
  <c r="C174" i="21"/>
  <c r="P173" i="21"/>
  <c r="O173" i="21"/>
  <c r="N173" i="21"/>
  <c r="M173" i="21"/>
  <c r="L173" i="21"/>
  <c r="K173" i="21"/>
  <c r="J173" i="21"/>
  <c r="I173" i="21"/>
  <c r="H173" i="21"/>
  <c r="G173" i="21"/>
  <c r="F173" i="21"/>
  <c r="E173" i="21"/>
  <c r="D173" i="21"/>
  <c r="C173" i="21"/>
  <c r="P172" i="21"/>
  <c r="O172" i="21"/>
  <c r="N172" i="21"/>
  <c r="M172" i="21"/>
  <c r="L172" i="21"/>
  <c r="K172" i="21"/>
  <c r="J172" i="21"/>
  <c r="I172" i="21"/>
  <c r="H172" i="21"/>
  <c r="G172" i="21"/>
  <c r="F172" i="21"/>
  <c r="E172" i="21"/>
  <c r="D172" i="21"/>
  <c r="C172" i="21"/>
  <c r="P171" i="21"/>
  <c r="O171" i="21"/>
  <c r="N171" i="21"/>
  <c r="M171" i="21"/>
  <c r="L171" i="21"/>
  <c r="K171" i="21"/>
  <c r="J171" i="21"/>
  <c r="I171" i="21"/>
  <c r="H171" i="21"/>
  <c r="G171" i="21"/>
  <c r="F171" i="21"/>
  <c r="E171" i="21"/>
  <c r="D171" i="21"/>
  <c r="C171" i="21"/>
  <c r="P170" i="21"/>
  <c r="O170" i="21"/>
  <c r="N170" i="21"/>
  <c r="M170" i="21"/>
  <c r="L170" i="21"/>
  <c r="K170" i="21"/>
  <c r="J170" i="21"/>
  <c r="I170" i="21"/>
  <c r="H170" i="21"/>
  <c r="F170" i="21"/>
  <c r="E170" i="21"/>
  <c r="D170" i="21"/>
  <c r="C170" i="21"/>
  <c r="P169" i="21"/>
  <c r="O169" i="21"/>
  <c r="N169" i="21"/>
  <c r="M169" i="21"/>
  <c r="L169" i="21"/>
  <c r="K169" i="21"/>
  <c r="J169" i="21"/>
  <c r="I169" i="21"/>
  <c r="H169" i="21"/>
  <c r="G169" i="21"/>
  <c r="F169" i="21"/>
  <c r="E169" i="21"/>
  <c r="D169" i="21"/>
  <c r="C169" i="21"/>
  <c r="P168" i="21"/>
  <c r="O168" i="21"/>
  <c r="N168" i="21"/>
  <c r="M168" i="21"/>
  <c r="L168" i="21"/>
  <c r="K168" i="21"/>
  <c r="J168" i="21"/>
  <c r="I168" i="21"/>
  <c r="H168" i="21"/>
  <c r="G168" i="21"/>
  <c r="F168" i="21"/>
  <c r="E168" i="21"/>
  <c r="D168" i="21"/>
  <c r="C168" i="21"/>
  <c r="P167" i="21"/>
  <c r="O167" i="21"/>
  <c r="N167" i="21"/>
  <c r="M167" i="21"/>
  <c r="L167" i="21"/>
  <c r="K167" i="21"/>
  <c r="J167" i="21"/>
  <c r="I167" i="21"/>
  <c r="H167" i="21"/>
  <c r="G167" i="21"/>
  <c r="F167" i="21"/>
  <c r="E167" i="21"/>
  <c r="D167" i="21"/>
  <c r="C167" i="21"/>
  <c r="P166" i="21"/>
  <c r="O166" i="21"/>
  <c r="N166" i="21"/>
  <c r="M166" i="21"/>
  <c r="L166" i="21"/>
  <c r="K166" i="21"/>
  <c r="J166" i="21"/>
  <c r="I166" i="21"/>
  <c r="H166" i="21"/>
  <c r="G166" i="21"/>
  <c r="F166" i="21"/>
  <c r="E166" i="21"/>
  <c r="D166" i="21"/>
  <c r="C166" i="21"/>
  <c r="P165" i="21"/>
  <c r="O165" i="21"/>
  <c r="N165" i="21"/>
  <c r="M165" i="21"/>
  <c r="L165" i="21"/>
  <c r="K165" i="21"/>
  <c r="J165" i="21"/>
  <c r="I165" i="21"/>
  <c r="H165" i="21"/>
  <c r="G165" i="21"/>
  <c r="F165" i="21"/>
  <c r="E165" i="21"/>
  <c r="D165" i="21"/>
  <c r="C165" i="21"/>
  <c r="P164" i="21"/>
  <c r="O164" i="21"/>
  <c r="N164" i="21"/>
  <c r="M164" i="21"/>
  <c r="L164" i="21"/>
  <c r="K164" i="21"/>
  <c r="J164" i="21"/>
  <c r="I164" i="21"/>
  <c r="H164" i="21"/>
  <c r="G164" i="21"/>
  <c r="F164" i="21"/>
  <c r="E164" i="21"/>
  <c r="D164" i="21"/>
  <c r="C164" i="21"/>
  <c r="P163" i="21"/>
  <c r="O163" i="21"/>
  <c r="N163" i="21"/>
  <c r="M163" i="21"/>
  <c r="L163" i="21"/>
  <c r="K163" i="21"/>
  <c r="J163" i="21"/>
  <c r="I163" i="21"/>
  <c r="H163" i="21"/>
  <c r="G163" i="21"/>
  <c r="F163" i="21"/>
  <c r="E163" i="21"/>
  <c r="D163" i="21"/>
  <c r="C163" i="21"/>
  <c r="P162" i="21"/>
  <c r="O162" i="21"/>
  <c r="N162" i="21"/>
  <c r="M162" i="21"/>
  <c r="L162" i="21"/>
  <c r="K162" i="21"/>
  <c r="J162" i="21"/>
  <c r="I162" i="21"/>
  <c r="H162" i="21"/>
  <c r="G162" i="21"/>
  <c r="F162" i="21"/>
  <c r="E162" i="21"/>
  <c r="D162" i="21"/>
  <c r="C162" i="21"/>
  <c r="P161" i="21"/>
  <c r="O161" i="21"/>
  <c r="N161" i="21"/>
  <c r="M161" i="21"/>
  <c r="L161" i="21"/>
  <c r="K161" i="21"/>
  <c r="J161" i="21"/>
  <c r="I161" i="21"/>
  <c r="H161" i="21"/>
  <c r="G161" i="21"/>
  <c r="F161" i="21"/>
  <c r="E161" i="21"/>
  <c r="D161" i="21"/>
  <c r="C161" i="21"/>
  <c r="P160" i="21"/>
  <c r="O160" i="21"/>
  <c r="N160" i="21"/>
  <c r="M160" i="21"/>
  <c r="L160" i="21"/>
  <c r="K160" i="21"/>
  <c r="J160" i="21"/>
  <c r="I160" i="21"/>
  <c r="H160" i="21"/>
  <c r="G160" i="21"/>
  <c r="F160" i="21"/>
  <c r="E160" i="21"/>
  <c r="D160" i="21"/>
  <c r="C160" i="21"/>
  <c r="P159" i="21"/>
  <c r="O159" i="21"/>
  <c r="N159" i="21"/>
  <c r="M159" i="21"/>
  <c r="L159" i="21"/>
  <c r="K159" i="21"/>
  <c r="J159" i="21"/>
  <c r="I159" i="21"/>
  <c r="H159" i="21"/>
  <c r="G159" i="21"/>
  <c r="F159" i="21"/>
  <c r="E159" i="21"/>
  <c r="D159" i="21"/>
  <c r="C159" i="21"/>
  <c r="P158" i="21"/>
  <c r="O158" i="21"/>
  <c r="N158" i="21"/>
  <c r="M158" i="21"/>
  <c r="L158" i="21"/>
  <c r="K158" i="21"/>
  <c r="J158" i="21"/>
  <c r="I158" i="21"/>
  <c r="H158" i="21"/>
  <c r="G158" i="21"/>
  <c r="F158" i="21"/>
  <c r="E158" i="21"/>
  <c r="D158" i="21"/>
  <c r="C158" i="21"/>
  <c r="P157" i="21"/>
  <c r="O157" i="21"/>
  <c r="N157" i="21"/>
  <c r="M157" i="21"/>
  <c r="L157" i="21"/>
  <c r="K157" i="21"/>
  <c r="J157" i="21"/>
  <c r="I157" i="21"/>
  <c r="H157" i="21"/>
  <c r="G157" i="21"/>
  <c r="F157" i="21"/>
  <c r="E157" i="21"/>
  <c r="D157" i="21"/>
  <c r="C157" i="21"/>
  <c r="P156" i="21"/>
  <c r="O156" i="21"/>
  <c r="N156" i="21"/>
  <c r="M156" i="21"/>
  <c r="L156" i="21"/>
  <c r="K156" i="21"/>
  <c r="J156" i="21"/>
  <c r="I156" i="21"/>
  <c r="H156" i="21"/>
  <c r="G156" i="21"/>
  <c r="F156" i="21"/>
  <c r="E156" i="21"/>
  <c r="D156" i="21"/>
  <c r="C156" i="21"/>
  <c r="P155" i="21"/>
  <c r="O155" i="21"/>
  <c r="N155" i="21"/>
  <c r="M155" i="21"/>
  <c r="L155" i="21"/>
  <c r="K155" i="21"/>
  <c r="J155" i="21"/>
  <c r="I155" i="21"/>
  <c r="H155" i="21"/>
  <c r="G155" i="21"/>
  <c r="F155" i="21"/>
  <c r="E155" i="21"/>
  <c r="D155" i="21"/>
  <c r="C155" i="21"/>
  <c r="P154" i="21"/>
  <c r="O154" i="21"/>
  <c r="N154" i="21"/>
  <c r="M154" i="21"/>
  <c r="L154" i="21"/>
  <c r="K154" i="21"/>
  <c r="J154" i="21"/>
  <c r="I154" i="21"/>
  <c r="H154" i="21"/>
  <c r="G154" i="21"/>
  <c r="F154" i="21"/>
  <c r="E154" i="21"/>
  <c r="D154" i="21"/>
  <c r="C154" i="21"/>
  <c r="P153" i="21"/>
  <c r="O153" i="21"/>
  <c r="N153" i="21"/>
  <c r="M153" i="21"/>
  <c r="L153" i="21"/>
  <c r="K153" i="21"/>
  <c r="J153" i="21"/>
  <c r="I153" i="21"/>
  <c r="H153" i="21"/>
  <c r="G153" i="21"/>
  <c r="F153" i="21"/>
  <c r="E153" i="21"/>
  <c r="D153" i="21"/>
  <c r="C153" i="21"/>
  <c r="P152" i="21"/>
  <c r="O152" i="21"/>
  <c r="N152" i="21"/>
  <c r="M152" i="21"/>
  <c r="L152" i="21"/>
  <c r="K152" i="21"/>
  <c r="J152" i="21"/>
  <c r="I152" i="21"/>
  <c r="H152" i="21"/>
  <c r="G152" i="21"/>
  <c r="F152" i="21"/>
  <c r="E152" i="21"/>
  <c r="D152" i="21"/>
  <c r="C152" i="21"/>
  <c r="P151" i="21"/>
  <c r="O151" i="21"/>
  <c r="N151" i="21"/>
  <c r="M151" i="21"/>
  <c r="L151" i="21"/>
  <c r="K151" i="21"/>
  <c r="J151" i="21"/>
  <c r="I151" i="21"/>
  <c r="H151" i="21"/>
  <c r="G151" i="21"/>
  <c r="F151" i="21"/>
  <c r="E151" i="21"/>
  <c r="D151" i="21"/>
  <c r="C151" i="21"/>
  <c r="P150" i="21"/>
  <c r="O150" i="21"/>
  <c r="N150" i="21"/>
  <c r="M150" i="21"/>
  <c r="L150" i="21"/>
  <c r="K150" i="21"/>
  <c r="J150" i="21"/>
  <c r="I150" i="21"/>
  <c r="H150" i="21"/>
  <c r="G150" i="21"/>
  <c r="F150" i="21"/>
  <c r="E150" i="21"/>
  <c r="D150" i="21"/>
  <c r="C150" i="21"/>
  <c r="P149" i="21"/>
  <c r="O149" i="21"/>
  <c r="N149" i="21"/>
  <c r="M149" i="21"/>
  <c r="L149" i="21"/>
  <c r="K149" i="21"/>
  <c r="J149" i="21"/>
  <c r="I149" i="21"/>
  <c r="H149" i="21"/>
  <c r="G149" i="21"/>
  <c r="F149" i="21"/>
  <c r="E149" i="21"/>
  <c r="D149" i="21"/>
  <c r="C149" i="21"/>
  <c r="P148" i="21"/>
  <c r="O148" i="21"/>
  <c r="N148" i="21"/>
  <c r="M148" i="21"/>
  <c r="L148" i="21"/>
  <c r="K148" i="21"/>
  <c r="J148" i="21"/>
  <c r="I148" i="21"/>
  <c r="H148" i="21"/>
  <c r="G148" i="21"/>
  <c r="F148" i="21"/>
  <c r="E148" i="21"/>
  <c r="D148" i="21"/>
  <c r="C148" i="21"/>
  <c r="P147" i="21"/>
  <c r="O147" i="21"/>
  <c r="N147" i="21"/>
  <c r="M147" i="21"/>
  <c r="L147" i="21"/>
  <c r="K147" i="21"/>
  <c r="J147" i="21"/>
  <c r="I147" i="21"/>
  <c r="H147" i="21"/>
  <c r="G147" i="21"/>
  <c r="F147" i="21"/>
  <c r="E147" i="21"/>
  <c r="D147" i="21"/>
  <c r="C147" i="21"/>
  <c r="P146" i="21"/>
  <c r="O146" i="21"/>
  <c r="N146" i="21"/>
  <c r="M146" i="21"/>
  <c r="L146" i="21"/>
  <c r="K146" i="21"/>
  <c r="J146" i="21"/>
  <c r="I146" i="21"/>
  <c r="H146" i="21"/>
  <c r="G146" i="21"/>
  <c r="F146" i="21"/>
  <c r="E146" i="21"/>
  <c r="D146" i="21"/>
  <c r="C146" i="21"/>
  <c r="P145" i="21"/>
  <c r="O145" i="21"/>
  <c r="N145" i="21"/>
  <c r="M145" i="21"/>
  <c r="L145" i="21"/>
  <c r="K145" i="21"/>
  <c r="J145" i="21"/>
  <c r="I145" i="21"/>
  <c r="H145" i="21"/>
  <c r="G145" i="21"/>
  <c r="F145" i="21"/>
  <c r="E145" i="21"/>
  <c r="D145" i="21"/>
  <c r="C145" i="21"/>
  <c r="P144" i="21"/>
  <c r="O144" i="21"/>
  <c r="N144" i="21"/>
  <c r="M144" i="21"/>
  <c r="L144" i="21"/>
  <c r="K144" i="21"/>
  <c r="J144" i="21"/>
  <c r="I144" i="21"/>
  <c r="H144" i="21"/>
  <c r="G144" i="21"/>
  <c r="F144" i="21"/>
  <c r="E144" i="21"/>
  <c r="D144" i="21"/>
  <c r="C144" i="21"/>
  <c r="P143" i="21"/>
  <c r="O143" i="21"/>
  <c r="N143" i="21"/>
  <c r="M143" i="21"/>
  <c r="L143" i="21"/>
  <c r="K143" i="21"/>
  <c r="J143" i="21"/>
  <c r="I143" i="21"/>
  <c r="H143" i="21"/>
  <c r="G143" i="21"/>
  <c r="F143" i="21"/>
  <c r="E143" i="21"/>
  <c r="D143" i="21"/>
  <c r="C143" i="21"/>
  <c r="P142" i="21"/>
  <c r="O142" i="21"/>
  <c r="N142" i="21"/>
  <c r="M142" i="21"/>
  <c r="L142" i="21"/>
  <c r="K142" i="21"/>
  <c r="J142" i="21"/>
  <c r="I142" i="21"/>
  <c r="H142" i="21"/>
  <c r="G142" i="21"/>
  <c r="F142" i="21"/>
  <c r="E142" i="21"/>
  <c r="D142" i="21"/>
  <c r="C142" i="21"/>
  <c r="P141" i="21"/>
  <c r="O141" i="21"/>
  <c r="N141" i="21"/>
  <c r="M141" i="21"/>
  <c r="L141" i="21"/>
  <c r="K141" i="21"/>
  <c r="J141" i="21"/>
  <c r="I141" i="21"/>
  <c r="H141" i="21"/>
  <c r="G141" i="21"/>
  <c r="F141" i="21"/>
  <c r="E141" i="21"/>
  <c r="C141" i="21"/>
  <c r="P140" i="21"/>
  <c r="O140" i="21"/>
  <c r="N140" i="21"/>
  <c r="M140" i="21"/>
  <c r="L140" i="21"/>
  <c r="K140" i="21"/>
  <c r="J140" i="21"/>
  <c r="I140" i="21"/>
  <c r="H140" i="21"/>
  <c r="G140" i="21"/>
  <c r="F140" i="21"/>
  <c r="E140" i="21"/>
  <c r="D140" i="21"/>
  <c r="C140" i="21"/>
  <c r="P139" i="21"/>
  <c r="O139" i="21"/>
  <c r="N139" i="21"/>
  <c r="M139" i="21"/>
  <c r="L139" i="21"/>
  <c r="K139" i="21"/>
  <c r="J139" i="21"/>
  <c r="I139" i="21"/>
  <c r="H139" i="21"/>
  <c r="G139" i="21"/>
  <c r="F139" i="21"/>
  <c r="E139" i="21"/>
  <c r="D139" i="21"/>
  <c r="C139" i="21"/>
  <c r="P138" i="21"/>
  <c r="O138" i="21"/>
  <c r="N138" i="21"/>
  <c r="M138" i="21"/>
  <c r="L138" i="21"/>
  <c r="K138" i="21"/>
  <c r="J138" i="21"/>
  <c r="I138" i="21"/>
  <c r="H138" i="21"/>
  <c r="G138" i="21"/>
  <c r="F138" i="21"/>
  <c r="E138" i="21"/>
  <c r="D138" i="21"/>
  <c r="C138" i="21"/>
  <c r="P137" i="21"/>
  <c r="O137" i="21"/>
  <c r="N137" i="21"/>
  <c r="M137" i="21"/>
  <c r="L137" i="21"/>
  <c r="K137" i="21"/>
  <c r="J137" i="21"/>
  <c r="I137" i="21"/>
  <c r="H137" i="21"/>
  <c r="G137" i="21"/>
  <c r="F137" i="21"/>
  <c r="E137" i="21"/>
  <c r="D137" i="21"/>
  <c r="C137" i="21"/>
  <c r="P136" i="21"/>
  <c r="O136" i="21"/>
  <c r="N136" i="21"/>
  <c r="M136" i="21"/>
  <c r="L136" i="21"/>
  <c r="K136" i="21"/>
  <c r="J136" i="21"/>
  <c r="I136" i="21"/>
  <c r="H136" i="21"/>
  <c r="G136" i="21"/>
  <c r="F136" i="21"/>
  <c r="E136" i="21"/>
  <c r="D136" i="21"/>
  <c r="C136" i="21"/>
  <c r="P135" i="21"/>
  <c r="O135" i="21"/>
  <c r="N135" i="21"/>
  <c r="M135" i="21"/>
  <c r="L135" i="21"/>
  <c r="K135" i="21"/>
  <c r="J135" i="21"/>
  <c r="I135" i="21"/>
  <c r="H135" i="21"/>
  <c r="G135" i="21"/>
  <c r="F135" i="21"/>
  <c r="E135" i="21"/>
  <c r="D135" i="21"/>
  <c r="C135" i="21"/>
  <c r="P134" i="21"/>
  <c r="O134" i="21"/>
  <c r="N134" i="21"/>
  <c r="M134" i="21"/>
  <c r="L134" i="21"/>
  <c r="K134" i="21"/>
  <c r="J134" i="21"/>
  <c r="I134" i="21"/>
  <c r="H134" i="21"/>
  <c r="G134" i="21"/>
  <c r="F134" i="21"/>
  <c r="E134" i="21"/>
  <c r="D134" i="21"/>
  <c r="C134" i="21"/>
  <c r="P133" i="21"/>
  <c r="O133" i="21"/>
  <c r="N133" i="21"/>
  <c r="M133" i="21"/>
  <c r="L133" i="21"/>
  <c r="K133" i="21"/>
  <c r="J133" i="21"/>
  <c r="I133" i="21"/>
  <c r="H133" i="21"/>
  <c r="G133" i="21"/>
  <c r="F133" i="21"/>
  <c r="E133" i="21"/>
  <c r="D133" i="21"/>
  <c r="C133" i="21"/>
  <c r="P132" i="21"/>
  <c r="O132" i="21"/>
  <c r="N132" i="21"/>
  <c r="M132" i="21"/>
  <c r="L132" i="21"/>
  <c r="K132" i="21"/>
  <c r="J132" i="21"/>
  <c r="I132" i="21"/>
  <c r="H132" i="21"/>
  <c r="G132" i="21"/>
  <c r="F132" i="21"/>
  <c r="E132" i="21"/>
  <c r="D132" i="21"/>
  <c r="C132" i="21"/>
  <c r="P131" i="21"/>
  <c r="O131" i="21"/>
  <c r="N131" i="21"/>
  <c r="M131" i="21"/>
  <c r="L131" i="21"/>
  <c r="K131" i="21"/>
  <c r="J131" i="21"/>
  <c r="I131" i="21"/>
  <c r="H131" i="21"/>
  <c r="G131" i="21"/>
  <c r="F131" i="21"/>
  <c r="E131" i="21"/>
  <c r="D131" i="21"/>
  <c r="C131" i="21"/>
  <c r="P130" i="21"/>
  <c r="O130" i="21"/>
  <c r="N130" i="21"/>
  <c r="M130" i="21"/>
  <c r="L130" i="21"/>
  <c r="K130" i="21"/>
  <c r="J130" i="21"/>
  <c r="I130" i="21"/>
  <c r="H130" i="21"/>
  <c r="G130" i="21"/>
  <c r="F130" i="21"/>
  <c r="E130" i="21"/>
  <c r="D130" i="21"/>
  <c r="C130" i="21"/>
  <c r="P129" i="21"/>
  <c r="O129" i="21"/>
  <c r="N129" i="21"/>
  <c r="M129" i="21"/>
  <c r="L129" i="21"/>
  <c r="K129" i="21"/>
  <c r="J129" i="21"/>
  <c r="I129" i="21"/>
  <c r="H129" i="21"/>
  <c r="G129" i="21"/>
  <c r="F129" i="21"/>
  <c r="E129" i="21"/>
  <c r="D129" i="21"/>
  <c r="C129" i="21"/>
  <c r="P128" i="21"/>
  <c r="O128" i="21"/>
  <c r="N128" i="21"/>
  <c r="M128" i="21"/>
  <c r="L128" i="21"/>
  <c r="K128" i="21"/>
  <c r="J128" i="21"/>
  <c r="I128" i="21"/>
  <c r="H128" i="21"/>
  <c r="G128" i="21"/>
  <c r="F128" i="21"/>
  <c r="E128" i="21"/>
  <c r="D128" i="21"/>
  <c r="C128" i="21"/>
  <c r="P127" i="21"/>
  <c r="O127" i="21"/>
  <c r="N127" i="21"/>
  <c r="M127" i="21"/>
  <c r="L127" i="21"/>
  <c r="K127" i="21"/>
  <c r="J127" i="21"/>
  <c r="I127" i="21"/>
  <c r="H127" i="21"/>
  <c r="G127" i="21"/>
  <c r="F127" i="21"/>
  <c r="E127" i="21"/>
  <c r="D127" i="21"/>
  <c r="C127" i="21"/>
  <c r="P126" i="21"/>
  <c r="O126" i="21"/>
  <c r="N126" i="21"/>
  <c r="M126" i="21"/>
  <c r="L126" i="21"/>
  <c r="K126" i="21"/>
  <c r="J126" i="21"/>
  <c r="I126" i="21"/>
  <c r="H126" i="21"/>
  <c r="G126" i="21"/>
  <c r="F126" i="21"/>
  <c r="E126" i="21"/>
  <c r="D126" i="21"/>
  <c r="C126" i="21"/>
  <c r="P125" i="21"/>
  <c r="O125" i="21"/>
  <c r="N125" i="21"/>
  <c r="M125" i="21"/>
  <c r="L125" i="21"/>
  <c r="K125" i="21"/>
  <c r="J125" i="21"/>
  <c r="I125" i="21"/>
  <c r="H125" i="21"/>
  <c r="G125" i="21"/>
  <c r="F125" i="21"/>
  <c r="E125" i="21"/>
  <c r="D125" i="21"/>
  <c r="C125" i="21"/>
  <c r="P124" i="21"/>
  <c r="O124" i="21"/>
  <c r="N124" i="21"/>
  <c r="M124" i="21"/>
  <c r="L124" i="21"/>
  <c r="K124" i="21"/>
  <c r="J124" i="21"/>
  <c r="I124" i="21"/>
  <c r="H124" i="21"/>
  <c r="G124" i="21"/>
  <c r="F124" i="21"/>
  <c r="E124" i="21"/>
  <c r="D124" i="21"/>
  <c r="C124" i="21"/>
  <c r="P123" i="21"/>
  <c r="O123" i="21"/>
  <c r="N123" i="21"/>
  <c r="M123" i="21"/>
  <c r="L123" i="21"/>
  <c r="K123" i="21"/>
  <c r="J123" i="21"/>
  <c r="I123" i="21"/>
  <c r="H123" i="21"/>
  <c r="G123" i="21"/>
  <c r="F123" i="21"/>
  <c r="E123" i="21"/>
  <c r="D123" i="21"/>
  <c r="C123" i="21"/>
  <c r="P122" i="21"/>
  <c r="O122" i="21"/>
  <c r="N122" i="21"/>
  <c r="M122" i="21"/>
  <c r="L122" i="21"/>
  <c r="K122" i="21"/>
  <c r="J122" i="21"/>
  <c r="I122" i="21"/>
  <c r="H122" i="21"/>
  <c r="G122" i="21"/>
  <c r="F122" i="21"/>
  <c r="E122" i="21"/>
  <c r="D122" i="21"/>
  <c r="C122" i="21"/>
  <c r="P121" i="21"/>
  <c r="O121" i="21"/>
  <c r="N121" i="21"/>
  <c r="M121" i="21"/>
  <c r="L121" i="21"/>
  <c r="K121" i="21"/>
  <c r="J121" i="21"/>
  <c r="I121" i="21"/>
  <c r="H121" i="21"/>
  <c r="G121" i="21"/>
  <c r="F121" i="21"/>
  <c r="E121" i="21"/>
  <c r="D121" i="21"/>
  <c r="C121" i="21"/>
  <c r="P120" i="21"/>
  <c r="O120" i="21"/>
  <c r="N120" i="21"/>
  <c r="M120" i="21"/>
  <c r="L120" i="21"/>
  <c r="K120" i="21"/>
  <c r="J120" i="21"/>
  <c r="I120" i="21"/>
  <c r="H120" i="21"/>
  <c r="G120" i="21"/>
  <c r="F120" i="21"/>
  <c r="E120" i="21"/>
  <c r="C120" i="21"/>
  <c r="P119" i="21"/>
  <c r="O119" i="21"/>
  <c r="N119" i="21"/>
  <c r="M119" i="21"/>
  <c r="L119" i="21"/>
  <c r="K119" i="21"/>
  <c r="J119" i="21"/>
  <c r="I119" i="21"/>
  <c r="H119" i="21"/>
  <c r="G119" i="21"/>
  <c r="F119" i="21"/>
  <c r="E119" i="21"/>
  <c r="D119" i="21"/>
  <c r="C119" i="21"/>
  <c r="P118" i="21"/>
  <c r="O118" i="21"/>
  <c r="N118" i="21"/>
  <c r="M118" i="21"/>
  <c r="L118" i="21"/>
  <c r="K118" i="21"/>
  <c r="J118" i="21"/>
  <c r="I118" i="21"/>
  <c r="H118" i="21"/>
  <c r="G118" i="21"/>
  <c r="F118" i="21"/>
  <c r="E118" i="21"/>
  <c r="D118" i="21"/>
  <c r="C118" i="21"/>
  <c r="P117" i="21"/>
  <c r="O117" i="21"/>
  <c r="N117" i="21"/>
  <c r="M117" i="21"/>
  <c r="L117" i="21"/>
  <c r="K117" i="21"/>
  <c r="J117" i="21"/>
  <c r="I117" i="21"/>
  <c r="H117" i="21"/>
  <c r="G117" i="21"/>
  <c r="F117" i="21"/>
  <c r="E117" i="21"/>
  <c r="D117" i="21"/>
  <c r="C117" i="21"/>
  <c r="O116" i="21"/>
  <c r="N116" i="21"/>
  <c r="M116" i="21"/>
  <c r="L116" i="21"/>
  <c r="K116" i="21"/>
  <c r="J116" i="21"/>
  <c r="I116" i="21"/>
  <c r="G116" i="21"/>
  <c r="F116" i="21"/>
  <c r="E116" i="21"/>
  <c r="D116" i="21"/>
  <c r="C116" i="21"/>
  <c r="P115" i="21"/>
  <c r="O115" i="21"/>
  <c r="N115" i="21"/>
  <c r="M115" i="21"/>
  <c r="L115" i="21"/>
  <c r="K115" i="21"/>
  <c r="J115" i="21"/>
  <c r="I115" i="21"/>
  <c r="H115" i="21"/>
  <c r="G115" i="21"/>
  <c r="F115" i="21"/>
  <c r="E115" i="21"/>
  <c r="D115" i="21"/>
  <c r="C115" i="21"/>
  <c r="P114" i="21"/>
  <c r="O114" i="21"/>
  <c r="N114" i="21"/>
  <c r="M114" i="21"/>
  <c r="L114" i="21"/>
  <c r="K114" i="21"/>
  <c r="J114" i="21"/>
  <c r="I114" i="21"/>
  <c r="H114" i="21"/>
  <c r="G114" i="21"/>
  <c r="F114" i="21"/>
  <c r="E114" i="21"/>
  <c r="D114" i="21"/>
  <c r="C114" i="21"/>
  <c r="O113" i="21"/>
  <c r="M113" i="21"/>
  <c r="L113" i="21"/>
  <c r="K113" i="21"/>
  <c r="J113" i="21"/>
  <c r="I113" i="21"/>
  <c r="H113" i="21"/>
  <c r="G113" i="21"/>
  <c r="E113" i="21"/>
  <c r="D113" i="21"/>
  <c r="C113" i="21"/>
  <c r="P112" i="21"/>
  <c r="O112" i="21"/>
  <c r="N112" i="21"/>
  <c r="L112" i="21"/>
  <c r="K112" i="21"/>
  <c r="J112" i="21"/>
  <c r="I112" i="21"/>
  <c r="H112" i="21"/>
  <c r="G112" i="21"/>
  <c r="F112" i="21"/>
  <c r="E112" i="21"/>
  <c r="D112" i="21"/>
  <c r="C112" i="21"/>
  <c r="P111" i="21"/>
  <c r="O111" i="21"/>
  <c r="N111" i="21"/>
  <c r="M111" i="21"/>
  <c r="L111" i="21"/>
  <c r="K111" i="21"/>
  <c r="J111" i="21"/>
  <c r="I111" i="21"/>
  <c r="H111" i="21"/>
  <c r="G111" i="21"/>
  <c r="F111" i="21"/>
  <c r="E111" i="21"/>
  <c r="D111" i="21"/>
  <c r="C111" i="21"/>
  <c r="P110" i="21"/>
  <c r="O110" i="21"/>
  <c r="N110" i="21"/>
  <c r="M110" i="21"/>
  <c r="L110" i="21"/>
  <c r="K110" i="21"/>
  <c r="J110" i="21"/>
  <c r="I110" i="21"/>
  <c r="H110" i="21"/>
  <c r="G110" i="21"/>
  <c r="F110" i="21"/>
  <c r="E110" i="21"/>
  <c r="D110" i="21"/>
  <c r="C110" i="21"/>
  <c r="P109" i="21"/>
  <c r="O109" i="21"/>
  <c r="N109" i="21"/>
  <c r="M109" i="21"/>
  <c r="L109" i="21"/>
  <c r="K109" i="21"/>
  <c r="J109" i="21"/>
  <c r="I109" i="21"/>
  <c r="H109" i="21"/>
  <c r="G109" i="21"/>
  <c r="F109" i="21"/>
  <c r="E109" i="21"/>
  <c r="D109" i="21"/>
  <c r="C109" i="21"/>
  <c r="P108" i="21"/>
  <c r="O108" i="21"/>
  <c r="N108" i="21"/>
  <c r="M108" i="21"/>
  <c r="L108" i="21"/>
  <c r="K108" i="21"/>
  <c r="J108" i="21"/>
  <c r="I108" i="21"/>
  <c r="H108" i="21"/>
  <c r="G108" i="21"/>
  <c r="F108" i="21"/>
  <c r="E108" i="21"/>
  <c r="D108" i="21"/>
  <c r="C108" i="21"/>
  <c r="P107" i="21"/>
  <c r="O107" i="21"/>
  <c r="N107" i="21"/>
  <c r="M107" i="21"/>
  <c r="L107" i="21"/>
  <c r="K107" i="21"/>
  <c r="J107" i="21"/>
  <c r="I107" i="21"/>
  <c r="H107" i="21"/>
  <c r="G107" i="21"/>
  <c r="F107" i="21"/>
  <c r="E107" i="21"/>
  <c r="D107" i="21"/>
  <c r="C107" i="21"/>
  <c r="P106" i="21"/>
  <c r="O106" i="21"/>
  <c r="N106" i="21"/>
  <c r="M106" i="21"/>
  <c r="L106" i="21"/>
  <c r="K106" i="21"/>
  <c r="J106" i="21"/>
  <c r="I106" i="21"/>
  <c r="H106" i="21"/>
  <c r="G106" i="21"/>
  <c r="F106" i="21"/>
  <c r="E106" i="21"/>
  <c r="D106" i="21"/>
  <c r="C106" i="21"/>
  <c r="P105" i="21"/>
  <c r="O105" i="21"/>
  <c r="N105" i="21"/>
  <c r="M105" i="21"/>
  <c r="L105" i="21"/>
  <c r="K105" i="21"/>
  <c r="J105" i="21"/>
  <c r="I105" i="21"/>
  <c r="H105" i="21"/>
  <c r="G105" i="21"/>
  <c r="F105" i="21"/>
  <c r="E105" i="21"/>
  <c r="D105" i="21"/>
  <c r="C105" i="21"/>
  <c r="P104" i="21"/>
  <c r="O104" i="21"/>
  <c r="N104" i="21"/>
  <c r="M104" i="21"/>
  <c r="L104" i="21"/>
  <c r="K104" i="21"/>
  <c r="J104" i="21"/>
  <c r="I104" i="21"/>
  <c r="H104" i="21"/>
  <c r="G104" i="21"/>
  <c r="F104" i="21"/>
  <c r="E104" i="21"/>
  <c r="D104" i="21"/>
  <c r="C104" i="21"/>
  <c r="P103" i="21"/>
  <c r="O103" i="21"/>
  <c r="N103" i="21"/>
  <c r="M103" i="21"/>
  <c r="L103" i="21"/>
  <c r="K103" i="21"/>
  <c r="J103" i="21"/>
  <c r="I103" i="21"/>
  <c r="H103" i="21"/>
  <c r="G103" i="21"/>
  <c r="F103" i="21"/>
  <c r="E103" i="21"/>
  <c r="D103" i="21"/>
  <c r="C103" i="21"/>
  <c r="P102" i="21"/>
  <c r="O102" i="21"/>
  <c r="N102" i="21"/>
  <c r="M102" i="21"/>
  <c r="L102" i="21"/>
  <c r="K102" i="21"/>
  <c r="J102" i="21"/>
  <c r="I102" i="21"/>
  <c r="H102" i="21"/>
  <c r="G102" i="21"/>
  <c r="F102" i="21"/>
  <c r="E102" i="21"/>
  <c r="D102" i="21"/>
  <c r="C102" i="21"/>
  <c r="P101" i="21"/>
  <c r="O101" i="21"/>
  <c r="N101" i="21"/>
  <c r="M101" i="21"/>
  <c r="L101" i="21"/>
  <c r="K101" i="21"/>
  <c r="J101" i="21"/>
  <c r="I101" i="21"/>
  <c r="H101" i="21"/>
  <c r="G101" i="21"/>
  <c r="F101" i="21"/>
  <c r="E101" i="21"/>
  <c r="D101" i="21"/>
  <c r="C101" i="21"/>
  <c r="P100" i="21"/>
  <c r="O100" i="21"/>
  <c r="N100" i="21"/>
  <c r="M100" i="21"/>
  <c r="L100" i="21"/>
  <c r="K100" i="21"/>
  <c r="J100" i="21"/>
  <c r="I100" i="21"/>
  <c r="H100" i="21"/>
  <c r="G100" i="21"/>
  <c r="F100" i="21"/>
  <c r="E100" i="21"/>
  <c r="D100" i="21"/>
  <c r="C100" i="21"/>
  <c r="P99" i="21"/>
  <c r="O99" i="21"/>
  <c r="N99" i="21"/>
  <c r="M99" i="21"/>
  <c r="L99" i="21"/>
  <c r="K99" i="21"/>
  <c r="J99" i="21"/>
  <c r="I99" i="21"/>
  <c r="H99" i="21"/>
  <c r="G99" i="21"/>
  <c r="F99" i="21"/>
  <c r="E99" i="21"/>
  <c r="D99" i="21"/>
  <c r="C99" i="21"/>
  <c r="P98" i="21"/>
  <c r="O98" i="21"/>
  <c r="N98" i="21"/>
  <c r="M98" i="21"/>
  <c r="L98" i="21"/>
  <c r="K98" i="21"/>
  <c r="J98" i="21"/>
  <c r="I98" i="21"/>
  <c r="H98" i="21"/>
  <c r="G98" i="21"/>
  <c r="F98" i="21"/>
  <c r="E98" i="21"/>
  <c r="D98" i="21"/>
  <c r="C98" i="21"/>
  <c r="P97" i="21"/>
  <c r="O97" i="21"/>
  <c r="N97" i="21"/>
  <c r="M97" i="21"/>
  <c r="L97" i="21"/>
  <c r="K97" i="21"/>
  <c r="I97" i="21"/>
  <c r="H97" i="21"/>
  <c r="G97" i="21"/>
  <c r="F97" i="21"/>
  <c r="E97" i="21"/>
  <c r="D97" i="21"/>
  <c r="C97" i="21"/>
  <c r="P96" i="21"/>
  <c r="O96" i="21"/>
  <c r="N96" i="21"/>
  <c r="M96" i="21"/>
  <c r="L96" i="21"/>
  <c r="K96" i="21"/>
  <c r="J96" i="21"/>
  <c r="I96" i="21"/>
  <c r="H96" i="21"/>
  <c r="G96" i="21"/>
  <c r="F96" i="21"/>
  <c r="E96" i="21"/>
  <c r="D96" i="21"/>
  <c r="C96" i="21"/>
  <c r="P95" i="21"/>
  <c r="O95" i="21"/>
  <c r="N95" i="21"/>
  <c r="M95" i="21"/>
  <c r="L95" i="21"/>
  <c r="K95" i="21"/>
  <c r="J95" i="21"/>
  <c r="I95" i="21"/>
  <c r="H95" i="21"/>
  <c r="G95" i="21"/>
  <c r="F95" i="21"/>
  <c r="E95" i="21"/>
  <c r="D95" i="21"/>
  <c r="C95" i="21"/>
  <c r="P94" i="21"/>
  <c r="O94" i="21"/>
  <c r="N94" i="21"/>
  <c r="M94" i="21"/>
  <c r="L94" i="21"/>
  <c r="K94" i="21"/>
  <c r="J94" i="21"/>
  <c r="I94" i="21"/>
  <c r="H94" i="21"/>
  <c r="G94" i="21"/>
  <c r="F94" i="21"/>
  <c r="E94" i="21"/>
  <c r="D94" i="21"/>
  <c r="C94" i="21"/>
  <c r="P93" i="21"/>
  <c r="O93" i="21"/>
  <c r="N93" i="21"/>
  <c r="M93" i="21"/>
  <c r="L93" i="21"/>
  <c r="K93" i="21"/>
  <c r="J93" i="21"/>
  <c r="I93" i="21"/>
  <c r="H93" i="21"/>
  <c r="G93" i="21"/>
  <c r="F93" i="21"/>
  <c r="E93" i="21"/>
  <c r="D93" i="21"/>
  <c r="C93" i="21"/>
  <c r="P92" i="21"/>
  <c r="O92" i="21"/>
  <c r="N92" i="21"/>
  <c r="M92" i="21"/>
  <c r="L92" i="21"/>
  <c r="K92" i="21"/>
  <c r="J92" i="21"/>
  <c r="I92" i="21"/>
  <c r="H92" i="21"/>
  <c r="G92" i="21"/>
  <c r="F92" i="21"/>
  <c r="E92" i="21"/>
  <c r="D92" i="21"/>
  <c r="C92" i="21"/>
  <c r="P91" i="21"/>
  <c r="O91" i="21"/>
  <c r="N91" i="21"/>
  <c r="M91" i="21"/>
  <c r="L91" i="21"/>
  <c r="K91" i="21"/>
  <c r="J91" i="21"/>
  <c r="I91" i="21"/>
  <c r="H91" i="21"/>
  <c r="G91" i="21"/>
  <c r="F91" i="21"/>
  <c r="E91" i="21"/>
  <c r="D91" i="21"/>
  <c r="C91" i="21"/>
  <c r="P90" i="21"/>
  <c r="O90" i="21"/>
  <c r="N90" i="21"/>
  <c r="M90" i="21"/>
  <c r="L90" i="21"/>
  <c r="K90" i="21"/>
  <c r="J90" i="21"/>
  <c r="I90" i="21"/>
  <c r="H90" i="21"/>
  <c r="G90" i="21"/>
  <c r="F90" i="21"/>
  <c r="E90" i="21"/>
  <c r="D90" i="21"/>
  <c r="C90" i="21"/>
  <c r="P89" i="21"/>
  <c r="O89" i="21"/>
  <c r="N89" i="21"/>
  <c r="M89" i="21"/>
  <c r="L89" i="21"/>
  <c r="K89" i="21"/>
  <c r="J89" i="21"/>
  <c r="I89" i="21"/>
  <c r="H89" i="21"/>
  <c r="G89" i="21"/>
  <c r="F89" i="21"/>
  <c r="E89" i="21"/>
  <c r="D89" i="21"/>
  <c r="C89" i="21"/>
  <c r="P88" i="21"/>
  <c r="O88" i="21"/>
  <c r="N88" i="21"/>
  <c r="M88" i="21"/>
  <c r="L88" i="21"/>
  <c r="K88" i="21"/>
  <c r="J88" i="21"/>
  <c r="I88" i="21"/>
  <c r="H88" i="21"/>
  <c r="G88" i="21"/>
  <c r="F88" i="21"/>
  <c r="E88" i="21"/>
  <c r="D88" i="21"/>
  <c r="C88" i="21"/>
  <c r="P87" i="21"/>
  <c r="O87" i="21"/>
  <c r="N87" i="21"/>
  <c r="M87" i="21"/>
  <c r="L87" i="21"/>
  <c r="K87" i="21"/>
  <c r="J87" i="21"/>
  <c r="I87" i="21"/>
  <c r="H87" i="21"/>
  <c r="G87" i="21"/>
  <c r="F87" i="21"/>
  <c r="E87" i="21"/>
  <c r="D87" i="21"/>
  <c r="C87" i="21"/>
  <c r="P86" i="21"/>
  <c r="O86" i="21"/>
  <c r="N86" i="21"/>
  <c r="M86" i="21"/>
  <c r="L86" i="21"/>
  <c r="K86" i="21"/>
  <c r="J86" i="21"/>
  <c r="I86" i="21"/>
  <c r="H86" i="21"/>
  <c r="G86" i="21"/>
  <c r="F86" i="21"/>
  <c r="E86" i="21"/>
  <c r="D86" i="21"/>
  <c r="C86" i="21"/>
  <c r="P85" i="21"/>
  <c r="O85" i="21"/>
  <c r="N85" i="21"/>
  <c r="M85" i="21"/>
  <c r="L85" i="21"/>
  <c r="K85" i="21"/>
  <c r="J85" i="21"/>
  <c r="I85" i="21"/>
  <c r="H85" i="21"/>
  <c r="G85" i="21"/>
  <c r="F85" i="21"/>
  <c r="E85" i="21"/>
  <c r="D85" i="21"/>
  <c r="C85" i="21"/>
  <c r="P84" i="21"/>
  <c r="O84" i="21"/>
  <c r="N84" i="21"/>
  <c r="M84" i="21"/>
  <c r="L84" i="21"/>
  <c r="K84" i="21"/>
  <c r="J84" i="21"/>
  <c r="I84" i="21"/>
  <c r="H84" i="21"/>
  <c r="G84" i="21"/>
  <c r="F84" i="21"/>
  <c r="E84" i="21"/>
  <c r="D84" i="21"/>
  <c r="C84" i="21"/>
  <c r="P83" i="21"/>
  <c r="O83" i="21"/>
  <c r="N83" i="21"/>
  <c r="M83" i="21"/>
  <c r="L83" i="21"/>
  <c r="K83" i="21"/>
  <c r="J83" i="21"/>
  <c r="I83" i="21"/>
  <c r="H83" i="21"/>
  <c r="G83" i="21"/>
  <c r="F83" i="21"/>
  <c r="E83" i="21"/>
  <c r="D83" i="21"/>
  <c r="C83" i="21"/>
  <c r="P82" i="21"/>
  <c r="O82" i="21"/>
  <c r="N82" i="21"/>
  <c r="M82" i="21"/>
  <c r="L82" i="21"/>
  <c r="K82" i="21"/>
  <c r="J82" i="21"/>
  <c r="I82" i="21"/>
  <c r="H82" i="21"/>
  <c r="G82" i="21"/>
  <c r="F82" i="21"/>
  <c r="E82" i="21"/>
  <c r="D82" i="21"/>
  <c r="C82" i="21"/>
  <c r="P81" i="21"/>
  <c r="O81" i="21"/>
  <c r="N81" i="21"/>
  <c r="M81" i="21"/>
  <c r="L81" i="21"/>
  <c r="K81" i="21"/>
  <c r="J81" i="21"/>
  <c r="I81" i="21"/>
  <c r="H81" i="21"/>
  <c r="G81" i="21"/>
  <c r="F81" i="21"/>
  <c r="E81" i="21"/>
  <c r="D81" i="21"/>
  <c r="C81" i="21"/>
  <c r="P80" i="21"/>
  <c r="O80" i="21"/>
  <c r="N80" i="21"/>
  <c r="M80" i="21"/>
  <c r="L80" i="21"/>
  <c r="K80" i="21"/>
  <c r="J80" i="21"/>
  <c r="I80" i="21"/>
  <c r="H80" i="21"/>
  <c r="G80" i="21"/>
  <c r="F80" i="21"/>
  <c r="E80" i="21"/>
  <c r="D80" i="21"/>
  <c r="C80" i="21"/>
  <c r="P79" i="21"/>
  <c r="O79" i="21"/>
  <c r="N79" i="21"/>
  <c r="M79" i="21"/>
  <c r="L79" i="21"/>
  <c r="K79" i="21"/>
  <c r="J79" i="21"/>
  <c r="I79" i="21"/>
  <c r="H79" i="21"/>
  <c r="G79" i="21"/>
  <c r="F79" i="21"/>
  <c r="E79" i="21"/>
  <c r="D79" i="21"/>
  <c r="C79" i="21"/>
  <c r="P78" i="21"/>
  <c r="O78" i="21"/>
  <c r="N78" i="21"/>
  <c r="M78" i="21"/>
  <c r="L78" i="21"/>
  <c r="K78" i="21"/>
  <c r="J78" i="21"/>
  <c r="I78" i="21"/>
  <c r="H78" i="21"/>
  <c r="G78" i="21"/>
  <c r="F78" i="21"/>
  <c r="E78" i="21"/>
  <c r="D78" i="21"/>
  <c r="C78" i="21"/>
  <c r="P77" i="21"/>
  <c r="O77" i="21"/>
  <c r="N77" i="21"/>
  <c r="M77" i="21"/>
  <c r="L77" i="21"/>
  <c r="K77" i="21"/>
  <c r="J77" i="21"/>
  <c r="I77" i="21"/>
  <c r="H77" i="21"/>
  <c r="G77" i="21"/>
  <c r="F77" i="21"/>
  <c r="E77" i="21"/>
  <c r="D77" i="21"/>
  <c r="C77" i="21"/>
  <c r="P76" i="21"/>
  <c r="O76" i="21"/>
  <c r="N76" i="21"/>
  <c r="M76" i="21"/>
  <c r="L76" i="21"/>
  <c r="K76" i="21"/>
  <c r="J76" i="21"/>
  <c r="I76" i="21"/>
  <c r="H76" i="21"/>
  <c r="G76" i="21"/>
  <c r="F76" i="21"/>
  <c r="E76" i="21"/>
  <c r="D76" i="21"/>
  <c r="C76" i="21"/>
  <c r="P75" i="21"/>
  <c r="O75" i="21"/>
  <c r="N75" i="21"/>
  <c r="M75" i="21"/>
  <c r="L75" i="21"/>
  <c r="K75" i="21"/>
  <c r="J75" i="21"/>
  <c r="I75" i="21"/>
  <c r="H75" i="21"/>
  <c r="G75" i="21"/>
  <c r="F75" i="21"/>
  <c r="E75" i="21"/>
  <c r="D75" i="21"/>
  <c r="C75" i="21"/>
  <c r="P74" i="21"/>
  <c r="O74" i="21"/>
  <c r="N74" i="21"/>
  <c r="M74" i="21"/>
  <c r="L74" i="21"/>
  <c r="K74" i="21"/>
  <c r="J74" i="21"/>
  <c r="I74" i="21"/>
  <c r="H74" i="21"/>
  <c r="G74" i="21"/>
  <c r="F74" i="21"/>
  <c r="E74" i="21"/>
  <c r="D74" i="21"/>
  <c r="C74" i="21"/>
  <c r="P73" i="21"/>
  <c r="O73" i="21"/>
  <c r="N73" i="21"/>
  <c r="M73" i="21"/>
  <c r="K73" i="21"/>
  <c r="I73" i="21"/>
  <c r="H73" i="21"/>
  <c r="G73" i="21"/>
  <c r="F73" i="21"/>
  <c r="E73" i="21"/>
  <c r="D73" i="21"/>
  <c r="C73" i="21"/>
  <c r="P72" i="21"/>
  <c r="O72" i="21"/>
  <c r="N72" i="21"/>
  <c r="M72" i="21"/>
  <c r="L72" i="21"/>
  <c r="K72" i="21"/>
  <c r="J72" i="21"/>
  <c r="I72" i="21"/>
  <c r="H72" i="21"/>
  <c r="G72" i="21"/>
  <c r="F72" i="21"/>
  <c r="E72" i="21"/>
  <c r="D72" i="21"/>
  <c r="C72" i="21"/>
  <c r="P71" i="21"/>
  <c r="O71" i="21"/>
  <c r="N71" i="21"/>
  <c r="M71" i="21"/>
  <c r="L71" i="21"/>
  <c r="K71" i="21"/>
  <c r="J71" i="21"/>
  <c r="I71" i="21"/>
  <c r="H71" i="21"/>
  <c r="G71" i="21"/>
  <c r="F71" i="21"/>
  <c r="E71" i="21"/>
  <c r="D71" i="21"/>
  <c r="C71" i="21"/>
  <c r="P70" i="21"/>
  <c r="O70" i="21"/>
  <c r="N70" i="21"/>
  <c r="M70" i="21"/>
  <c r="L70" i="21"/>
  <c r="K70" i="21"/>
  <c r="J70" i="21"/>
  <c r="I70" i="21"/>
  <c r="H70" i="21"/>
  <c r="G70" i="21"/>
  <c r="F70" i="21"/>
  <c r="E70" i="21"/>
  <c r="D70" i="21"/>
  <c r="C70" i="21"/>
  <c r="P69" i="21"/>
  <c r="O69" i="21"/>
  <c r="N69" i="21"/>
  <c r="M69" i="21"/>
  <c r="L69" i="21"/>
  <c r="K69" i="21"/>
  <c r="J69" i="21"/>
  <c r="I69" i="21"/>
  <c r="H69" i="21"/>
  <c r="G69" i="21"/>
  <c r="F69" i="21"/>
  <c r="E69" i="21"/>
  <c r="D69" i="21"/>
  <c r="C69" i="21"/>
  <c r="P68" i="21"/>
  <c r="O68" i="21"/>
  <c r="N68" i="21"/>
  <c r="M68" i="21"/>
  <c r="L68" i="21"/>
  <c r="K68" i="21"/>
  <c r="J68" i="21"/>
  <c r="I68" i="21"/>
  <c r="H68" i="21"/>
  <c r="G68" i="21"/>
  <c r="F68" i="21"/>
  <c r="E68" i="21"/>
  <c r="D68" i="21"/>
  <c r="C68" i="21"/>
  <c r="P67" i="21"/>
  <c r="O67" i="21"/>
  <c r="N67" i="21"/>
  <c r="M67" i="21"/>
  <c r="L67" i="21"/>
  <c r="K67" i="21"/>
  <c r="J67" i="21"/>
  <c r="I67" i="21"/>
  <c r="H67" i="21"/>
  <c r="G67" i="21"/>
  <c r="F67" i="21"/>
  <c r="E67" i="21"/>
  <c r="D67" i="21"/>
  <c r="C67" i="21"/>
  <c r="P66" i="21"/>
  <c r="O66" i="21"/>
  <c r="N66" i="21"/>
  <c r="M66" i="21"/>
  <c r="L66" i="21"/>
  <c r="K66" i="21"/>
  <c r="J66" i="21"/>
  <c r="I66" i="21"/>
  <c r="H66" i="21"/>
  <c r="G66" i="21"/>
  <c r="F66" i="21"/>
  <c r="E66" i="21"/>
  <c r="D66" i="21"/>
  <c r="C66" i="21"/>
  <c r="P65" i="21"/>
  <c r="O65" i="21"/>
  <c r="N65" i="21"/>
  <c r="M65" i="21"/>
  <c r="L65" i="21"/>
  <c r="K65" i="21"/>
  <c r="J65" i="21"/>
  <c r="I65" i="21"/>
  <c r="H65" i="21"/>
  <c r="G65" i="21"/>
  <c r="F65" i="21"/>
  <c r="E65" i="21"/>
  <c r="D65" i="21"/>
  <c r="C65" i="21"/>
  <c r="P64" i="21"/>
  <c r="O64" i="21"/>
  <c r="N64" i="21"/>
  <c r="M64" i="21"/>
  <c r="L64" i="21"/>
  <c r="K64" i="21"/>
  <c r="J64" i="21"/>
  <c r="I64" i="21"/>
  <c r="H64" i="21"/>
  <c r="G64" i="21"/>
  <c r="F64" i="21"/>
  <c r="E64" i="21"/>
  <c r="D64" i="21"/>
  <c r="C64" i="21"/>
  <c r="P63" i="21"/>
  <c r="O63" i="21"/>
  <c r="N63" i="21"/>
  <c r="M63" i="21"/>
  <c r="L63" i="21"/>
  <c r="K63" i="21"/>
  <c r="J63" i="21"/>
  <c r="I63" i="21"/>
  <c r="H63" i="21"/>
  <c r="G63" i="21"/>
  <c r="F63" i="21"/>
  <c r="E63" i="21"/>
  <c r="D63" i="21"/>
  <c r="C63" i="21"/>
  <c r="P62" i="21"/>
  <c r="O62" i="21"/>
  <c r="N62" i="21"/>
  <c r="M62" i="21"/>
  <c r="L62" i="21"/>
  <c r="K62" i="21"/>
  <c r="J62" i="21"/>
  <c r="I62" i="21"/>
  <c r="H62" i="21"/>
  <c r="G62" i="21"/>
  <c r="F62" i="21"/>
  <c r="E62" i="21"/>
  <c r="D62" i="21"/>
  <c r="C62" i="21"/>
  <c r="P61" i="21"/>
  <c r="O61" i="21"/>
  <c r="N61" i="21"/>
  <c r="M61" i="21"/>
  <c r="L61" i="21"/>
  <c r="K61" i="21"/>
  <c r="J61" i="21"/>
  <c r="I61" i="21"/>
  <c r="H61" i="21"/>
  <c r="G61" i="21"/>
  <c r="F61" i="21"/>
  <c r="E61" i="21"/>
  <c r="D61" i="21"/>
  <c r="C61" i="21"/>
  <c r="P60" i="21"/>
  <c r="O60" i="21"/>
  <c r="N60" i="21"/>
  <c r="M60" i="21"/>
  <c r="L60" i="21"/>
  <c r="K60" i="21"/>
  <c r="J60" i="21"/>
  <c r="I60" i="21"/>
  <c r="H60" i="21"/>
  <c r="G60" i="21"/>
  <c r="F60" i="21"/>
  <c r="E60" i="21"/>
  <c r="D60" i="21"/>
  <c r="C60" i="21"/>
  <c r="P59" i="21"/>
  <c r="O59" i="21"/>
  <c r="N59" i="21"/>
  <c r="M59" i="21"/>
  <c r="L59" i="21"/>
  <c r="K59" i="21"/>
  <c r="J59" i="21"/>
  <c r="I59" i="21"/>
  <c r="H59" i="21"/>
  <c r="G59" i="21"/>
  <c r="F59" i="21"/>
  <c r="E59" i="21"/>
  <c r="D59" i="21"/>
  <c r="C59" i="21"/>
  <c r="P58" i="21"/>
  <c r="O58" i="21"/>
  <c r="N58" i="21"/>
  <c r="M58" i="21"/>
  <c r="L58" i="21"/>
  <c r="K58" i="21"/>
  <c r="J58" i="21"/>
  <c r="I58" i="21"/>
  <c r="H58" i="21"/>
  <c r="G58" i="21"/>
  <c r="F58" i="21"/>
  <c r="E58" i="21"/>
  <c r="D58" i="21"/>
  <c r="C58" i="21"/>
  <c r="P57" i="21"/>
  <c r="O57" i="21"/>
  <c r="N57" i="21"/>
  <c r="M57" i="21"/>
  <c r="L57" i="21"/>
  <c r="K57" i="21"/>
  <c r="J57" i="21"/>
  <c r="I57" i="21"/>
  <c r="H57" i="21"/>
  <c r="G57" i="21"/>
  <c r="F57" i="21"/>
  <c r="E57" i="21"/>
  <c r="D57" i="21"/>
  <c r="C57" i="21"/>
  <c r="P56" i="21"/>
  <c r="O56" i="21"/>
  <c r="N56" i="21"/>
  <c r="M56" i="21"/>
  <c r="L56" i="21"/>
  <c r="K56" i="21"/>
  <c r="J56" i="21"/>
  <c r="I56" i="21"/>
  <c r="H56" i="21"/>
  <c r="G56" i="21"/>
  <c r="F56" i="21"/>
  <c r="E56" i="21"/>
  <c r="D56" i="21"/>
  <c r="C56" i="21"/>
  <c r="P55" i="21"/>
  <c r="O55" i="21"/>
  <c r="N55" i="21"/>
  <c r="M55" i="21"/>
  <c r="L55" i="21"/>
  <c r="K55" i="21"/>
  <c r="J55" i="21"/>
  <c r="I55" i="21"/>
  <c r="H55" i="21"/>
  <c r="G55" i="21"/>
  <c r="F55" i="21"/>
  <c r="E55" i="21"/>
  <c r="D55" i="21"/>
  <c r="C55" i="21"/>
  <c r="P54" i="21"/>
  <c r="O54" i="21"/>
  <c r="N54" i="21"/>
  <c r="M54" i="21"/>
  <c r="L54" i="21"/>
  <c r="K54" i="21"/>
  <c r="J54" i="21"/>
  <c r="I54" i="21"/>
  <c r="H54" i="21"/>
  <c r="G54" i="21"/>
  <c r="F54" i="21"/>
  <c r="E54" i="21"/>
  <c r="D54" i="21"/>
  <c r="C54" i="21"/>
  <c r="P53" i="21"/>
  <c r="O53" i="21"/>
  <c r="N53" i="21"/>
  <c r="M53" i="21"/>
  <c r="L53" i="21"/>
  <c r="K53" i="21"/>
  <c r="J53" i="21"/>
  <c r="I53" i="21"/>
  <c r="H53" i="21"/>
  <c r="G53" i="21"/>
  <c r="F53" i="21"/>
  <c r="E53" i="21"/>
  <c r="D53" i="21"/>
  <c r="C53" i="21"/>
  <c r="P52" i="21"/>
  <c r="O52" i="21"/>
  <c r="N52" i="21"/>
  <c r="M52" i="21"/>
  <c r="L52" i="21"/>
  <c r="K52" i="21"/>
  <c r="J52" i="21"/>
  <c r="I52" i="21"/>
  <c r="H52" i="21"/>
  <c r="G52" i="21"/>
  <c r="F52" i="21"/>
  <c r="E52" i="21"/>
  <c r="D52" i="21"/>
  <c r="C52" i="21"/>
  <c r="P51" i="21"/>
  <c r="O51" i="21"/>
  <c r="N51" i="21"/>
  <c r="M51" i="21"/>
  <c r="L51" i="21"/>
  <c r="K51" i="21"/>
  <c r="J51" i="21"/>
  <c r="I51" i="21"/>
  <c r="H51" i="21"/>
  <c r="G51" i="21"/>
  <c r="F51" i="21"/>
  <c r="E51" i="21"/>
  <c r="D51" i="21"/>
  <c r="C51" i="21"/>
  <c r="P50" i="21"/>
  <c r="O50" i="21"/>
  <c r="N50" i="21"/>
  <c r="M50" i="21"/>
  <c r="L50" i="21"/>
  <c r="K50" i="21"/>
  <c r="J50" i="21"/>
  <c r="I50" i="21"/>
  <c r="H50" i="21"/>
  <c r="G50" i="21"/>
  <c r="F50" i="21"/>
  <c r="E50" i="21"/>
  <c r="D50" i="21"/>
  <c r="C50" i="21"/>
  <c r="P49" i="21"/>
  <c r="O49" i="21"/>
  <c r="N49" i="21"/>
  <c r="M49" i="21"/>
  <c r="L49" i="21"/>
  <c r="K49" i="21"/>
  <c r="J49" i="21"/>
  <c r="I49" i="21"/>
  <c r="H49" i="21"/>
  <c r="G49" i="21"/>
  <c r="F49" i="21"/>
  <c r="E49" i="21"/>
  <c r="D49" i="21"/>
  <c r="C49" i="21"/>
  <c r="P48" i="21"/>
  <c r="O48" i="21"/>
  <c r="N48" i="21"/>
  <c r="M48" i="21"/>
  <c r="L48" i="21"/>
  <c r="K48" i="21"/>
  <c r="J48" i="21"/>
  <c r="I48" i="21"/>
  <c r="H48" i="21"/>
  <c r="G48" i="21"/>
  <c r="F48" i="21"/>
  <c r="E48" i="21"/>
  <c r="D48" i="21"/>
  <c r="C48" i="21"/>
  <c r="P47" i="21"/>
  <c r="O47" i="21"/>
  <c r="N47" i="21"/>
  <c r="M47" i="21"/>
  <c r="L47" i="21"/>
  <c r="K47" i="21"/>
  <c r="J47" i="21"/>
  <c r="I47" i="21"/>
  <c r="H47" i="21"/>
  <c r="G47" i="21"/>
  <c r="F47" i="21"/>
  <c r="E47" i="21"/>
  <c r="D47" i="21"/>
  <c r="C47" i="21"/>
  <c r="P46" i="21"/>
  <c r="O46" i="21"/>
  <c r="N46" i="21"/>
  <c r="M46" i="21"/>
  <c r="L46" i="21"/>
  <c r="K46" i="21"/>
  <c r="J46" i="21"/>
  <c r="I46" i="21"/>
  <c r="H46" i="21"/>
  <c r="G46" i="21"/>
  <c r="F46" i="21"/>
  <c r="E46" i="21"/>
  <c r="D46" i="21"/>
  <c r="C46" i="21"/>
  <c r="P45" i="21"/>
  <c r="O45" i="21"/>
  <c r="N45" i="21"/>
  <c r="M45" i="21"/>
  <c r="L45" i="21"/>
  <c r="K45" i="21"/>
  <c r="J45" i="21"/>
  <c r="I45" i="21"/>
  <c r="H45" i="21"/>
  <c r="G45" i="21"/>
  <c r="F45" i="21"/>
  <c r="E45" i="21"/>
  <c r="D45" i="21"/>
  <c r="C45" i="21"/>
  <c r="P44" i="21"/>
  <c r="O44" i="21"/>
  <c r="N44" i="21"/>
  <c r="M44" i="21"/>
  <c r="L44" i="21"/>
  <c r="K44" i="21"/>
  <c r="J44" i="21"/>
  <c r="I44" i="21"/>
  <c r="H44" i="21"/>
  <c r="G44" i="21"/>
  <c r="F44" i="21"/>
  <c r="E44" i="21"/>
  <c r="D44" i="21"/>
  <c r="C44" i="21"/>
  <c r="P43" i="21"/>
  <c r="O43" i="21"/>
  <c r="N43" i="21"/>
  <c r="M43" i="21"/>
  <c r="L43" i="21"/>
  <c r="K43" i="21"/>
  <c r="J43" i="21"/>
  <c r="I43" i="21"/>
  <c r="H43" i="21"/>
  <c r="G43" i="21"/>
  <c r="F43" i="21"/>
  <c r="E43" i="21"/>
  <c r="D43" i="21"/>
  <c r="C43" i="21"/>
  <c r="P42" i="21"/>
  <c r="O42" i="21"/>
  <c r="N42" i="21"/>
  <c r="M42" i="21"/>
  <c r="L42" i="21"/>
  <c r="K42" i="21"/>
  <c r="J42" i="21"/>
  <c r="I42" i="21"/>
  <c r="H42" i="21"/>
  <c r="G42" i="21"/>
  <c r="F42" i="21"/>
  <c r="E42" i="21"/>
  <c r="D42" i="21"/>
  <c r="C42" i="21"/>
  <c r="P41" i="21"/>
  <c r="O41" i="21"/>
  <c r="N41" i="21"/>
  <c r="M41" i="21"/>
  <c r="L41" i="21"/>
  <c r="K41" i="21"/>
  <c r="J41" i="21"/>
  <c r="I41" i="21"/>
  <c r="H41" i="21"/>
  <c r="G41" i="21"/>
  <c r="F41" i="21"/>
  <c r="E41" i="21"/>
  <c r="D41" i="21"/>
  <c r="C41" i="21"/>
  <c r="P40" i="21"/>
  <c r="O40" i="21"/>
  <c r="N40" i="21"/>
  <c r="M40" i="21"/>
  <c r="L40" i="21"/>
  <c r="K40" i="21"/>
  <c r="J40" i="21"/>
  <c r="I40" i="21"/>
  <c r="H40" i="21"/>
  <c r="G40" i="21"/>
  <c r="F40" i="21"/>
  <c r="E40" i="21"/>
  <c r="D40" i="21"/>
  <c r="C40" i="21"/>
  <c r="P39" i="21"/>
  <c r="O39" i="21"/>
  <c r="N39" i="21"/>
  <c r="M39" i="21"/>
  <c r="L39" i="21"/>
  <c r="K39" i="21"/>
  <c r="J39" i="21"/>
  <c r="I39" i="21"/>
  <c r="H39" i="21"/>
  <c r="G39" i="21"/>
  <c r="F39" i="21"/>
  <c r="E39" i="21"/>
  <c r="D39" i="21"/>
  <c r="C39" i="21"/>
  <c r="P38" i="21"/>
  <c r="O38" i="21"/>
  <c r="N38" i="21"/>
  <c r="M38" i="21"/>
  <c r="L38" i="21"/>
  <c r="K38" i="21"/>
  <c r="J38" i="21"/>
  <c r="I38" i="21"/>
  <c r="H38" i="21"/>
  <c r="G38" i="21"/>
  <c r="F38" i="21"/>
  <c r="E38" i="21"/>
  <c r="D38" i="21"/>
  <c r="C38" i="21"/>
  <c r="P37" i="21"/>
  <c r="O37" i="21"/>
  <c r="N37" i="21"/>
  <c r="M37" i="21"/>
  <c r="L37" i="21"/>
  <c r="K37" i="21"/>
  <c r="J37" i="21"/>
  <c r="I37" i="21"/>
  <c r="H37" i="21"/>
  <c r="G37" i="21"/>
  <c r="F37" i="21"/>
  <c r="E37" i="21"/>
  <c r="D37" i="21"/>
  <c r="C37" i="21"/>
  <c r="P36" i="21"/>
  <c r="O36" i="21"/>
  <c r="N36" i="21"/>
  <c r="M36" i="21"/>
  <c r="L36" i="21"/>
  <c r="K36" i="21"/>
  <c r="J36" i="21"/>
  <c r="I36" i="21"/>
  <c r="H36" i="21"/>
  <c r="G36" i="21"/>
  <c r="F36" i="21"/>
  <c r="E36" i="21"/>
  <c r="D36" i="21"/>
  <c r="C36" i="21"/>
  <c r="P35" i="21"/>
  <c r="O35" i="21"/>
  <c r="N35" i="21"/>
  <c r="M35" i="21"/>
  <c r="L35" i="21"/>
  <c r="K35" i="21"/>
  <c r="J35" i="21"/>
  <c r="I35" i="21"/>
  <c r="H35" i="21"/>
  <c r="G35" i="21"/>
  <c r="F35" i="21"/>
  <c r="E35" i="21"/>
  <c r="D35" i="21"/>
  <c r="C35" i="21"/>
  <c r="P34" i="21"/>
  <c r="O34" i="21"/>
  <c r="N34" i="21"/>
  <c r="M34" i="21"/>
  <c r="L34" i="21"/>
  <c r="K34" i="21"/>
  <c r="J34" i="21"/>
  <c r="I34" i="21"/>
  <c r="H34" i="21"/>
  <c r="G34" i="21"/>
  <c r="F34" i="21"/>
  <c r="E34" i="21"/>
  <c r="D34" i="21"/>
  <c r="C34" i="21"/>
  <c r="P33" i="21"/>
  <c r="O33" i="21"/>
  <c r="N33" i="21"/>
  <c r="M33" i="21"/>
  <c r="L33" i="21"/>
  <c r="K33" i="21"/>
  <c r="J33" i="21"/>
  <c r="I33" i="21"/>
  <c r="H33" i="21"/>
  <c r="G33" i="21"/>
  <c r="F33" i="21"/>
  <c r="E33" i="21"/>
  <c r="D33" i="21"/>
  <c r="C33" i="21"/>
  <c r="P32" i="21"/>
  <c r="O32" i="21"/>
  <c r="N32" i="21"/>
  <c r="M32" i="21"/>
  <c r="L32" i="21"/>
  <c r="K32" i="21"/>
  <c r="J32" i="21"/>
  <c r="I32" i="21"/>
  <c r="H32" i="21"/>
  <c r="G32" i="21"/>
  <c r="F32" i="21"/>
  <c r="E32" i="21"/>
  <c r="D32" i="21"/>
  <c r="C32" i="21"/>
  <c r="P31" i="21"/>
  <c r="O31" i="21"/>
  <c r="N31" i="21"/>
  <c r="M31" i="21"/>
  <c r="L31" i="21"/>
  <c r="K31" i="21"/>
  <c r="J31" i="21"/>
  <c r="I31" i="21"/>
  <c r="H31" i="21"/>
  <c r="G31" i="21"/>
  <c r="F31" i="21"/>
  <c r="E31" i="21"/>
  <c r="D31" i="21"/>
  <c r="C31" i="21"/>
  <c r="P30" i="21"/>
  <c r="O30" i="21"/>
  <c r="N30" i="21"/>
  <c r="M30" i="21"/>
  <c r="L30" i="21"/>
  <c r="K30" i="21"/>
  <c r="J30" i="21"/>
  <c r="I30" i="21"/>
  <c r="H30" i="21"/>
  <c r="G30" i="21"/>
  <c r="F30" i="21"/>
  <c r="D30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C29" i="21"/>
  <c r="P28" i="21"/>
  <c r="O28" i="21"/>
  <c r="N28" i="21"/>
  <c r="M28" i="21"/>
  <c r="L28" i="21"/>
  <c r="K28" i="21"/>
  <c r="J28" i="21"/>
  <c r="I28" i="21"/>
  <c r="H28" i="21"/>
  <c r="G28" i="21"/>
  <c r="F28" i="21"/>
  <c r="E28" i="21"/>
  <c r="D28" i="21"/>
  <c r="C28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C27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P24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D23" i="21"/>
  <c r="C23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D22" i="21"/>
  <c r="C22" i="21"/>
  <c r="O21" i="21"/>
  <c r="N21" i="21"/>
  <c r="M21" i="21"/>
  <c r="L21" i="21"/>
  <c r="K21" i="21"/>
  <c r="J21" i="21"/>
  <c r="I21" i="21"/>
  <c r="G21" i="21"/>
  <c r="F21" i="21"/>
  <c r="E21" i="21"/>
  <c r="D21" i="21"/>
  <c r="C21" i="21"/>
  <c r="P20" i="21"/>
  <c r="O20" i="21"/>
  <c r="N20" i="21"/>
  <c r="M20" i="21"/>
  <c r="L20" i="21"/>
  <c r="K20" i="21"/>
  <c r="J20" i="21"/>
  <c r="I20" i="21"/>
  <c r="H20" i="21"/>
  <c r="G20" i="21"/>
  <c r="F20" i="21"/>
  <c r="E20" i="21"/>
  <c r="D20" i="21"/>
  <c r="C20" i="21"/>
  <c r="P19" i="21"/>
  <c r="O19" i="21"/>
  <c r="N19" i="21"/>
  <c r="M19" i="21"/>
  <c r="L19" i="21"/>
  <c r="K19" i="21"/>
  <c r="J19" i="21"/>
  <c r="I19" i="21"/>
  <c r="H19" i="21"/>
  <c r="G19" i="21"/>
  <c r="F19" i="21"/>
  <c r="E19" i="21"/>
  <c r="D19" i="21"/>
  <c r="C19" i="21"/>
  <c r="P18" i="21"/>
  <c r="O18" i="21"/>
  <c r="N18" i="21"/>
  <c r="M18" i="21"/>
  <c r="L18" i="21"/>
  <c r="K18" i="21"/>
  <c r="J18" i="21"/>
  <c r="I18" i="21"/>
  <c r="H18" i="21"/>
  <c r="G18" i="21"/>
  <c r="F18" i="21"/>
  <c r="E18" i="21"/>
  <c r="D18" i="21"/>
  <c r="C18" i="21"/>
  <c r="P17" i="21"/>
  <c r="O17" i="21"/>
  <c r="N17" i="21"/>
  <c r="M17" i="21"/>
  <c r="L17" i="21"/>
  <c r="K17" i="21"/>
  <c r="J17" i="21"/>
  <c r="I17" i="21"/>
  <c r="H17" i="21"/>
  <c r="G17" i="21"/>
  <c r="F17" i="21"/>
  <c r="E17" i="21"/>
  <c r="D17" i="21"/>
  <c r="C17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C16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C15" i="21"/>
  <c r="P14" i="21"/>
  <c r="O14" i="21"/>
  <c r="N14" i="21"/>
  <c r="M14" i="21"/>
  <c r="L14" i="21"/>
  <c r="K14" i="21"/>
  <c r="J14" i="21"/>
  <c r="I14" i="21"/>
  <c r="H14" i="21"/>
  <c r="G14" i="21"/>
  <c r="F14" i="21"/>
  <c r="E14" i="21"/>
  <c r="D14" i="21"/>
  <c r="C14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C13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C12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C11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C10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C9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C7" i="21"/>
  <c r="P6" i="21"/>
  <c r="O6" i="21"/>
  <c r="N6" i="21"/>
  <c r="M6" i="21"/>
  <c r="L6" i="21"/>
  <c r="K6" i="21"/>
  <c r="J6" i="21"/>
  <c r="I6" i="21"/>
  <c r="H6" i="21"/>
  <c r="G6" i="21"/>
  <c r="F6" i="21"/>
  <c r="E6" i="21"/>
  <c r="D6" i="21"/>
  <c r="C6" i="21"/>
  <c r="P5" i="21"/>
  <c r="O5" i="21"/>
  <c r="N5" i="21"/>
  <c r="M5" i="21"/>
  <c r="L5" i="21"/>
  <c r="K5" i="21"/>
  <c r="J5" i="21"/>
  <c r="I5" i="21"/>
  <c r="H5" i="21"/>
  <c r="G5" i="21"/>
  <c r="F5" i="21"/>
  <c r="E5" i="21"/>
  <c r="D5" i="21"/>
  <c r="C5" i="21"/>
  <c r="P4" i="21"/>
  <c r="O4" i="21"/>
  <c r="N4" i="21"/>
  <c r="M4" i="21"/>
  <c r="L4" i="21"/>
  <c r="K4" i="21"/>
  <c r="J4" i="21"/>
  <c r="I4" i="21"/>
  <c r="H4" i="21"/>
  <c r="G4" i="21"/>
  <c r="F4" i="21"/>
  <c r="E4" i="21"/>
  <c r="D4" i="21"/>
  <c r="C4" i="21"/>
  <c r="AX38" i="29" l="1"/>
  <c r="AX62" i="29"/>
  <c r="G83" i="39"/>
  <c r="I83" i="39" s="1"/>
  <c r="AX14" i="29"/>
  <c r="F37" i="39"/>
  <c r="I37" i="39" s="1"/>
  <c r="AX18" i="29"/>
  <c r="F41" i="39"/>
  <c r="I41" i="39" s="1"/>
  <c r="AX22" i="29"/>
  <c r="F45" i="39"/>
  <c r="I45" i="39" s="1"/>
  <c r="AX30" i="29"/>
  <c r="F53" i="39"/>
  <c r="I53" i="39" s="1"/>
  <c r="AX12" i="29"/>
  <c r="AX32" i="29"/>
  <c r="F55" i="39"/>
  <c r="I55" i="39" s="1"/>
  <c r="AX64" i="29"/>
  <c r="F85" i="39"/>
  <c r="I85" i="39" s="1"/>
  <c r="C65" i="17"/>
  <c r="D84" i="39" s="1"/>
  <c r="K84" i="39" s="1"/>
  <c r="C66" i="17"/>
  <c r="D85" i="39" s="1"/>
  <c r="K85" i="39" s="1"/>
  <c r="C67" i="17"/>
  <c r="D86" i="39" s="1"/>
  <c r="K86" i="39" s="1"/>
  <c r="C68" i="17"/>
  <c r="D87" i="39" s="1"/>
  <c r="K87" i="39" s="1"/>
  <c r="C69" i="17"/>
  <c r="D88" i="39" s="1"/>
  <c r="K88" i="39" s="1"/>
  <c r="N65" i="17"/>
  <c r="N66" i="17"/>
  <c r="N67" i="17"/>
  <c r="N68" i="17"/>
  <c r="N69" i="17"/>
  <c r="O65" i="17"/>
  <c r="O66" i="17"/>
  <c r="O67" i="17"/>
  <c r="O68" i="17"/>
  <c r="O69" i="17"/>
  <c r="W65" i="17"/>
  <c r="B65" i="17" s="1"/>
  <c r="W66" i="17"/>
  <c r="B66" i="17" s="1"/>
  <c r="W67" i="17"/>
  <c r="B67" i="17" s="1"/>
  <c r="W68" i="17"/>
  <c r="B68" i="17" s="1"/>
  <c r="W69" i="17"/>
  <c r="B69" i="17" s="1"/>
  <c r="P66" i="17" l="1"/>
  <c r="P67" i="17"/>
  <c r="R65" i="17"/>
  <c r="R69" i="17"/>
  <c r="R66" i="17"/>
  <c r="P68" i="17"/>
  <c r="R68" i="17"/>
  <c r="P69" i="17"/>
  <c r="P65" i="17"/>
  <c r="R67" i="17"/>
  <c r="C34" i="17" l="1"/>
  <c r="D55" i="39" s="1"/>
  <c r="K55" i="39" s="1"/>
  <c r="C35" i="17"/>
  <c r="D56" i="39" s="1"/>
  <c r="K56" i="39" s="1"/>
  <c r="C36" i="17"/>
  <c r="D57" i="39" s="1"/>
  <c r="K57" i="39" s="1"/>
  <c r="C37" i="17"/>
  <c r="D58" i="39" s="1"/>
  <c r="K58" i="39" s="1"/>
  <c r="C38" i="17"/>
  <c r="D59" i="39" s="1"/>
  <c r="K59" i="39" s="1"/>
  <c r="C39" i="17"/>
  <c r="D60" i="39" s="1"/>
  <c r="K60" i="39" s="1"/>
  <c r="C40" i="17"/>
  <c r="D61" i="39" s="1"/>
  <c r="K61" i="39" s="1"/>
  <c r="C41" i="17"/>
  <c r="D62" i="39" s="1"/>
  <c r="K62" i="39" s="1"/>
  <c r="C42" i="17"/>
  <c r="D63" i="39" s="1"/>
  <c r="K63" i="39" s="1"/>
  <c r="C43" i="17"/>
  <c r="D64" i="39" s="1"/>
  <c r="K64" i="39" s="1"/>
  <c r="C44" i="17"/>
  <c r="D65" i="39" s="1"/>
  <c r="K65" i="39" s="1"/>
  <c r="C45" i="17"/>
  <c r="D66" i="39" s="1"/>
  <c r="K66" i="39" s="1"/>
  <c r="C46" i="17"/>
  <c r="D67" i="39" s="1"/>
  <c r="K67" i="39" s="1"/>
  <c r="C47" i="17"/>
  <c r="D68" i="39" s="1"/>
  <c r="K68" i="39" s="1"/>
  <c r="C48" i="17"/>
  <c r="C49" i="17"/>
  <c r="D69" i="39" s="1"/>
  <c r="K69" i="39" s="1"/>
  <c r="C50" i="17"/>
  <c r="D70" i="39" s="1"/>
  <c r="K70" i="39" s="1"/>
  <c r="C51" i="17"/>
  <c r="D71" i="39" s="1"/>
  <c r="K71" i="39" s="1"/>
  <c r="C52" i="17"/>
  <c r="D72" i="39" s="1"/>
  <c r="K72" i="39" s="1"/>
  <c r="C53" i="17"/>
  <c r="D73" i="39" s="1"/>
  <c r="K73" i="39" s="1"/>
  <c r="C54" i="17"/>
  <c r="D74" i="39" s="1"/>
  <c r="K74" i="39" s="1"/>
  <c r="C55" i="17"/>
  <c r="D75" i="39" s="1"/>
  <c r="K75" i="39" s="1"/>
  <c r="C56" i="17"/>
  <c r="D76" i="39" s="1"/>
  <c r="K76" i="39" s="1"/>
  <c r="C57" i="17"/>
  <c r="D77" i="39" s="1"/>
  <c r="K77" i="39" s="1"/>
  <c r="C58" i="17"/>
  <c r="D78" i="39" s="1"/>
  <c r="K78" i="39" s="1"/>
  <c r="C59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O34" i="17"/>
  <c r="P34" i="17" s="1"/>
  <c r="O35" i="17"/>
  <c r="O36" i="17"/>
  <c r="O37" i="17"/>
  <c r="O38" i="17"/>
  <c r="O39" i="17"/>
  <c r="O40" i="17"/>
  <c r="O41" i="17"/>
  <c r="O42" i="17"/>
  <c r="O43" i="17"/>
  <c r="O44" i="17"/>
  <c r="O45" i="17"/>
  <c r="O46" i="17"/>
  <c r="O47" i="17"/>
  <c r="O48" i="17"/>
  <c r="O49" i="17"/>
  <c r="O50" i="17"/>
  <c r="O51" i="17"/>
  <c r="O52" i="17"/>
  <c r="O53" i="17"/>
  <c r="O54" i="17"/>
  <c r="O55" i="17"/>
  <c r="O56" i="17"/>
  <c r="O57" i="17"/>
  <c r="O58" i="17"/>
  <c r="O59" i="17"/>
  <c r="W34" i="17"/>
  <c r="B34" i="17" s="1"/>
  <c r="W35" i="17"/>
  <c r="B35" i="17" s="1"/>
  <c r="W36" i="17"/>
  <c r="B36" i="17" s="1"/>
  <c r="W37" i="17"/>
  <c r="B37" i="17" s="1"/>
  <c r="W38" i="17"/>
  <c r="B38" i="17" s="1"/>
  <c r="W39" i="17"/>
  <c r="B39" i="17" s="1"/>
  <c r="W40" i="17"/>
  <c r="B40" i="17" s="1"/>
  <c r="W41" i="17"/>
  <c r="B41" i="17" s="1"/>
  <c r="W42" i="17"/>
  <c r="B42" i="17" s="1"/>
  <c r="W43" i="17"/>
  <c r="B43" i="17" s="1"/>
  <c r="W44" i="17"/>
  <c r="B44" i="17" s="1"/>
  <c r="W45" i="17"/>
  <c r="B45" i="17" s="1"/>
  <c r="W46" i="17"/>
  <c r="B46" i="17" s="1"/>
  <c r="W47" i="17"/>
  <c r="B47" i="17" s="1"/>
  <c r="W48" i="17"/>
  <c r="B48" i="17" s="1"/>
  <c r="W49" i="17"/>
  <c r="B49" i="17" s="1"/>
  <c r="W50" i="17"/>
  <c r="B50" i="17" s="1"/>
  <c r="W51" i="17"/>
  <c r="B51" i="17" s="1"/>
  <c r="W52" i="17"/>
  <c r="B52" i="17" s="1"/>
  <c r="W53" i="17"/>
  <c r="B53" i="17" s="1"/>
  <c r="W54" i="17"/>
  <c r="B54" i="17" s="1"/>
  <c r="W55" i="17"/>
  <c r="B55" i="17" s="1"/>
  <c r="W56" i="17"/>
  <c r="B56" i="17" s="1"/>
  <c r="W57" i="17"/>
  <c r="B57" i="17" s="1"/>
  <c r="W58" i="17"/>
  <c r="B58" i="17" s="1"/>
  <c r="W59" i="17"/>
  <c r="B59" i="17" s="1"/>
  <c r="P35" i="17" l="1"/>
  <c r="P57" i="17"/>
  <c r="R53" i="17"/>
  <c r="P49" i="17"/>
  <c r="R45" i="17"/>
  <c r="P41" i="17"/>
  <c r="P37" i="17"/>
  <c r="R59" i="17"/>
  <c r="R55" i="17"/>
  <c r="R51" i="17"/>
  <c r="R47" i="17"/>
  <c r="P56" i="17"/>
  <c r="R52" i="17"/>
  <c r="P48" i="17"/>
  <c r="R44" i="17"/>
  <c r="P40" i="17"/>
  <c r="R43" i="17"/>
  <c r="R58" i="17"/>
  <c r="R54" i="17"/>
  <c r="P39" i="17"/>
  <c r="R35" i="17"/>
  <c r="R50" i="17"/>
  <c r="R46" i="17"/>
  <c r="R42" i="17"/>
  <c r="P38" i="17"/>
  <c r="R34" i="17"/>
  <c r="R39" i="17"/>
  <c r="R38" i="17"/>
  <c r="P45" i="17"/>
  <c r="P44" i="17"/>
  <c r="P53" i="17"/>
  <c r="P52" i="17"/>
  <c r="P36" i="17"/>
  <c r="R57" i="17"/>
  <c r="R49" i="17"/>
  <c r="R41" i="17"/>
  <c r="R37" i="17"/>
  <c r="P59" i="17"/>
  <c r="P55" i="17"/>
  <c r="P51" i="17"/>
  <c r="P47" i="17"/>
  <c r="P43" i="17"/>
  <c r="R56" i="17"/>
  <c r="R48" i="17"/>
  <c r="R40" i="17"/>
  <c r="R36" i="17"/>
  <c r="P58" i="17"/>
  <c r="P54" i="17"/>
  <c r="P50" i="17"/>
  <c r="P46" i="17"/>
  <c r="P42" i="17"/>
  <c r="C25" i="17" l="1"/>
  <c r="D46" i="39" s="1"/>
  <c r="K46" i="39" s="1"/>
  <c r="C26" i="17"/>
  <c r="D47" i="39" s="1"/>
  <c r="K47" i="39" s="1"/>
  <c r="C27" i="17"/>
  <c r="D48" i="39" s="1"/>
  <c r="K48" i="39" s="1"/>
  <c r="C28" i="17"/>
  <c r="D49" i="39" s="1"/>
  <c r="K49" i="39" s="1"/>
  <c r="C29" i="17"/>
  <c r="D50" i="39" s="1"/>
  <c r="K50" i="39" s="1"/>
  <c r="C30" i="17"/>
  <c r="D51" i="39" s="1"/>
  <c r="K51" i="39" s="1"/>
  <c r="C31" i="17"/>
  <c r="D52" i="39" s="1"/>
  <c r="K52" i="39" s="1"/>
  <c r="C32" i="17"/>
  <c r="D53" i="39" s="1"/>
  <c r="K53" i="39" s="1"/>
  <c r="N25" i="17"/>
  <c r="N26" i="17"/>
  <c r="N27" i="17"/>
  <c r="N28" i="17"/>
  <c r="N29" i="17"/>
  <c r="N30" i="17"/>
  <c r="N31" i="17"/>
  <c r="N32" i="17"/>
  <c r="O25" i="17"/>
  <c r="O26" i="17"/>
  <c r="O27" i="17"/>
  <c r="O28" i="17"/>
  <c r="O29" i="17"/>
  <c r="O30" i="17"/>
  <c r="O31" i="17"/>
  <c r="O32" i="17"/>
  <c r="P25" i="17"/>
  <c r="P26" i="17"/>
  <c r="P27" i="17"/>
  <c r="P28" i="17"/>
  <c r="P29" i="17"/>
  <c r="P30" i="17"/>
  <c r="P31" i="17"/>
  <c r="P32" i="17"/>
  <c r="W25" i="17"/>
  <c r="B25" i="17" s="1"/>
  <c r="W26" i="17"/>
  <c r="B26" i="17" s="1"/>
  <c r="W27" i="17"/>
  <c r="B27" i="17" s="1"/>
  <c r="W28" i="17"/>
  <c r="B28" i="17" s="1"/>
  <c r="W29" i="17"/>
  <c r="B29" i="17" s="1"/>
  <c r="W30" i="17"/>
  <c r="B30" i="17" s="1"/>
  <c r="W31" i="17"/>
  <c r="B31" i="17" s="1"/>
  <c r="W32" i="17"/>
  <c r="B32" i="17" s="1"/>
  <c r="R27" i="17" l="1"/>
  <c r="R25" i="17"/>
  <c r="R26" i="17"/>
  <c r="R30" i="17"/>
  <c r="R31" i="17"/>
  <c r="R29" i="17"/>
  <c r="R32" i="17"/>
  <c r="R28" i="17"/>
  <c r="C9" i="17"/>
  <c r="D30" i="39" s="1"/>
  <c r="K30" i="39" s="1"/>
  <c r="C10" i="17"/>
  <c r="D31" i="39" s="1"/>
  <c r="K31" i="39" s="1"/>
  <c r="C11" i="17"/>
  <c r="D32" i="39" s="1"/>
  <c r="K32" i="39" s="1"/>
  <c r="C12" i="17"/>
  <c r="D33" i="39" s="1"/>
  <c r="K33" i="39" s="1"/>
  <c r="C13" i="17"/>
  <c r="D34" i="39" s="1"/>
  <c r="K34" i="39" s="1"/>
  <c r="C14" i="17"/>
  <c r="D35" i="39" s="1"/>
  <c r="K35" i="39" s="1"/>
  <c r="C15" i="17"/>
  <c r="D36" i="39" s="1"/>
  <c r="K36" i="39" s="1"/>
  <c r="N9" i="17"/>
  <c r="N10" i="17"/>
  <c r="N11" i="17"/>
  <c r="N12" i="17"/>
  <c r="N13" i="17"/>
  <c r="N14" i="17"/>
  <c r="N15" i="17"/>
  <c r="O9" i="17"/>
  <c r="O10" i="17"/>
  <c r="O11" i="17"/>
  <c r="O12" i="17"/>
  <c r="O13" i="17"/>
  <c r="O14" i="17"/>
  <c r="O15" i="17"/>
  <c r="W9" i="17"/>
  <c r="B9" i="17" s="1"/>
  <c r="W10" i="17"/>
  <c r="B10" i="17" s="1"/>
  <c r="W11" i="17"/>
  <c r="B11" i="17" s="1"/>
  <c r="W12" i="17"/>
  <c r="B12" i="17" s="1"/>
  <c r="W13" i="17"/>
  <c r="B13" i="17" s="1"/>
  <c r="W14" i="17"/>
  <c r="B14" i="17" s="1"/>
  <c r="W15" i="17"/>
  <c r="B15" i="17" s="1"/>
  <c r="R9" i="17" l="1"/>
  <c r="R13" i="17"/>
  <c r="P14" i="17"/>
  <c r="P10" i="17"/>
  <c r="R10" i="17"/>
  <c r="P13" i="17"/>
  <c r="R12" i="17"/>
  <c r="R15" i="17"/>
  <c r="P9" i="17"/>
  <c r="R14" i="17"/>
  <c r="R11" i="17"/>
  <c r="P12" i="17"/>
  <c r="P15" i="17"/>
  <c r="P11" i="17"/>
  <c r="C33" i="17" l="1"/>
  <c r="D54" i="39" s="1"/>
  <c r="K54" i="39" s="1"/>
  <c r="N33" i="17"/>
  <c r="O33" i="17"/>
  <c r="W33" i="17"/>
  <c r="B33" i="17" s="1"/>
  <c r="R33" i="17" l="1"/>
  <c r="P33" i="17"/>
  <c r="C21" i="17" l="1"/>
  <c r="D42" i="39" s="1"/>
  <c r="K42" i="39" s="1"/>
  <c r="C22" i="17"/>
  <c r="D43" i="39" s="1"/>
  <c r="K43" i="39" s="1"/>
  <c r="C23" i="17"/>
  <c r="D44" i="39" s="1"/>
  <c r="K44" i="39" s="1"/>
  <c r="C24" i="17"/>
  <c r="D45" i="39" s="1"/>
  <c r="K45" i="39" s="1"/>
  <c r="N21" i="17"/>
  <c r="N22" i="17"/>
  <c r="N23" i="17"/>
  <c r="P23" i="17" s="1"/>
  <c r="N24" i="17"/>
  <c r="O21" i="17"/>
  <c r="O22" i="17"/>
  <c r="P22" i="17" s="1"/>
  <c r="O23" i="17"/>
  <c r="O24" i="17"/>
  <c r="P24" i="17" s="1"/>
  <c r="P21" i="17"/>
  <c r="W21" i="17"/>
  <c r="B21" i="17" s="1"/>
  <c r="W22" i="17"/>
  <c r="B22" i="17" s="1"/>
  <c r="W23" i="17"/>
  <c r="B23" i="17" s="1"/>
  <c r="W24" i="17"/>
  <c r="B24" i="17" s="1"/>
  <c r="R23" i="17" l="1"/>
  <c r="R24" i="17"/>
  <c r="R22" i="17"/>
  <c r="R21" i="17"/>
  <c r="C60" i="17"/>
  <c r="D79" i="39" s="1"/>
  <c r="K79" i="39" s="1"/>
  <c r="C61" i="17"/>
  <c r="D80" i="39" s="1"/>
  <c r="K80" i="39" s="1"/>
  <c r="C62" i="17"/>
  <c r="D81" i="39" s="1"/>
  <c r="K81" i="39" s="1"/>
  <c r="C63" i="17"/>
  <c r="D82" i="39" s="1"/>
  <c r="K82" i="39" s="1"/>
  <c r="C64" i="17"/>
  <c r="D83" i="39" s="1"/>
  <c r="K83" i="39" s="1"/>
  <c r="N60" i="17"/>
  <c r="N61" i="17"/>
  <c r="N62" i="17"/>
  <c r="N63" i="17"/>
  <c r="N64" i="17"/>
  <c r="O60" i="17"/>
  <c r="O61" i="17"/>
  <c r="O62" i="17"/>
  <c r="O63" i="17"/>
  <c r="O64" i="17"/>
  <c r="W60" i="17"/>
  <c r="B60" i="17" s="1"/>
  <c r="W61" i="17"/>
  <c r="B61" i="17" s="1"/>
  <c r="W62" i="17"/>
  <c r="B62" i="17" s="1"/>
  <c r="W63" i="17"/>
  <c r="B63" i="17" s="1"/>
  <c r="W64" i="17"/>
  <c r="B64" i="17" s="1"/>
  <c r="R62" i="17" l="1"/>
  <c r="P62" i="17"/>
  <c r="P61" i="17"/>
  <c r="R63" i="17"/>
  <c r="P64" i="17"/>
  <c r="P63" i="17"/>
  <c r="P60" i="17"/>
  <c r="R61" i="17"/>
  <c r="R64" i="17"/>
  <c r="R60" i="17"/>
  <c r="C16" i="17" l="1"/>
  <c r="D37" i="39" s="1"/>
  <c r="K37" i="39" s="1"/>
  <c r="C17" i="17"/>
  <c r="D38" i="39" s="1"/>
  <c r="K38" i="39" s="1"/>
  <c r="C18" i="17"/>
  <c r="D39" i="39" s="1"/>
  <c r="K39" i="39" s="1"/>
  <c r="C19" i="17"/>
  <c r="D40" i="39" s="1"/>
  <c r="K40" i="39" s="1"/>
  <c r="C20" i="17"/>
  <c r="D41" i="39" s="1"/>
  <c r="K41" i="39" s="1"/>
  <c r="N16" i="17"/>
  <c r="N17" i="17"/>
  <c r="N18" i="17"/>
  <c r="N19" i="17"/>
  <c r="N20" i="17"/>
  <c r="O16" i="17"/>
  <c r="O17" i="17"/>
  <c r="O18" i="17"/>
  <c r="O19" i="17"/>
  <c r="O20" i="17"/>
  <c r="W16" i="17"/>
  <c r="B16" i="17" s="1"/>
  <c r="W17" i="17"/>
  <c r="B17" i="17" s="1"/>
  <c r="W18" i="17"/>
  <c r="B18" i="17" s="1"/>
  <c r="W19" i="17"/>
  <c r="B19" i="17" s="1"/>
  <c r="W20" i="17"/>
  <c r="B20" i="17" s="1"/>
  <c r="R19" i="17" l="1"/>
  <c r="P19" i="17"/>
  <c r="P18" i="17"/>
  <c r="R20" i="17"/>
  <c r="R16" i="17"/>
  <c r="P20" i="17"/>
  <c r="P16" i="17"/>
  <c r="P17" i="17"/>
  <c r="R18" i="17"/>
  <c r="R17" i="17"/>
  <c r="AC6" i="21" l="1"/>
  <c r="B489" i="32" l="1"/>
  <c r="AC5" i="21" l="1"/>
  <c r="AC7" i="21"/>
  <c r="AC8" i="21"/>
  <c r="AA5" i="21"/>
  <c r="AA6" i="21"/>
  <c r="AA7" i="21"/>
  <c r="AA8" i="21"/>
  <c r="Y6" i="21"/>
  <c r="Y7" i="21"/>
  <c r="Y8" i="21"/>
  <c r="B487" i="32" l="1"/>
  <c r="J92" i="39" l="1"/>
  <c r="AG7" i="21" l="1"/>
  <c r="AG8" i="21"/>
  <c r="N18" i="32" l="1"/>
  <c r="N19" i="32"/>
  <c r="N20" i="32"/>
  <c r="N21" i="32"/>
  <c r="N22" i="32"/>
  <c r="AK71" i="29" l="1"/>
  <c r="P5" i="17" l="1"/>
  <c r="AG6" i="21" l="1"/>
  <c r="O5" i="17" l="1"/>
  <c r="Q5" i="21"/>
  <c r="Q6" i="21"/>
  <c r="Q7" i="21"/>
  <c r="Q8" i="21"/>
  <c r="Q9" i="21"/>
  <c r="Q10" i="21"/>
  <c r="Q11" i="21"/>
  <c r="Q12" i="21"/>
  <c r="Q13" i="21"/>
  <c r="Q14" i="21"/>
  <c r="Q15" i="21"/>
  <c r="Q16" i="21"/>
  <c r="Q17" i="21"/>
  <c r="Q18" i="21"/>
  <c r="Q19" i="21"/>
  <c r="Q20" i="21"/>
  <c r="Q21" i="21"/>
  <c r="Q22" i="21"/>
  <c r="Q23" i="21"/>
  <c r="Q24" i="21"/>
  <c r="Q25" i="21"/>
  <c r="Q26" i="21"/>
  <c r="Q27" i="21"/>
  <c r="Q28" i="21"/>
  <c r="Q29" i="21"/>
  <c r="Q30" i="21"/>
  <c r="Q31" i="21"/>
  <c r="Q32" i="21"/>
  <c r="Q33" i="21"/>
  <c r="Q34" i="21"/>
  <c r="Q35" i="21"/>
  <c r="Q36" i="21"/>
  <c r="Q37" i="21"/>
  <c r="Q38" i="21"/>
  <c r="Q39" i="21"/>
  <c r="Q40" i="21"/>
  <c r="Q41" i="21"/>
  <c r="Q42" i="21"/>
  <c r="Q43" i="21"/>
  <c r="Q44" i="21"/>
  <c r="Q45" i="21"/>
  <c r="Q46" i="21"/>
  <c r="Q47" i="21"/>
  <c r="Q48" i="21"/>
  <c r="Q49" i="21"/>
  <c r="Q50" i="21"/>
  <c r="Q51" i="21"/>
  <c r="Q52" i="21"/>
  <c r="Q53" i="21"/>
  <c r="Q54" i="21"/>
  <c r="Q55" i="21"/>
  <c r="Q56" i="21"/>
  <c r="Q57" i="21"/>
  <c r="Q58" i="21"/>
  <c r="Q59" i="21"/>
  <c r="Q60" i="21"/>
  <c r="Q61" i="21"/>
  <c r="Q62" i="21"/>
  <c r="Q63" i="21"/>
  <c r="Q64" i="21"/>
  <c r="Q65" i="21"/>
  <c r="Q66" i="21"/>
  <c r="Q67" i="21"/>
  <c r="Q68" i="21"/>
  <c r="Q69" i="21"/>
  <c r="Q70" i="21"/>
  <c r="Q71" i="21"/>
  <c r="Q72" i="21"/>
  <c r="Q73" i="21"/>
  <c r="Q74" i="21"/>
  <c r="Q75" i="21"/>
  <c r="Q76" i="21"/>
  <c r="Q77" i="21"/>
  <c r="Q78" i="21"/>
  <c r="Q79" i="21"/>
  <c r="Q80" i="21"/>
  <c r="Q81" i="21"/>
  <c r="Q82" i="21"/>
  <c r="Q83" i="21"/>
  <c r="Q84" i="21"/>
  <c r="Q85" i="21"/>
  <c r="Q86" i="21"/>
  <c r="Q87" i="21"/>
  <c r="Q88" i="21"/>
  <c r="Q89" i="21"/>
  <c r="Q90" i="21"/>
  <c r="Q91" i="21"/>
  <c r="Q92" i="21"/>
  <c r="Q93" i="21"/>
  <c r="Q94" i="21"/>
  <c r="Q95" i="21"/>
  <c r="Q96" i="21"/>
  <c r="Q97" i="21"/>
  <c r="Q98" i="21"/>
  <c r="Q99" i="21"/>
  <c r="Q100" i="21"/>
  <c r="Q101" i="21"/>
  <c r="Q102" i="21"/>
  <c r="Q103" i="21"/>
  <c r="Q104" i="21"/>
  <c r="Q105" i="21"/>
  <c r="Q106" i="21"/>
  <c r="Q107" i="21"/>
  <c r="Q108" i="21"/>
  <c r="Q109" i="21"/>
  <c r="Q110" i="21"/>
  <c r="Q111" i="21"/>
  <c r="Q112" i="21"/>
  <c r="Q113" i="21"/>
  <c r="Q114" i="21"/>
  <c r="Q115" i="21"/>
  <c r="Q116" i="21"/>
  <c r="Q117" i="21"/>
  <c r="Q118" i="21"/>
  <c r="Q119" i="21"/>
  <c r="Q120" i="21"/>
  <c r="Q121" i="21"/>
  <c r="Q122" i="21"/>
  <c r="Q123" i="21"/>
  <c r="Q124" i="21"/>
  <c r="Q125" i="21"/>
  <c r="Q126" i="21"/>
  <c r="Q127" i="21"/>
  <c r="Q128" i="21"/>
  <c r="Q129" i="21"/>
  <c r="Q130" i="21"/>
  <c r="Q131" i="21"/>
  <c r="Q132" i="21"/>
  <c r="Q133" i="21"/>
  <c r="Q134" i="21"/>
  <c r="Q135" i="21"/>
  <c r="Q136" i="21"/>
  <c r="Q137" i="21"/>
  <c r="Q138" i="21"/>
  <c r="Q139" i="21"/>
  <c r="Q140" i="21"/>
  <c r="Q141" i="21"/>
  <c r="Q142" i="21"/>
  <c r="Q143" i="21"/>
  <c r="Q144" i="21"/>
  <c r="Q145" i="21"/>
  <c r="Q146" i="21"/>
  <c r="Q147" i="21"/>
  <c r="Q148" i="21"/>
  <c r="Q149" i="21"/>
  <c r="Q150" i="21"/>
  <c r="Q151" i="21"/>
  <c r="Q152" i="21"/>
  <c r="Q153" i="21"/>
  <c r="Q154" i="21"/>
  <c r="Q155" i="21"/>
  <c r="Q156" i="21"/>
  <c r="Q157" i="21"/>
  <c r="Q158" i="21"/>
  <c r="Q159" i="21"/>
  <c r="Q160" i="21"/>
  <c r="Q161" i="21"/>
  <c r="Q162" i="21"/>
  <c r="Q163" i="21"/>
  <c r="Q164" i="21"/>
  <c r="Q165" i="21"/>
  <c r="Q166" i="21"/>
  <c r="Q167" i="21"/>
  <c r="Q168" i="21"/>
  <c r="Q169" i="21"/>
  <c r="Q170" i="21"/>
  <c r="Q171" i="21"/>
  <c r="Q172" i="21"/>
  <c r="Q173" i="21"/>
  <c r="Q174" i="21"/>
  <c r="Q175" i="21"/>
  <c r="Q176" i="21"/>
  <c r="Q177" i="21"/>
  <c r="Q178" i="21"/>
  <c r="Q179" i="21"/>
  <c r="Q180" i="21"/>
  <c r="Q181" i="21"/>
  <c r="Q182" i="21"/>
  <c r="Q183" i="21"/>
  <c r="Q184" i="21"/>
  <c r="Q185" i="21"/>
  <c r="Q186" i="21"/>
  <c r="Q187" i="21"/>
  <c r="Q188" i="21"/>
  <c r="Q189" i="21"/>
  <c r="Q190" i="21"/>
  <c r="Q191" i="21"/>
  <c r="Q192" i="21"/>
  <c r="Q193" i="21"/>
  <c r="Q194" i="21"/>
  <c r="Q195" i="21"/>
  <c r="Q196" i="21"/>
  <c r="Q197" i="21"/>
  <c r="Q198" i="21"/>
  <c r="Q199" i="21"/>
  <c r="Q200" i="21"/>
  <c r="Q201" i="21"/>
  <c r="Q202" i="21"/>
  <c r="Q203" i="21"/>
  <c r="Q204" i="21"/>
  <c r="Q205" i="21"/>
  <c r="Q206" i="21"/>
  <c r="Q207" i="21"/>
  <c r="Q208" i="21"/>
  <c r="Q209" i="21"/>
  <c r="Q210" i="21"/>
  <c r="Q211" i="21"/>
  <c r="Q212" i="21"/>
  <c r="Q213" i="21"/>
  <c r="Q214" i="21"/>
  <c r="Q215" i="21"/>
  <c r="Q216" i="21"/>
  <c r="Q217" i="21"/>
  <c r="Q218" i="21"/>
  <c r="Q219" i="21"/>
  <c r="Q220" i="21"/>
  <c r="Q221" i="21"/>
  <c r="Q222" i="21"/>
  <c r="Q223" i="21"/>
  <c r="Q224" i="21"/>
  <c r="Q225" i="21"/>
  <c r="Q226" i="21"/>
  <c r="Q227" i="21"/>
  <c r="Q228" i="21"/>
  <c r="Q229" i="21"/>
  <c r="Q230" i="21"/>
  <c r="Q231" i="21"/>
  <c r="Q232" i="21"/>
  <c r="Q233" i="21"/>
  <c r="Q234" i="21"/>
  <c r="Q235" i="21"/>
  <c r="Q236" i="21"/>
  <c r="Q237" i="21"/>
  <c r="Q238" i="21"/>
  <c r="Q239" i="21"/>
  <c r="Q240" i="21"/>
  <c r="Q241" i="21"/>
  <c r="Q242" i="21"/>
  <c r="Q243" i="21"/>
  <c r="Q244" i="21"/>
  <c r="Q245" i="21"/>
  <c r="Q246" i="21"/>
  <c r="Q247" i="21"/>
  <c r="Q248" i="21"/>
  <c r="Q249" i="21"/>
  <c r="Q250" i="21"/>
  <c r="Q251" i="21"/>
  <c r="Q252" i="21"/>
  <c r="Q253" i="21"/>
  <c r="Q254" i="21"/>
  <c r="Q255" i="21"/>
  <c r="Q256" i="21"/>
  <c r="Q257" i="21"/>
  <c r="Q258" i="21"/>
  <c r="Q259" i="21"/>
  <c r="Q260" i="21"/>
  <c r="Q261" i="21"/>
  <c r="Q262" i="21"/>
  <c r="Q263" i="21"/>
  <c r="Q264" i="21"/>
  <c r="Q265" i="21"/>
  <c r="Q266" i="21"/>
  <c r="Q267" i="21"/>
  <c r="Q268" i="21"/>
  <c r="Q269" i="21"/>
  <c r="Q270" i="21"/>
  <c r="Q271" i="21"/>
  <c r="Q272" i="21"/>
  <c r="Q273" i="21"/>
  <c r="Q274" i="21"/>
  <c r="Q275" i="21"/>
  <c r="Q276" i="21"/>
  <c r="Q277" i="21"/>
  <c r="Q278" i="21"/>
  <c r="Q279" i="21"/>
  <c r="Q280" i="21"/>
  <c r="Q281" i="21"/>
  <c r="Q282" i="21"/>
  <c r="Q283" i="21"/>
  <c r="Q284" i="21"/>
  <c r="Q285" i="21"/>
  <c r="Q286" i="21"/>
  <c r="Q287" i="21"/>
  <c r="Q288" i="21"/>
  <c r="Q289" i="21"/>
  <c r="Q290" i="21"/>
  <c r="Q291" i="21"/>
  <c r="Q292" i="21"/>
  <c r="Q293" i="21"/>
  <c r="Q294" i="21"/>
  <c r="Q295" i="21"/>
  <c r="Q296" i="21"/>
  <c r="Q297" i="21"/>
  <c r="Q298" i="21"/>
  <c r="Q299" i="21"/>
  <c r="Q300" i="21"/>
  <c r="Q301" i="21"/>
  <c r="Q302" i="21"/>
  <c r="Q303" i="21"/>
  <c r="Q304" i="21"/>
  <c r="Q305" i="21"/>
  <c r="Q306" i="21"/>
  <c r="Q307" i="21"/>
  <c r="Q308" i="21"/>
  <c r="Q309" i="21"/>
  <c r="Q310" i="21"/>
  <c r="Q311" i="21"/>
  <c r="Q312" i="21"/>
  <c r="Q313" i="21"/>
  <c r="Q314" i="21"/>
  <c r="Q315" i="21"/>
  <c r="Q316" i="21"/>
  <c r="Q317" i="21"/>
  <c r="Q318" i="21"/>
  <c r="Q319" i="21"/>
  <c r="Q320" i="21"/>
  <c r="Q321" i="21"/>
  <c r="Q322" i="21"/>
  <c r="Q323" i="21"/>
  <c r="Q324" i="21"/>
  <c r="Q325" i="21"/>
  <c r="Q326" i="21"/>
  <c r="Q327" i="21"/>
  <c r="Q328" i="21"/>
  <c r="Q329" i="21"/>
  <c r="Q330" i="21"/>
  <c r="Q331" i="21"/>
  <c r="Q332" i="21"/>
  <c r="Q333" i="21"/>
  <c r="Q334" i="21"/>
  <c r="Q335" i="21"/>
  <c r="Q336" i="21"/>
  <c r="Q337" i="21"/>
  <c r="Q338" i="21"/>
  <c r="Q339" i="21"/>
  <c r="Q340" i="21"/>
  <c r="Q341" i="21"/>
  <c r="Q342" i="21"/>
  <c r="Q343" i="21"/>
  <c r="Q344" i="21"/>
  <c r="Q345" i="21"/>
  <c r="Q346" i="21"/>
  <c r="Q347" i="21"/>
  <c r="Q348" i="21"/>
  <c r="Q349" i="21"/>
  <c r="Q350" i="21"/>
  <c r="Q351" i="21"/>
  <c r="Q352" i="21"/>
  <c r="Q353" i="21"/>
  <c r="Q354" i="21"/>
  <c r="Q355" i="21"/>
  <c r="Q356" i="21"/>
  <c r="Q357" i="21"/>
  <c r="Q358" i="21"/>
  <c r="Q359" i="21"/>
  <c r="Q360" i="21"/>
  <c r="Q361" i="21"/>
  <c r="Q362" i="21"/>
  <c r="Q363" i="21"/>
  <c r="Q364" i="21"/>
  <c r="Q365" i="21"/>
  <c r="Q366" i="21"/>
  <c r="Q367" i="21"/>
  <c r="Q368" i="21"/>
  <c r="Q369" i="21"/>
  <c r="Q370" i="21"/>
  <c r="Q371" i="21"/>
  <c r="Q372" i="21"/>
  <c r="Q373" i="21"/>
  <c r="Q374" i="21"/>
  <c r="Q375" i="21"/>
  <c r="Q376" i="21"/>
  <c r="Q377" i="21"/>
  <c r="Q378" i="21"/>
  <c r="Q379" i="21"/>
  <c r="Q380" i="21"/>
  <c r="Q381" i="21"/>
  <c r="Q382" i="21"/>
  <c r="Q383" i="21"/>
  <c r="Q384" i="21"/>
  <c r="Q385" i="21"/>
  <c r="Q386" i="21"/>
  <c r="Q387" i="21"/>
  <c r="Q388" i="21"/>
  <c r="Q389" i="21"/>
  <c r="Q390" i="21"/>
  <c r="Q391" i="21"/>
  <c r="Q392" i="21"/>
  <c r="Q393" i="21"/>
  <c r="Q394" i="21"/>
  <c r="Q395" i="21"/>
  <c r="Q396" i="21"/>
  <c r="Q397" i="21"/>
  <c r="Q398" i="21"/>
  <c r="Q399" i="21"/>
  <c r="Q400" i="21"/>
  <c r="Q401" i="21"/>
  <c r="Q402" i="21"/>
  <c r="Q403" i="21"/>
  <c r="Q404" i="21"/>
  <c r="Q405" i="21"/>
  <c r="Q406" i="21"/>
  <c r="Q407" i="21"/>
  <c r="Q408" i="21"/>
  <c r="Q409" i="21"/>
  <c r="Q410" i="21"/>
  <c r="Q411" i="21"/>
  <c r="Q412" i="21"/>
  <c r="Q413" i="21"/>
  <c r="Q414" i="21"/>
  <c r="Q415" i="21"/>
  <c r="Q416" i="21"/>
  <c r="Q417" i="21"/>
  <c r="Q418" i="21"/>
  <c r="Q419" i="21"/>
  <c r="Q420" i="21"/>
  <c r="Q421" i="21"/>
  <c r="Q422" i="21"/>
  <c r="Q423" i="21"/>
  <c r="Q424" i="21"/>
  <c r="Q425" i="21"/>
  <c r="Q426" i="21"/>
  <c r="Q427" i="21"/>
  <c r="Q428" i="21"/>
  <c r="Q429" i="21"/>
  <c r="Q430" i="21"/>
  <c r="Q431" i="21"/>
  <c r="Q432" i="21"/>
  <c r="Q433" i="21"/>
  <c r="Q434" i="21"/>
  <c r="Q435" i="21"/>
  <c r="Q436" i="21"/>
  <c r="Q437" i="21"/>
  <c r="Q438" i="21"/>
  <c r="Q439" i="21"/>
  <c r="Q440" i="21"/>
  <c r="Q441" i="21"/>
  <c r="Q442" i="21"/>
  <c r="Q443" i="21"/>
  <c r="Q444" i="21"/>
  <c r="Q445" i="21"/>
  <c r="Q446" i="21"/>
  <c r="Q447" i="21"/>
  <c r="Q448" i="21"/>
  <c r="H92" i="39" l="1"/>
  <c r="Q22" i="32"/>
  <c r="Q21" i="32"/>
  <c r="Q20" i="32"/>
  <c r="Q19" i="32"/>
  <c r="Q18" i="32"/>
  <c r="Q17" i="32"/>
  <c r="Q16" i="32"/>
  <c r="Q15" i="32"/>
  <c r="Q14" i="32"/>
  <c r="Q13" i="32"/>
  <c r="Q12" i="32"/>
  <c r="Q11" i="32"/>
  <c r="Q10" i="32"/>
  <c r="Q9" i="32"/>
  <c r="Q8" i="32"/>
  <c r="Q7" i="32"/>
  <c r="Q6" i="32"/>
  <c r="Q5" i="32"/>
  <c r="Q4" i="32"/>
  <c r="AE8" i="21"/>
  <c r="AE7" i="21"/>
  <c r="AE6" i="21"/>
  <c r="AG5" i="21"/>
  <c r="AE5" i="21"/>
  <c r="Y5" i="21"/>
  <c r="AG4" i="21"/>
  <c r="AE4" i="21"/>
  <c r="AC4" i="21"/>
  <c r="AA4" i="21"/>
  <c r="Y4" i="21"/>
  <c r="Q4" i="21"/>
  <c r="Z2" i="21"/>
  <c r="AB2" i="21" s="1"/>
  <c r="AD2" i="21" s="1"/>
  <c r="AF2" i="21" s="1"/>
  <c r="E2" i="21"/>
  <c r="G2" i="21" s="1"/>
  <c r="I2" i="21" s="1"/>
  <c r="K2" i="21" s="1"/>
  <c r="M2" i="21" s="1"/>
  <c r="O2" i="21" s="1"/>
  <c r="E92" i="39"/>
  <c r="F27" i="39"/>
  <c r="E27" i="39" s="1"/>
  <c r="R247" i="40"/>
  <c r="B247" i="40" s="1"/>
  <c r="P247" i="40"/>
  <c r="L247" i="40"/>
  <c r="C247" i="40"/>
  <c r="R246" i="40"/>
  <c r="B246" i="40" s="1"/>
  <c r="P246" i="40"/>
  <c r="L246" i="40"/>
  <c r="C246" i="40"/>
  <c r="R245" i="40"/>
  <c r="B245" i="40" s="1"/>
  <c r="P245" i="40"/>
  <c r="L245" i="40"/>
  <c r="C245" i="40"/>
  <c r="R244" i="40"/>
  <c r="B244" i="40" s="1"/>
  <c r="P244" i="40"/>
  <c r="L244" i="40"/>
  <c r="K244" i="40"/>
  <c r="J244" i="40"/>
  <c r="I244" i="40"/>
  <c r="H244" i="40"/>
  <c r="G244" i="40"/>
  <c r="F244" i="40"/>
  <c r="E244" i="40"/>
  <c r="C244" i="40"/>
  <c r="R243" i="40"/>
  <c r="B243" i="40" s="1"/>
  <c r="P243" i="40"/>
  <c r="L243" i="40"/>
  <c r="C243" i="40"/>
  <c r="R242" i="40"/>
  <c r="B242" i="40" s="1"/>
  <c r="P242" i="40"/>
  <c r="L242" i="40"/>
  <c r="C242" i="40"/>
  <c r="R241" i="40"/>
  <c r="B241" i="40" s="1"/>
  <c r="P241" i="40"/>
  <c r="L241" i="40"/>
  <c r="C241" i="40"/>
  <c r="R240" i="40"/>
  <c r="B240" i="40" s="1"/>
  <c r="P240" i="40"/>
  <c r="L240" i="40"/>
  <c r="C240" i="40"/>
  <c r="R239" i="40"/>
  <c r="B239" i="40" s="1"/>
  <c r="P239" i="40"/>
  <c r="L239" i="40"/>
  <c r="C239" i="40"/>
  <c r="R238" i="40"/>
  <c r="B238" i="40" s="1"/>
  <c r="P238" i="40"/>
  <c r="L238" i="40"/>
  <c r="C238" i="40"/>
  <c r="R237" i="40"/>
  <c r="B237" i="40" s="1"/>
  <c r="P237" i="40"/>
  <c r="L237" i="40"/>
  <c r="C237" i="40"/>
  <c r="R236" i="40"/>
  <c r="B236" i="40" s="1"/>
  <c r="P236" i="40"/>
  <c r="L236" i="40"/>
  <c r="K236" i="40"/>
  <c r="J236" i="40"/>
  <c r="I236" i="40"/>
  <c r="H236" i="40"/>
  <c r="G236" i="40"/>
  <c r="F236" i="40"/>
  <c r="E236" i="40"/>
  <c r="C236" i="40"/>
  <c r="R235" i="40"/>
  <c r="B235" i="40" s="1"/>
  <c r="P235" i="40"/>
  <c r="L235" i="40"/>
  <c r="C235" i="40"/>
  <c r="R234" i="40"/>
  <c r="B234" i="40" s="1"/>
  <c r="P234" i="40"/>
  <c r="L234" i="40"/>
  <c r="K234" i="40"/>
  <c r="J234" i="40"/>
  <c r="I234" i="40"/>
  <c r="H234" i="40"/>
  <c r="G234" i="40"/>
  <c r="F234" i="40"/>
  <c r="E234" i="40"/>
  <c r="C234" i="40"/>
  <c r="R233" i="40"/>
  <c r="B233" i="40" s="1"/>
  <c r="P233" i="40"/>
  <c r="L233" i="40"/>
  <c r="C233" i="40"/>
  <c r="R232" i="40"/>
  <c r="B232" i="40" s="1"/>
  <c r="P232" i="40"/>
  <c r="L232" i="40"/>
  <c r="K232" i="40"/>
  <c r="J232" i="40"/>
  <c r="I232" i="40"/>
  <c r="H232" i="40"/>
  <c r="G232" i="40"/>
  <c r="F232" i="40"/>
  <c r="E232" i="40"/>
  <c r="C232" i="40"/>
  <c r="R231" i="40"/>
  <c r="B231" i="40" s="1"/>
  <c r="P231" i="40"/>
  <c r="L231" i="40"/>
  <c r="C231" i="40"/>
  <c r="R230" i="40"/>
  <c r="B230" i="40" s="1"/>
  <c r="P230" i="40"/>
  <c r="L230" i="40"/>
  <c r="C230" i="40"/>
  <c r="R229" i="40"/>
  <c r="B229" i="40" s="1"/>
  <c r="P229" i="40"/>
  <c r="L229" i="40"/>
  <c r="C229" i="40"/>
  <c r="R228" i="40"/>
  <c r="B228" i="40" s="1"/>
  <c r="P228" i="40"/>
  <c r="L228" i="40"/>
  <c r="C228" i="40"/>
  <c r="R227" i="40"/>
  <c r="B227" i="40" s="1"/>
  <c r="P227" i="40"/>
  <c r="L227" i="40"/>
  <c r="K227" i="40"/>
  <c r="J227" i="40"/>
  <c r="I227" i="40"/>
  <c r="H227" i="40"/>
  <c r="G227" i="40"/>
  <c r="F227" i="40"/>
  <c r="E227" i="40"/>
  <c r="C227" i="40"/>
  <c r="R226" i="40"/>
  <c r="B226" i="40" s="1"/>
  <c r="P226" i="40"/>
  <c r="L226" i="40"/>
  <c r="C226" i="40"/>
  <c r="R225" i="40"/>
  <c r="B225" i="40" s="1"/>
  <c r="P225" i="40"/>
  <c r="L225" i="40"/>
  <c r="C225" i="40"/>
  <c r="R224" i="40"/>
  <c r="B224" i="40" s="1"/>
  <c r="P224" i="40"/>
  <c r="L224" i="40"/>
  <c r="C224" i="40"/>
  <c r="R223" i="40"/>
  <c r="B223" i="40" s="1"/>
  <c r="P223" i="40"/>
  <c r="L223" i="40"/>
  <c r="C223" i="40"/>
  <c r="R222" i="40"/>
  <c r="B222" i="40" s="1"/>
  <c r="P222" i="40"/>
  <c r="L222" i="40"/>
  <c r="C222" i="40"/>
  <c r="R221" i="40"/>
  <c r="B221" i="40" s="1"/>
  <c r="P221" i="40"/>
  <c r="L221" i="40"/>
  <c r="C221" i="40"/>
  <c r="R220" i="40"/>
  <c r="B220" i="40" s="1"/>
  <c r="P220" i="40"/>
  <c r="L220" i="40"/>
  <c r="C220" i="40"/>
  <c r="R219" i="40"/>
  <c r="B219" i="40" s="1"/>
  <c r="P219" i="40"/>
  <c r="L219" i="40"/>
  <c r="C219" i="40"/>
  <c r="R218" i="40"/>
  <c r="B218" i="40" s="1"/>
  <c r="P218" i="40"/>
  <c r="L218" i="40"/>
  <c r="C218" i="40"/>
  <c r="R217" i="40"/>
  <c r="B217" i="40" s="1"/>
  <c r="P217" i="40"/>
  <c r="L217" i="40"/>
  <c r="C217" i="40"/>
  <c r="R216" i="40"/>
  <c r="B216" i="40" s="1"/>
  <c r="P216" i="40"/>
  <c r="L216" i="40"/>
  <c r="C216" i="40"/>
  <c r="R215" i="40"/>
  <c r="B215" i="40" s="1"/>
  <c r="P215" i="40"/>
  <c r="L215" i="40"/>
  <c r="C215" i="40"/>
  <c r="R214" i="40"/>
  <c r="B214" i="40" s="1"/>
  <c r="P214" i="40"/>
  <c r="L214" i="40"/>
  <c r="C214" i="40"/>
  <c r="R213" i="40"/>
  <c r="B213" i="40" s="1"/>
  <c r="P213" i="40"/>
  <c r="L213" i="40"/>
  <c r="C213" i="40"/>
  <c r="R212" i="40"/>
  <c r="B212" i="40" s="1"/>
  <c r="P212" i="40"/>
  <c r="L212" i="40"/>
  <c r="C212" i="40"/>
  <c r="R211" i="40"/>
  <c r="B211" i="40" s="1"/>
  <c r="P211" i="40"/>
  <c r="L211" i="40"/>
  <c r="C211" i="40"/>
  <c r="R210" i="40"/>
  <c r="B210" i="40" s="1"/>
  <c r="P210" i="40"/>
  <c r="L210" i="40"/>
  <c r="C210" i="40"/>
  <c r="R209" i="40"/>
  <c r="B209" i="40" s="1"/>
  <c r="P209" i="40"/>
  <c r="L209" i="40"/>
  <c r="C209" i="40"/>
  <c r="R208" i="40"/>
  <c r="B208" i="40" s="1"/>
  <c r="P208" i="40"/>
  <c r="L208" i="40"/>
  <c r="C208" i="40"/>
  <c r="R207" i="40"/>
  <c r="B207" i="40" s="1"/>
  <c r="P207" i="40"/>
  <c r="L207" i="40"/>
  <c r="C207" i="40"/>
  <c r="R206" i="40"/>
  <c r="B206" i="40" s="1"/>
  <c r="P206" i="40"/>
  <c r="L206" i="40"/>
  <c r="C206" i="40"/>
  <c r="R205" i="40"/>
  <c r="B205" i="40" s="1"/>
  <c r="P205" i="40"/>
  <c r="L205" i="40"/>
  <c r="C205" i="40"/>
  <c r="R204" i="40"/>
  <c r="B204" i="40" s="1"/>
  <c r="P204" i="40"/>
  <c r="L204" i="40"/>
  <c r="C204" i="40"/>
  <c r="R203" i="40"/>
  <c r="B203" i="40" s="1"/>
  <c r="P203" i="40"/>
  <c r="L203" i="40"/>
  <c r="C203" i="40"/>
  <c r="R202" i="40"/>
  <c r="B202" i="40" s="1"/>
  <c r="P202" i="40"/>
  <c r="L202" i="40"/>
  <c r="C202" i="40"/>
  <c r="R201" i="40"/>
  <c r="B201" i="40" s="1"/>
  <c r="P201" i="40"/>
  <c r="L201" i="40"/>
  <c r="C201" i="40"/>
  <c r="R200" i="40"/>
  <c r="B200" i="40" s="1"/>
  <c r="P200" i="40"/>
  <c r="L200" i="40"/>
  <c r="C200" i="40"/>
  <c r="R199" i="40"/>
  <c r="B199" i="40" s="1"/>
  <c r="P199" i="40"/>
  <c r="L199" i="40"/>
  <c r="C199" i="40"/>
  <c r="R198" i="40"/>
  <c r="B198" i="40" s="1"/>
  <c r="P198" i="40"/>
  <c r="L198" i="40"/>
  <c r="C198" i="40"/>
  <c r="R197" i="40"/>
  <c r="B197" i="40" s="1"/>
  <c r="P197" i="40"/>
  <c r="L197" i="40"/>
  <c r="K197" i="40"/>
  <c r="J197" i="40"/>
  <c r="I197" i="40"/>
  <c r="H197" i="40"/>
  <c r="G197" i="40"/>
  <c r="F197" i="40"/>
  <c r="E197" i="40"/>
  <c r="C197" i="40"/>
  <c r="R196" i="40"/>
  <c r="B196" i="40" s="1"/>
  <c r="P196" i="40"/>
  <c r="L196" i="40"/>
  <c r="C196" i="40"/>
  <c r="R195" i="40"/>
  <c r="B195" i="40" s="1"/>
  <c r="P195" i="40"/>
  <c r="L195" i="40"/>
  <c r="C195" i="40"/>
  <c r="R194" i="40"/>
  <c r="B194" i="40" s="1"/>
  <c r="P194" i="40"/>
  <c r="L194" i="40"/>
  <c r="C194" i="40"/>
  <c r="R193" i="40"/>
  <c r="B193" i="40" s="1"/>
  <c r="P193" i="40"/>
  <c r="L193" i="40"/>
  <c r="C193" i="40"/>
  <c r="R192" i="40"/>
  <c r="B192" i="40" s="1"/>
  <c r="P192" i="40"/>
  <c r="L192" i="40"/>
  <c r="C192" i="40"/>
  <c r="R191" i="40"/>
  <c r="B191" i="40" s="1"/>
  <c r="P191" i="40"/>
  <c r="L191" i="40"/>
  <c r="C191" i="40"/>
  <c r="R190" i="40"/>
  <c r="B190" i="40" s="1"/>
  <c r="P190" i="40"/>
  <c r="L190" i="40"/>
  <c r="C190" i="40"/>
  <c r="R189" i="40"/>
  <c r="B189" i="40" s="1"/>
  <c r="P189" i="40"/>
  <c r="L189" i="40"/>
  <c r="K189" i="40"/>
  <c r="J189" i="40"/>
  <c r="I189" i="40"/>
  <c r="H189" i="40"/>
  <c r="G189" i="40"/>
  <c r="F189" i="40"/>
  <c r="E189" i="40"/>
  <c r="C189" i="40"/>
  <c r="R188" i="40"/>
  <c r="B188" i="40" s="1"/>
  <c r="P188" i="40"/>
  <c r="L188" i="40"/>
  <c r="K188" i="40"/>
  <c r="J188" i="40"/>
  <c r="I188" i="40"/>
  <c r="H188" i="40"/>
  <c r="G188" i="40"/>
  <c r="F188" i="40"/>
  <c r="E188" i="40"/>
  <c r="C188" i="40"/>
  <c r="R187" i="40"/>
  <c r="B187" i="40" s="1"/>
  <c r="P187" i="40"/>
  <c r="L187" i="40"/>
  <c r="C187" i="40"/>
  <c r="R186" i="40"/>
  <c r="B186" i="40" s="1"/>
  <c r="P186" i="40"/>
  <c r="L186" i="40"/>
  <c r="K186" i="40"/>
  <c r="J186" i="40"/>
  <c r="I186" i="40"/>
  <c r="H186" i="40"/>
  <c r="G186" i="40"/>
  <c r="F186" i="40"/>
  <c r="E186" i="40"/>
  <c r="C186" i="40"/>
  <c r="R185" i="40"/>
  <c r="B185" i="40" s="1"/>
  <c r="P185" i="40"/>
  <c r="L185" i="40"/>
  <c r="C185" i="40"/>
  <c r="R184" i="40"/>
  <c r="B184" i="40" s="1"/>
  <c r="P184" i="40"/>
  <c r="L184" i="40"/>
  <c r="C184" i="40"/>
  <c r="R183" i="40"/>
  <c r="B183" i="40" s="1"/>
  <c r="P183" i="40"/>
  <c r="L183" i="40"/>
  <c r="C183" i="40"/>
  <c r="R182" i="40"/>
  <c r="B182" i="40" s="1"/>
  <c r="P182" i="40"/>
  <c r="L182" i="40"/>
  <c r="C182" i="40"/>
  <c r="R181" i="40"/>
  <c r="B181" i="40" s="1"/>
  <c r="P181" i="40"/>
  <c r="L181" i="40"/>
  <c r="K181" i="40"/>
  <c r="J181" i="40"/>
  <c r="I181" i="40"/>
  <c r="H181" i="40"/>
  <c r="G181" i="40"/>
  <c r="F181" i="40"/>
  <c r="E181" i="40"/>
  <c r="C181" i="40"/>
  <c r="R180" i="40"/>
  <c r="B180" i="40" s="1"/>
  <c r="P180" i="40"/>
  <c r="L180" i="40"/>
  <c r="C180" i="40"/>
  <c r="R179" i="40"/>
  <c r="B179" i="40" s="1"/>
  <c r="P179" i="40"/>
  <c r="L179" i="40"/>
  <c r="C179" i="40"/>
  <c r="R178" i="40"/>
  <c r="B178" i="40" s="1"/>
  <c r="P178" i="40"/>
  <c r="L178" i="40"/>
  <c r="C178" i="40"/>
  <c r="R177" i="40"/>
  <c r="B177" i="40" s="1"/>
  <c r="P177" i="40"/>
  <c r="L177" i="40"/>
  <c r="C177" i="40"/>
  <c r="R176" i="40"/>
  <c r="B176" i="40" s="1"/>
  <c r="P176" i="40"/>
  <c r="L176" i="40"/>
  <c r="C176" i="40"/>
  <c r="R175" i="40"/>
  <c r="B175" i="40" s="1"/>
  <c r="P175" i="40"/>
  <c r="L175" i="40"/>
  <c r="K175" i="40"/>
  <c r="J175" i="40"/>
  <c r="I175" i="40"/>
  <c r="H175" i="40"/>
  <c r="G175" i="40"/>
  <c r="F175" i="40"/>
  <c r="E175" i="40"/>
  <c r="C175" i="40"/>
  <c r="R174" i="40"/>
  <c r="B174" i="40" s="1"/>
  <c r="P174" i="40"/>
  <c r="L174" i="40"/>
  <c r="K174" i="40"/>
  <c r="J174" i="40"/>
  <c r="I174" i="40"/>
  <c r="H174" i="40"/>
  <c r="G174" i="40"/>
  <c r="F174" i="40"/>
  <c r="E174" i="40"/>
  <c r="C174" i="40"/>
  <c r="R173" i="40"/>
  <c r="B173" i="40" s="1"/>
  <c r="P173" i="40"/>
  <c r="L173" i="40"/>
  <c r="C173" i="40"/>
  <c r="R172" i="40"/>
  <c r="B172" i="40" s="1"/>
  <c r="P172" i="40"/>
  <c r="L172" i="40"/>
  <c r="C172" i="40"/>
  <c r="R171" i="40"/>
  <c r="B171" i="40" s="1"/>
  <c r="P171" i="40"/>
  <c r="L171" i="40"/>
  <c r="C171" i="40"/>
  <c r="R170" i="40"/>
  <c r="B170" i="40" s="1"/>
  <c r="P170" i="40"/>
  <c r="L170" i="40"/>
  <c r="C170" i="40"/>
  <c r="R169" i="40"/>
  <c r="B169" i="40" s="1"/>
  <c r="P169" i="40"/>
  <c r="L169" i="40"/>
  <c r="C169" i="40"/>
  <c r="R168" i="40"/>
  <c r="B168" i="40" s="1"/>
  <c r="P168" i="40"/>
  <c r="L168" i="40"/>
  <c r="C168" i="40"/>
  <c r="R167" i="40"/>
  <c r="B167" i="40" s="1"/>
  <c r="P167" i="40"/>
  <c r="L167" i="40"/>
  <c r="C167" i="40"/>
  <c r="R166" i="40"/>
  <c r="B166" i="40" s="1"/>
  <c r="P166" i="40"/>
  <c r="L166" i="40"/>
  <c r="C166" i="40"/>
  <c r="R165" i="40"/>
  <c r="B165" i="40" s="1"/>
  <c r="P165" i="40"/>
  <c r="L165" i="40"/>
  <c r="C165" i="40"/>
  <c r="R164" i="40"/>
  <c r="B164" i="40" s="1"/>
  <c r="P164" i="40"/>
  <c r="L164" i="40"/>
  <c r="K164" i="40"/>
  <c r="J164" i="40"/>
  <c r="I164" i="40"/>
  <c r="H164" i="40"/>
  <c r="G164" i="40"/>
  <c r="F164" i="40"/>
  <c r="E164" i="40"/>
  <c r="C164" i="40"/>
  <c r="R163" i="40"/>
  <c r="B163" i="40" s="1"/>
  <c r="P163" i="40"/>
  <c r="L163" i="40"/>
  <c r="C163" i="40"/>
  <c r="R162" i="40"/>
  <c r="B162" i="40" s="1"/>
  <c r="P162" i="40"/>
  <c r="L162" i="40"/>
  <c r="C162" i="40"/>
  <c r="R161" i="40"/>
  <c r="B161" i="40" s="1"/>
  <c r="P161" i="40"/>
  <c r="L161" i="40"/>
  <c r="K161" i="40"/>
  <c r="J161" i="40"/>
  <c r="I161" i="40"/>
  <c r="H161" i="40"/>
  <c r="G161" i="40"/>
  <c r="F161" i="40"/>
  <c r="E161" i="40"/>
  <c r="C161" i="40"/>
  <c r="R160" i="40"/>
  <c r="B160" i="40" s="1"/>
  <c r="P160" i="40"/>
  <c r="L160" i="40"/>
  <c r="C160" i="40"/>
  <c r="R159" i="40"/>
  <c r="B159" i="40" s="1"/>
  <c r="P159" i="40"/>
  <c r="L159" i="40"/>
  <c r="C159" i="40"/>
  <c r="R158" i="40"/>
  <c r="B158" i="40" s="1"/>
  <c r="P158" i="40"/>
  <c r="L158" i="40"/>
  <c r="C158" i="40"/>
  <c r="R157" i="40"/>
  <c r="B157" i="40" s="1"/>
  <c r="P157" i="40"/>
  <c r="L157" i="40"/>
  <c r="C157" i="40"/>
  <c r="R156" i="40"/>
  <c r="B156" i="40" s="1"/>
  <c r="P156" i="40"/>
  <c r="L156" i="40"/>
  <c r="K156" i="40"/>
  <c r="J156" i="40"/>
  <c r="I156" i="40"/>
  <c r="H156" i="40"/>
  <c r="G156" i="40"/>
  <c r="F156" i="40"/>
  <c r="E156" i="40"/>
  <c r="C156" i="40"/>
  <c r="R155" i="40"/>
  <c r="B155" i="40" s="1"/>
  <c r="P155" i="40"/>
  <c r="L155" i="40"/>
  <c r="K155" i="40"/>
  <c r="J155" i="40"/>
  <c r="I155" i="40"/>
  <c r="H155" i="40"/>
  <c r="G155" i="40"/>
  <c r="F155" i="40"/>
  <c r="E155" i="40"/>
  <c r="C155" i="40"/>
  <c r="R154" i="40"/>
  <c r="B154" i="40" s="1"/>
  <c r="P154" i="40"/>
  <c r="L154" i="40"/>
  <c r="C154" i="40"/>
  <c r="R153" i="40"/>
  <c r="B153" i="40" s="1"/>
  <c r="P153" i="40"/>
  <c r="L153" i="40"/>
  <c r="C153" i="40"/>
  <c r="R152" i="40"/>
  <c r="B152" i="40" s="1"/>
  <c r="P152" i="40"/>
  <c r="L152" i="40"/>
  <c r="C152" i="40"/>
  <c r="R151" i="40"/>
  <c r="B151" i="40" s="1"/>
  <c r="P151" i="40"/>
  <c r="L151" i="40"/>
  <c r="K151" i="40"/>
  <c r="J151" i="40"/>
  <c r="I151" i="40"/>
  <c r="H151" i="40"/>
  <c r="G151" i="40"/>
  <c r="F151" i="40"/>
  <c r="E151" i="40"/>
  <c r="C151" i="40"/>
  <c r="R150" i="40"/>
  <c r="B150" i="40" s="1"/>
  <c r="P150" i="40"/>
  <c r="L150" i="40"/>
  <c r="K150" i="40"/>
  <c r="J150" i="40"/>
  <c r="I150" i="40"/>
  <c r="H150" i="40"/>
  <c r="G150" i="40"/>
  <c r="F150" i="40"/>
  <c r="E150" i="40"/>
  <c r="C150" i="40"/>
  <c r="R149" i="40"/>
  <c r="B149" i="40" s="1"/>
  <c r="P149" i="40"/>
  <c r="L149" i="40"/>
  <c r="K149" i="40"/>
  <c r="J149" i="40"/>
  <c r="I149" i="40"/>
  <c r="H149" i="40"/>
  <c r="G149" i="40"/>
  <c r="F149" i="40"/>
  <c r="E149" i="40"/>
  <c r="C149" i="40"/>
  <c r="R148" i="40"/>
  <c r="B148" i="40" s="1"/>
  <c r="P148" i="40"/>
  <c r="L148" i="40"/>
  <c r="C148" i="40"/>
  <c r="R147" i="40"/>
  <c r="B147" i="40" s="1"/>
  <c r="P147" i="40"/>
  <c r="L147" i="40"/>
  <c r="K147" i="40"/>
  <c r="J147" i="40"/>
  <c r="I147" i="40"/>
  <c r="H147" i="40"/>
  <c r="G147" i="40"/>
  <c r="F147" i="40"/>
  <c r="E147" i="40"/>
  <c r="C147" i="40"/>
  <c r="R146" i="40"/>
  <c r="B146" i="40" s="1"/>
  <c r="P146" i="40"/>
  <c r="L146" i="40"/>
  <c r="C146" i="40"/>
  <c r="R145" i="40"/>
  <c r="B145" i="40" s="1"/>
  <c r="P145" i="40"/>
  <c r="L145" i="40"/>
  <c r="C145" i="40"/>
  <c r="R144" i="40"/>
  <c r="B144" i="40" s="1"/>
  <c r="P144" i="40"/>
  <c r="L144" i="40"/>
  <c r="K144" i="40"/>
  <c r="J144" i="40"/>
  <c r="I144" i="40"/>
  <c r="H144" i="40"/>
  <c r="G144" i="40"/>
  <c r="F144" i="40"/>
  <c r="E144" i="40"/>
  <c r="C144" i="40"/>
  <c r="R143" i="40"/>
  <c r="B143" i="40" s="1"/>
  <c r="P143" i="40"/>
  <c r="L143" i="40"/>
  <c r="K143" i="40"/>
  <c r="J143" i="40"/>
  <c r="I143" i="40"/>
  <c r="H143" i="40"/>
  <c r="G143" i="40"/>
  <c r="F143" i="40"/>
  <c r="E143" i="40"/>
  <c r="C143" i="40"/>
  <c r="R142" i="40"/>
  <c r="B142" i="40" s="1"/>
  <c r="P142" i="40"/>
  <c r="L142" i="40"/>
  <c r="C142" i="40"/>
  <c r="R141" i="40"/>
  <c r="B141" i="40" s="1"/>
  <c r="P141" i="40"/>
  <c r="L141" i="40"/>
  <c r="C141" i="40"/>
  <c r="R140" i="40"/>
  <c r="B140" i="40" s="1"/>
  <c r="P140" i="40"/>
  <c r="L140" i="40"/>
  <c r="C140" i="40"/>
  <c r="R139" i="40"/>
  <c r="B139" i="40" s="1"/>
  <c r="P139" i="40"/>
  <c r="L139" i="40"/>
  <c r="C139" i="40"/>
  <c r="R138" i="40"/>
  <c r="B138" i="40" s="1"/>
  <c r="P138" i="40"/>
  <c r="L138" i="40"/>
  <c r="K138" i="40"/>
  <c r="J138" i="40"/>
  <c r="I138" i="40"/>
  <c r="H138" i="40"/>
  <c r="G138" i="40"/>
  <c r="F138" i="40"/>
  <c r="E138" i="40"/>
  <c r="C138" i="40"/>
  <c r="R137" i="40"/>
  <c r="B137" i="40" s="1"/>
  <c r="P137" i="40"/>
  <c r="L137" i="40"/>
  <c r="C137" i="40"/>
  <c r="R136" i="40"/>
  <c r="B136" i="40" s="1"/>
  <c r="P136" i="40"/>
  <c r="L136" i="40"/>
  <c r="C136" i="40"/>
  <c r="R135" i="40"/>
  <c r="B135" i="40" s="1"/>
  <c r="P135" i="40"/>
  <c r="L135" i="40"/>
  <c r="C135" i="40"/>
  <c r="R134" i="40"/>
  <c r="B134" i="40" s="1"/>
  <c r="P134" i="40"/>
  <c r="L134" i="40"/>
  <c r="C134" i="40"/>
  <c r="R133" i="40"/>
  <c r="B133" i="40" s="1"/>
  <c r="P133" i="40"/>
  <c r="L133" i="40"/>
  <c r="C133" i="40"/>
  <c r="R132" i="40"/>
  <c r="B132" i="40" s="1"/>
  <c r="P132" i="40"/>
  <c r="L132" i="40"/>
  <c r="K132" i="40"/>
  <c r="J132" i="40"/>
  <c r="I132" i="40"/>
  <c r="H132" i="40"/>
  <c r="G132" i="40"/>
  <c r="F132" i="40"/>
  <c r="E132" i="40"/>
  <c r="C132" i="40"/>
  <c r="R131" i="40"/>
  <c r="B131" i="40" s="1"/>
  <c r="P131" i="40"/>
  <c r="L131" i="40"/>
  <c r="K131" i="40"/>
  <c r="J131" i="40"/>
  <c r="I131" i="40"/>
  <c r="H131" i="40"/>
  <c r="G131" i="40"/>
  <c r="F131" i="40"/>
  <c r="E131" i="40"/>
  <c r="C131" i="40"/>
  <c r="R130" i="40"/>
  <c r="B130" i="40" s="1"/>
  <c r="P130" i="40"/>
  <c r="L130" i="40"/>
  <c r="K130" i="40"/>
  <c r="J130" i="40"/>
  <c r="I130" i="40"/>
  <c r="H130" i="40"/>
  <c r="G130" i="40"/>
  <c r="F130" i="40"/>
  <c r="E130" i="40"/>
  <c r="C130" i="40"/>
  <c r="R129" i="40"/>
  <c r="B129" i="40" s="1"/>
  <c r="P129" i="40"/>
  <c r="L129" i="40"/>
  <c r="K129" i="40"/>
  <c r="J129" i="40"/>
  <c r="I129" i="40"/>
  <c r="H129" i="40"/>
  <c r="G129" i="40"/>
  <c r="F129" i="40"/>
  <c r="E129" i="40"/>
  <c r="C129" i="40"/>
  <c r="R128" i="40"/>
  <c r="B128" i="40" s="1"/>
  <c r="P128" i="40"/>
  <c r="L128" i="40"/>
  <c r="K128" i="40"/>
  <c r="J128" i="40"/>
  <c r="I128" i="40"/>
  <c r="H128" i="40"/>
  <c r="G128" i="40"/>
  <c r="F128" i="40"/>
  <c r="E128" i="40"/>
  <c r="C128" i="40"/>
  <c r="R127" i="40"/>
  <c r="B127" i="40" s="1"/>
  <c r="P127" i="40"/>
  <c r="L127" i="40"/>
  <c r="C127" i="40"/>
  <c r="R126" i="40"/>
  <c r="B126" i="40" s="1"/>
  <c r="P126" i="40"/>
  <c r="L126" i="40"/>
  <c r="C126" i="40"/>
  <c r="R125" i="40"/>
  <c r="B125" i="40" s="1"/>
  <c r="P125" i="40"/>
  <c r="L125" i="40"/>
  <c r="C125" i="40"/>
  <c r="R124" i="40"/>
  <c r="B124" i="40" s="1"/>
  <c r="P124" i="40"/>
  <c r="L124" i="40"/>
  <c r="C124" i="40"/>
  <c r="R123" i="40"/>
  <c r="B123" i="40" s="1"/>
  <c r="P123" i="40"/>
  <c r="L123" i="40"/>
  <c r="C123" i="40"/>
  <c r="R122" i="40"/>
  <c r="B122" i="40" s="1"/>
  <c r="P122" i="40"/>
  <c r="L122" i="40"/>
  <c r="C122" i="40"/>
  <c r="R121" i="40"/>
  <c r="B121" i="40" s="1"/>
  <c r="P121" i="40"/>
  <c r="L121" i="40"/>
  <c r="C121" i="40"/>
  <c r="R120" i="40"/>
  <c r="B120" i="40" s="1"/>
  <c r="P120" i="40"/>
  <c r="L120" i="40"/>
  <c r="C120" i="40"/>
  <c r="R119" i="40"/>
  <c r="B119" i="40" s="1"/>
  <c r="P119" i="40"/>
  <c r="L119" i="40"/>
  <c r="C119" i="40"/>
  <c r="R118" i="40"/>
  <c r="B118" i="40" s="1"/>
  <c r="P118" i="40"/>
  <c r="L118" i="40"/>
  <c r="C118" i="40"/>
  <c r="R117" i="40"/>
  <c r="B117" i="40" s="1"/>
  <c r="P117" i="40"/>
  <c r="L117" i="40"/>
  <c r="K117" i="40"/>
  <c r="J117" i="40"/>
  <c r="I117" i="40"/>
  <c r="H117" i="40"/>
  <c r="G117" i="40"/>
  <c r="F117" i="40"/>
  <c r="E117" i="40"/>
  <c r="C117" i="40"/>
  <c r="R116" i="40"/>
  <c r="B116" i="40" s="1"/>
  <c r="P116" i="40"/>
  <c r="L116" i="40"/>
  <c r="C116" i="40"/>
  <c r="R115" i="40"/>
  <c r="B115" i="40" s="1"/>
  <c r="P115" i="40"/>
  <c r="L115" i="40"/>
  <c r="C115" i="40"/>
  <c r="R114" i="40"/>
  <c r="B114" i="40" s="1"/>
  <c r="P114" i="40"/>
  <c r="L114" i="40"/>
  <c r="K114" i="40"/>
  <c r="J114" i="40"/>
  <c r="I114" i="40"/>
  <c r="H114" i="40"/>
  <c r="G114" i="40"/>
  <c r="F114" i="40"/>
  <c r="E114" i="40"/>
  <c r="C114" i="40"/>
  <c r="R113" i="40"/>
  <c r="B113" i="40" s="1"/>
  <c r="P113" i="40"/>
  <c r="L113" i="40"/>
  <c r="C113" i="40"/>
  <c r="R112" i="40"/>
  <c r="B112" i="40" s="1"/>
  <c r="P112" i="40"/>
  <c r="L112" i="40"/>
  <c r="C112" i="40"/>
  <c r="R111" i="40"/>
  <c r="B111" i="40" s="1"/>
  <c r="P111" i="40"/>
  <c r="L111" i="40"/>
  <c r="K111" i="40"/>
  <c r="J111" i="40"/>
  <c r="I111" i="40"/>
  <c r="H111" i="40"/>
  <c r="G111" i="40"/>
  <c r="F111" i="40"/>
  <c r="E111" i="40"/>
  <c r="C111" i="40"/>
  <c r="R110" i="40"/>
  <c r="B110" i="40" s="1"/>
  <c r="P110" i="40"/>
  <c r="L110" i="40"/>
  <c r="C110" i="40"/>
  <c r="R109" i="40"/>
  <c r="B109" i="40" s="1"/>
  <c r="P109" i="40"/>
  <c r="L109" i="40"/>
  <c r="C109" i="40"/>
  <c r="R108" i="40"/>
  <c r="B108" i="40" s="1"/>
  <c r="P108" i="40"/>
  <c r="L108" i="40"/>
  <c r="K108" i="40"/>
  <c r="J108" i="40"/>
  <c r="I108" i="40"/>
  <c r="H108" i="40"/>
  <c r="G108" i="40"/>
  <c r="F108" i="40"/>
  <c r="E108" i="40"/>
  <c r="C108" i="40"/>
  <c r="R107" i="40"/>
  <c r="B107" i="40" s="1"/>
  <c r="P107" i="40"/>
  <c r="L107" i="40"/>
  <c r="K107" i="40"/>
  <c r="J107" i="40"/>
  <c r="I107" i="40"/>
  <c r="H107" i="40"/>
  <c r="G107" i="40"/>
  <c r="F107" i="40"/>
  <c r="E107" i="40"/>
  <c r="C107" i="40"/>
  <c r="R106" i="40"/>
  <c r="B106" i="40" s="1"/>
  <c r="P106" i="40"/>
  <c r="L106" i="40"/>
  <c r="K106" i="40"/>
  <c r="J106" i="40"/>
  <c r="I106" i="40"/>
  <c r="H106" i="40"/>
  <c r="G106" i="40"/>
  <c r="F106" i="40"/>
  <c r="E106" i="40"/>
  <c r="C106" i="40"/>
  <c r="R105" i="40"/>
  <c r="B105" i="40" s="1"/>
  <c r="P105" i="40"/>
  <c r="L105" i="40"/>
  <c r="K105" i="40"/>
  <c r="J105" i="40"/>
  <c r="I105" i="40"/>
  <c r="H105" i="40"/>
  <c r="G105" i="40"/>
  <c r="F105" i="40"/>
  <c r="E105" i="40"/>
  <c r="C105" i="40"/>
  <c r="R104" i="40"/>
  <c r="B104" i="40" s="1"/>
  <c r="P104" i="40"/>
  <c r="L104" i="40"/>
  <c r="C104" i="40"/>
  <c r="R103" i="40"/>
  <c r="B103" i="40" s="1"/>
  <c r="P103" i="40"/>
  <c r="L103" i="40"/>
  <c r="K103" i="40"/>
  <c r="J103" i="40"/>
  <c r="I103" i="40"/>
  <c r="H103" i="40"/>
  <c r="G103" i="40"/>
  <c r="F103" i="40"/>
  <c r="E103" i="40"/>
  <c r="C103" i="40"/>
  <c r="R102" i="40"/>
  <c r="B102" i="40" s="1"/>
  <c r="P102" i="40"/>
  <c r="L102" i="40"/>
  <c r="K102" i="40"/>
  <c r="J102" i="40"/>
  <c r="I102" i="40"/>
  <c r="H102" i="40"/>
  <c r="G102" i="40"/>
  <c r="F102" i="40"/>
  <c r="E102" i="40"/>
  <c r="C102" i="40"/>
  <c r="R101" i="40"/>
  <c r="B101" i="40" s="1"/>
  <c r="P101" i="40"/>
  <c r="L101" i="40"/>
  <c r="C101" i="40"/>
  <c r="R100" i="40"/>
  <c r="B100" i="40" s="1"/>
  <c r="P100" i="40"/>
  <c r="L100" i="40"/>
  <c r="K100" i="40"/>
  <c r="J100" i="40"/>
  <c r="I100" i="40"/>
  <c r="H100" i="40"/>
  <c r="G100" i="40"/>
  <c r="F100" i="40"/>
  <c r="E100" i="40"/>
  <c r="C100" i="40"/>
  <c r="R99" i="40"/>
  <c r="B99" i="40" s="1"/>
  <c r="P99" i="40"/>
  <c r="L99" i="40"/>
  <c r="C99" i="40"/>
  <c r="R98" i="40"/>
  <c r="B98" i="40" s="1"/>
  <c r="P98" i="40"/>
  <c r="L98" i="40"/>
  <c r="C98" i="40"/>
  <c r="R97" i="40"/>
  <c r="B97" i="40" s="1"/>
  <c r="P97" i="40"/>
  <c r="L97" i="40"/>
  <c r="C97" i="40"/>
  <c r="R96" i="40"/>
  <c r="B96" i="40" s="1"/>
  <c r="P96" i="40"/>
  <c r="L96" i="40"/>
  <c r="K96" i="40"/>
  <c r="J96" i="40"/>
  <c r="I96" i="40"/>
  <c r="H96" i="40"/>
  <c r="G96" i="40"/>
  <c r="F96" i="40"/>
  <c r="E96" i="40"/>
  <c r="C96" i="40"/>
  <c r="R95" i="40"/>
  <c r="B95" i="40" s="1"/>
  <c r="P95" i="40"/>
  <c r="L95" i="40"/>
  <c r="K95" i="40"/>
  <c r="J95" i="40"/>
  <c r="I95" i="40"/>
  <c r="H95" i="40"/>
  <c r="G95" i="40"/>
  <c r="F95" i="40"/>
  <c r="E95" i="40"/>
  <c r="C95" i="40"/>
  <c r="R94" i="40"/>
  <c r="B94" i="40" s="1"/>
  <c r="P94" i="40"/>
  <c r="L94" i="40"/>
  <c r="C94" i="40"/>
  <c r="R93" i="40"/>
  <c r="B93" i="40" s="1"/>
  <c r="P93" i="40"/>
  <c r="L93" i="40"/>
  <c r="C93" i="40"/>
  <c r="R92" i="40"/>
  <c r="B92" i="40" s="1"/>
  <c r="P92" i="40"/>
  <c r="L92" i="40"/>
  <c r="C92" i="40"/>
  <c r="R91" i="40"/>
  <c r="B91" i="40" s="1"/>
  <c r="P91" i="40"/>
  <c r="L91" i="40"/>
  <c r="C91" i="40"/>
  <c r="R90" i="40"/>
  <c r="B90" i="40" s="1"/>
  <c r="P90" i="40"/>
  <c r="L90" i="40"/>
  <c r="C90" i="40"/>
  <c r="R89" i="40"/>
  <c r="B89" i="40" s="1"/>
  <c r="P89" i="40"/>
  <c r="L89" i="40"/>
  <c r="C89" i="40"/>
  <c r="R88" i="40"/>
  <c r="B88" i="40" s="1"/>
  <c r="P88" i="40"/>
  <c r="L88" i="40"/>
  <c r="C88" i="40"/>
  <c r="R87" i="40"/>
  <c r="B87" i="40" s="1"/>
  <c r="P87" i="40"/>
  <c r="L87" i="40"/>
  <c r="K87" i="40"/>
  <c r="J87" i="40"/>
  <c r="I87" i="40"/>
  <c r="H87" i="40"/>
  <c r="G87" i="40"/>
  <c r="F87" i="40"/>
  <c r="E87" i="40"/>
  <c r="C87" i="40"/>
  <c r="R86" i="40"/>
  <c r="B86" i="40" s="1"/>
  <c r="P86" i="40"/>
  <c r="L86" i="40"/>
  <c r="C86" i="40"/>
  <c r="R85" i="40"/>
  <c r="B85" i="40" s="1"/>
  <c r="P85" i="40"/>
  <c r="L85" i="40"/>
  <c r="K85" i="40"/>
  <c r="J85" i="40"/>
  <c r="I85" i="40"/>
  <c r="H85" i="40"/>
  <c r="G85" i="40"/>
  <c r="F85" i="40"/>
  <c r="E85" i="40"/>
  <c r="C85" i="40"/>
  <c r="R84" i="40"/>
  <c r="B84" i="40" s="1"/>
  <c r="P84" i="40"/>
  <c r="L84" i="40"/>
  <c r="C84" i="40"/>
  <c r="R83" i="40"/>
  <c r="B83" i="40" s="1"/>
  <c r="P83" i="40"/>
  <c r="L83" i="40"/>
  <c r="C83" i="40"/>
  <c r="R82" i="40"/>
  <c r="B82" i="40" s="1"/>
  <c r="P82" i="40"/>
  <c r="L82" i="40"/>
  <c r="C82" i="40"/>
  <c r="R81" i="40"/>
  <c r="B81" i="40" s="1"/>
  <c r="P81" i="40"/>
  <c r="L81" i="40"/>
  <c r="C81" i="40"/>
  <c r="R80" i="40"/>
  <c r="B80" i="40" s="1"/>
  <c r="P80" i="40"/>
  <c r="L80" i="40"/>
  <c r="K80" i="40"/>
  <c r="J80" i="40"/>
  <c r="I80" i="40"/>
  <c r="H80" i="40"/>
  <c r="G80" i="40"/>
  <c r="F80" i="40"/>
  <c r="E80" i="40"/>
  <c r="C80" i="40"/>
  <c r="R79" i="40"/>
  <c r="B79" i="40" s="1"/>
  <c r="P79" i="40"/>
  <c r="L79" i="40"/>
  <c r="C79" i="40"/>
  <c r="R78" i="40"/>
  <c r="B78" i="40" s="1"/>
  <c r="P78" i="40"/>
  <c r="L78" i="40"/>
  <c r="C78" i="40"/>
  <c r="R77" i="40"/>
  <c r="B77" i="40" s="1"/>
  <c r="P77" i="40"/>
  <c r="L77" i="40"/>
  <c r="K77" i="40"/>
  <c r="J77" i="40"/>
  <c r="I77" i="40"/>
  <c r="H77" i="40"/>
  <c r="G77" i="40"/>
  <c r="F77" i="40"/>
  <c r="E77" i="40"/>
  <c r="C77" i="40"/>
  <c r="R76" i="40"/>
  <c r="B76" i="40" s="1"/>
  <c r="P76" i="40"/>
  <c r="L76" i="40"/>
  <c r="C76" i="40"/>
  <c r="R75" i="40"/>
  <c r="B75" i="40" s="1"/>
  <c r="P75" i="40"/>
  <c r="L75" i="40"/>
  <c r="C75" i="40"/>
  <c r="R74" i="40"/>
  <c r="B74" i="40" s="1"/>
  <c r="P74" i="40"/>
  <c r="L74" i="40"/>
  <c r="C74" i="40"/>
  <c r="R73" i="40"/>
  <c r="B73" i="40" s="1"/>
  <c r="P73" i="40"/>
  <c r="L73" i="40"/>
  <c r="C73" i="40"/>
  <c r="R72" i="40"/>
  <c r="B72" i="40" s="1"/>
  <c r="P72" i="40"/>
  <c r="L72" i="40"/>
  <c r="C72" i="40"/>
  <c r="R71" i="40"/>
  <c r="B71" i="40" s="1"/>
  <c r="P71" i="40"/>
  <c r="L71" i="40"/>
  <c r="C71" i="40"/>
  <c r="R70" i="40"/>
  <c r="B70" i="40" s="1"/>
  <c r="P70" i="40"/>
  <c r="L70" i="40"/>
  <c r="C70" i="40"/>
  <c r="R69" i="40"/>
  <c r="B69" i="40" s="1"/>
  <c r="P69" i="40"/>
  <c r="L69" i="40"/>
  <c r="C69" i="40"/>
  <c r="R68" i="40"/>
  <c r="B68" i="40" s="1"/>
  <c r="P68" i="40"/>
  <c r="L68" i="40"/>
  <c r="C68" i="40"/>
  <c r="R67" i="40"/>
  <c r="B67" i="40" s="1"/>
  <c r="P67" i="40"/>
  <c r="L67" i="40"/>
  <c r="K67" i="40"/>
  <c r="J67" i="40"/>
  <c r="I67" i="40"/>
  <c r="H67" i="40"/>
  <c r="G67" i="40"/>
  <c r="F67" i="40"/>
  <c r="E67" i="40"/>
  <c r="C67" i="40"/>
  <c r="R66" i="40"/>
  <c r="B66" i="40" s="1"/>
  <c r="P66" i="40"/>
  <c r="L66" i="40"/>
  <c r="C66" i="40"/>
  <c r="R65" i="40"/>
  <c r="B65" i="40" s="1"/>
  <c r="P65" i="40"/>
  <c r="L65" i="40"/>
  <c r="C65" i="40"/>
  <c r="R64" i="40"/>
  <c r="B64" i="40" s="1"/>
  <c r="P64" i="40"/>
  <c r="L64" i="40"/>
  <c r="C64" i="40"/>
  <c r="R63" i="40"/>
  <c r="B63" i="40" s="1"/>
  <c r="P63" i="40"/>
  <c r="L63" i="40"/>
  <c r="C63" i="40"/>
  <c r="R62" i="40"/>
  <c r="B62" i="40" s="1"/>
  <c r="P62" i="40"/>
  <c r="L62" i="40"/>
  <c r="C62" i="40"/>
  <c r="R61" i="40"/>
  <c r="B61" i="40" s="1"/>
  <c r="P61" i="40"/>
  <c r="L61" i="40"/>
  <c r="K61" i="40"/>
  <c r="J61" i="40"/>
  <c r="I61" i="40"/>
  <c r="H61" i="40"/>
  <c r="G61" i="40"/>
  <c r="F61" i="40"/>
  <c r="E61" i="40"/>
  <c r="C61" i="40"/>
  <c r="R60" i="40"/>
  <c r="B60" i="40" s="1"/>
  <c r="P60" i="40"/>
  <c r="L60" i="40"/>
  <c r="C60" i="40"/>
  <c r="R59" i="40"/>
  <c r="B59" i="40" s="1"/>
  <c r="P59" i="40"/>
  <c r="L59" i="40"/>
  <c r="C59" i="40"/>
  <c r="R58" i="40"/>
  <c r="B58" i="40" s="1"/>
  <c r="P58" i="40"/>
  <c r="L58" i="40"/>
  <c r="C58" i="40"/>
  <c r="R57" i="40"/>
  <c r="B57" i="40" s="1"/>
  <c r="P57" i="40"/>
  <c r="L57" i="40"/>
  <c r="C57" i="40"/>
  <c r="R56" i="40"/>
  <c r="B56" i="40" s="1"/>
  <c r="P56" i="40"/>
  <c r="L56" i="40"/>
  <c r="K56" i="40"/>
  <c r="J56" i="40"/>
  <c r="I56" i="40"/>
  <c r="H56" i="40"/>
  <c r="G56" i="40"/>
  <c r="F56" i="40"/>
  <c r="E56" i="40"/>
  <c r="C56" i="40"/>
  <c r="R55" i="40"/>
  <c r="B55" i="40" s="1"/>
  <c r="P55" i="40"/>
  <c r="L55" i="40"/>
  <c r="C55" i="40"/>
  <c r="R54" i="40"/>
  <c r="B54" i="40" s="1"/>
  <c r="P54" i="40"/>
  <c r="L54" i="40"/>
  <c r="K54" i="40"/>
  <c r="J54" i="40"/>
  <c r="I54" i="40"/>
  <c r="H54" i="40"/>
  <c r="G54" i="40"/>
  <c r="F54" i="40"/>
  <c r="E54" i="40"/>
  <c r="C54" i="40"/>
  <c r="R53" i="40"/>
  <c r="B53" i="40" s="1"/>
  <c r="P53" i="40"/>
  <c r="L53" i="40"/>
  <c r="C53" i="40"/>
  <c r="R52" i="40"/>
  <c r="B52" i="40" s="1"/>
  <c r="P52" i="40"/>
  <c r="L52" i="40"/>
  <c r="C52" i="40"/>
  <c r="R51" i="40"/>
  <c r="B51" i="40" s="1"/>
  <c r="P51" i="40"/>
  <c r="L51" i="40"/>
  <c r="C51" i="40"/>
  <c r="R50" i="40"/>
  <c r="B50" i="40" s="1"/>
  <c r="P50" i="40"/>
  <c r="L50" i="40"/>
  <c r="C50" i="40"/>
  <c r="R49" i="40"/>
  <c r="B49" i="40" s="1"/>
  <c r="P49" i="40"/>
  <c r="L49" i="40"/>
  <c r="C49" i="40"/>
  <c r="R48" i="40"/>
  <c r="B48" i="40" s="1"/>
  <c r="P48" i="40"/>
  <c r="L48" i="40"/>
  <c r="C48" i="40"/>
  <c r="R47" i="40"/>
  <c r="B47" i="40" s="1"/>
  <c r="P47" i="40"/>
  <c r="L47" i="40"/>
  <c r="C47" i="40"/>
  <c r="R46" i="40"/>
  <c r="B46" i="40" s="1"/>
  <c r="P46" i="40"/>
  <c r="L46" i="40"/>
  <c r="C46" i="40"/>
  <c r="R45" i="40"/>
  <c r="B45" i="40" s="1"/>
  <c r="P45" i="40"/>
  <c r="L45" i="40"/>
  <c r="K45" i="40"/>
  <c r="J45" i="40"/>
  <c r="I45" i="40"/>
  <c r="H45" i="40"/>
  <c r="G45" i="40"/>
  <c r="F45" i="40"/>
  <c r="E45" i="40"/>
  <c r="C45" i="40"/>
  <c r="R44" i="40"/>
  <c r="B44" i="40" s="1"/>
  <c r="P44" i="40"/>
  <c r="L44" i="40"/>
  <c r="C44" i="40"/>
  <c r="R43" i="40"/>
  <c r="B43" i="40" s="1"/>
  <c r="P43" i="40"/>
  <c r="L43" i="40"/>
  <c r="C43" i="40"/>
  <c r="R42" i="40"/>
  <c r="B42" i="40" s="1"/>
  <c r="P42" i="40"/>
  <c r="L42" i="40"/>
  <c r="C42" i="40"/>
  <c r="R41" i="40"/>
  <c r="B41" i="40" s="1"/>
  <c r="P41" i="40"/>
  <c r="L41" i="40"/>
  <c r="C41" i="40"/>
  <c r="R40" i="40"/>
  <c r="B40" i="40" s="1"/>
  <c r="P40" i="40"/>
  <c r="L40" i="40"/>
  <c r="C40" i="40"/>
  <c r="R39" i="40"/>
  <c r="B39" i="40" s="1"/>
  <c r="P39" i="40"/>
  <c r="L39" i="40"/>
  <c r="C39" i="40"/>
  <c r="R38" i="40"/>
  <c r="B38" i="40" s="1"/>
  <c r="P38" i="40"/>
  <c r="L38" i="40"/>
  <c r="C38" i="40"/>
  <c r="R37" i="40"/>
  <c r="B37" i="40" s="1"/>
  <c r="P37" i="40"/>
  <c r="L37" i="40"/>
  <c r="C37" i="40"/>
  <c r="R36" i="40"/>
  <c r="B36" i="40" s="1"/>
  <c r="P36" i="40"/>
  <c r="L36" i="40"/>
  <c r="C36" i="40"/>
  <c r="R35" i="40"/>
  <c r="B35" i="40" s="1"/>
  <c r="P35" i="40"/>
  <c r="L35" i="40"/>
  <c r="C35" i="40"/>
  <c r="R34" i="40"/>
  <c r="B34" i="40" s="1"/>
  <c r="P34" i="40"/>
  <c r="L34" i="40"/>
  <c r="K34" i="40"/>
  <c r="J34" i="40"/>
  <c r="I34" i="40"/>
  <c r="H34" i="40"/>
  <c r="G34" i="40"/>
  <c r="F34" i="40"/>
  <c r="E34" i="40"/>
  <c r="C34" i="40"/>
  <c r="R33" i="40"/>
  <c r="B33" i="40" s="1"/>
  <c r="P33" i="40"/>
  <c r="L33" i="40"/>
  <c r="C33" i="40"/>
  <c r="R32" i="40"/>
  <c r="B32" i="40" s="1"/>
  <c r="P32" i="40"/>
  <c r="L32" i="40"/>
  <c r="C32" i="40"/>
  <c r="R31" i="40"/>
  <c r="B31" i="40" s="1"/>
  <c r="P31" i="40"/>
  <c r="L31" i="40"/>
  <c r="C31" i="40"/>
  <c r="R30" i="40"/>
  <c r="B30" i="40" s="1"/>
  <c r="P30" i="40"/>
  <c r="L30" i="40"/>
  <c r="C30" i="40"/>
  <c r="R29" i="40"/>
  <c r="B29" i="40" s="1"/>
  <c r="P29" i="40"/>
  <c r="L29" i="40"/>
  <c r="C29" i="40"/>
  <c r="R28" i="40"/>
  <c r="B28" i="40" s="1"/>
  <c r="P28" i="40"/>
  <c r="L28" i="40"/>
  <c r="C28" i="40"/>
  <c r="R27" i="40"/>
  <c r="B27" i="40" s="1"/>
  <c r="P27" i="40"/>
  <c r="L27" i="40"/>
  <c r="C27" i="40"/>
  <c r="R26" i="40"/>
  <c r="B26" i="40" s="1"/>
  <c r="P26" i="40"/>
  <c r="L26" i="40"/>
  <c r="K26" i="40"/>
  <c r="J26" i="40"/>
  <c r="I26" i="40"/>
  <c r="H26" i="40"/>
  <c r="G26" i="40"/>
  <c r="F26" i="40"/>
  <c r="E26" i="40"/>
  <c r="C26" i="40"/>
  <c r="R25" i="40"/>
  <c r="B25" i="40" s="1"/>
  <c r="P25" i="40"/>
  <c r="L25" i="40"/>
  <c r="C25" i="40"/>
  <c r="R24" i="40"/>
  <c r="B24" i="40" s="1"/>
  <c r="P24" i="40"/>
  <c r="L24" i="40"/>
  <c r="C24" i="40"/>
  <c r="R23" i="40"/>
  <c r="B23" i="40" s="1"/>
  <c r="P23" i="40"/>
  <c r="L23" i="40"/>
  <c r="K23" i="40"/>
  <c r="J23" i="40"/>
  <c r="I23" i="40"/>
  <c r="H23" i="40"/>
  <c r="G23" i="40"/>
  <c r="F23" i="40"/>
  <c r="E23" i="40"/>
  <c r="C23" i="40"/>
  <c r="R22" i="40"/>
  <c r="B22" i="40" s="1"/>
  <c r="P22" i="40"/>
  <c r="L22" i="40"/>
  <c r="C22" i="40"/>
  <c r="R21" i="40"/>
  <c r="B21" i="40" s="1"/>
  <c r="P21" i="40"/>
  <c r="L21" i="40"/>
  <c r="C21" i="40"/>
  <c r="R20" i="40"/>
  <c r="B20" i="40" s="1"/>
  <c r="P20" i="40"/>
  <c r="L20" i="40"/>
  <c r="C20" i="40"/>
  <c r="R19" i="40"/>
  <c r="B19" i="40" s="1"/>
  <c r="P19" i="40"/>
  <c r="L19" i="40"/>
  <c r="C19" i="40"/>
  <c r="R18" i="40"/>
  <c r="B18" i="40" s="1"/>
  <c r="P18" i="40"/>
  <c r="L18" i="40"/>
  <c r="C18" i="40"/>
  <c r="R17" i="40"/>
  <c r="B17" i="40" s="1"/>
  <c r="P17" i="40"/>
  <c r="L17" i="40"/>
  <c r="C17" i="40"/>
  <c r="R16" i="40"/>
  <c r="B16" i="40" s="1"/>
  <c r="P16" i="40"/>
  <c r="L16" i="40"/>
  <c r="C16" i="40"/>
  <c r="R15" i="40"/>
  <c r="B15" i="40" s="1"/>
  <c r="P15" i="40"/>
  <c r="L15" i="40"/>
  <c r="C15" i="40"/>
  <c r="R14" i="40"/>
  <c r="B14" i="40" s="1"/>
  <c r="P14" i="40"/>
  <c r="L14" i="40"/>
  <c r="C14" i="40"/>
  <c r="R13" i="40"/>
  <c r="B13" i="40" s="1"/>
  <c r="P13" i="40"/>
  <c r="L13" i="40"/>
  <c r="C13" i="40"/>
  <c r="R12" i="40"/>
  <c r="B12" i="40" s="1"/>
  <c r="P12" i="40"/>
  <c r="L12" i="40"/>
  <c r="C12" i="40"/>
  <c r="R11" i="40"/>
  <c r="B11" i="40" s="1"/>
  <c r="P11" i="40"/>
  <c r="L11" i="40"/>
  <c r="C11" i="40"/>
  <c r="R10" i="40"/>
  <c r="B10" i="40" s="1"/>
  <c r="P10" i="40"/>
  <c r="L10" i="40"/>
  <c r="C10" i="40"/>
  <c r="R9" i="40"/>
  <c r="B9" i="40" s="1"/>
  <c r="P9" i="40"/>
  <c r="L9" i="40"/>
  <c r="C9" i="40"/>
  <c r="AP71" i="29"/>
  <c r="AJ71" i="29"/>
  <c r="AD71" i="29"/>
  <c r="X71" i="29"/>
  <c r="R71" i="29"/>
  <c r="L71" i="29"/>
  <c r="F71" i="29"/>
  <c r="K5" i="17"/>
  <c r="H5" i="17"/>
  <c r="E2" i="39" s="1"/>
  <c r="R248" i="40" l="1"/>
  <c r="H27" i="39"/>
  <c r="U7" i="17"/>
  <c r="J140" i="40"/>
  <c r="K170" i="40"/>
  <c r="F208" i="40"/>
  <c r="I212" i="40"/>
  <c r="E203" i="40"/>
  <c r="J219" i="40"/>
  <c r="F239" i="40"/>
  <c r="G39" i="40"/>
  <c r="H41" i="40"/>
  <c r="H46" i="40"/>
  <c r="J46" i="40"/>
  <c r="E48" i="40"/>
  <c r="I48" i="40"/>
  <c r="K53" i="40"/>
  <c r="H73" i="40"/>
  <c r="K88" i="40"/>
  <c r="K246" i="40"/>
  <c r="E126" i="40"/>
  <c r="G12" i="40"/>
  <c r="J123" i="40"/>
  <c r="J127" i="40"/>
  <c r="J134" i="40"/>
  <c r="E154" i="40"/>
  <c r="J158" i="40"/>
  <c r="G198" i="40"/>
  <c r="K198" i="40"/>
  <c r="K226" i="40"/>
  <c r="E237" i="40"/>
  <c r="K237" i="40"/>
  <c r="J238" i="40"/>
  <c r="J235" i="40"/>
  <c r="K134" i="40"/>
  <c r="K135" i="40"/>
  <c r="H14" i="40"/>
  <c r="J14" i="40"/>
  <c r="E20" i="40"/>
  <c r="I24" i="40"/>
  <c r="K24" i="40"/>
  <c r="J30" i="40"/>
  <c r="F58" i="40"/>
  <c r="J58" i="40"/>
  <c r="G66" i="40"/>
  <c r="G247" i="40"/>
  <c r="J118" i="40"/>
  <c r="N236" i="40"/>
  <c r="N144" i="40"/>
  <c r="N234" i="40"/>
  <c r="N244" i="40"/>
  <c r="G17" i="40"/>
  <c r="K90" i="40"/>
  <c r="H25" i="40"/>
  <c r="I27" i="40"/>
  <c r="J33" i="40"/>
  <c r="K79" i="40"/>
  <c r="E70" i="40"/>
  <c r="G243" i="40"/>
  <c r="K243" i="40"/>
  <c r="K110" i="40"/>
  <c r="I116" i="40"/>
  <c r="K148" i="40"/>
  <c r="J152" i="40"/>
  <c r="K210" i="40"/>
  <c r="J62" i="40"/>
  <c r="K68" i="40"/>
  <c r="E245" i="40"/>
  <c r="K120" i="40"/>
  <c r="G124" i="40"/>
  <c r="I124" i="40"/>
  <c r="K124" i="40"/>
  <c r="K133" i="40"/>
  <c r="I146" i="40"/>
  <c r="J148" i="40"/>
  <c r="K152" i="40"/>
  <c r="E159" i="40"/>
  <c r="I162" i="40"/>
  <c r="E208" i="40"/>
  <c r="H200" i="40"/>
  <c r="K196" i="40"/>
  <c r="E219" i="40"/>
  <c r="K33" i="40"/>
  <c r="G38" i="40"/>
  <c r="I38" i="40"/>
  <c r="E62" i="40"/>
  <c r="K71" i="40"/>
  <c r="E65" i="40"/>
  <c r="G241" i="40"/>
  <c r="J245" i="40"/>
  <c r="F13" i="40"/>
  <c r="F121" i="40"/>
  <c r="H121" i="40"/>
  <c r="I142" i="40"/>
  <c r="K142" i="40"/>
  <c r="J163" i="40"/>
  <c r="K166" i="40"/>
  <c r="G231" i="40"/>
  <c r="I231" i="40"/>
  <c r="J230" i="40"/>
  <c r="K224" i="40"/>
  <c r="L248" i="40"/>
  <c r="I235" i="40"/>
  <c r="N149" i="40"/>
  <c r="I230" i="40"/>
  <c r="G218" i="40"/>
  <c r="E31" i="40"/>
  <c r="K47" i="40"/>
  <c r="K30" i="40"/>
  <c r="E35" i="40"/>
  <c r="I35" i="40"/>
  <c r="K35" i="40"/>
  <c r="I41" i="40"/>
  <c r="J42" i="40"/>
  <c r="G49" i="40"/>
  <c r="K50" i="40"/>
  <c r="F53" i="40"/>
  <c r="E55" i="40"/>
  <c r="K55" i="40"/>
  <c r="H59" i="40"/>
  <c r="J63" i="40"/>
  <c r="I83" i="40"/>
  <c r="I140" i="40"/>
  <c r="I145" i="40"/>
  <c r="H178" i="40"/>
  <c r="J178" i="40"/>
  <c r="E180" i="40"/>
  <c r="E183" i="40"/>
  <c r="J209" i="40"/>
  <c r="G79" i="40"/>
  <c r="H118" i="40"/>
  <c r="I203" i="40"/>
  <c r="K216" i="40"/>
  <c r="N117" i="40"/>
  <c r="E72" i="40"/>
  <c r="I72" i="40"/>
  <c r="H68" i="40"/>
  <c r="G75" i="40"/>
  <c r="E74" i="40"/>
  <c r="F94" i="40"/>
  <c r="E97" i="40"/>
  <c r="K104" i="40"/>
  <c r="G123" i="40"/>
  <c r="K127" i="40"/>
  <c r="F163" i="40"/>
  <c r="G92" i="40"/>
  <c r="E169" i="40"/>
  <c r="G169" i="40"/>
  <c r="J171" i="40"/>
  <c r="J172" i="40"/>
  <c r="G177" i="40"/>
  <c r="K177" i="40"/>
  <c r="H179" i="40"/>
  <c r="J179" i="40"/>
  <c r="E184" i="40"/>
  <c r="G184" i="40"/>
  <c r="F201" i="40"/>
  <c r="J201" i="40"/>
  <c r="G210" i="40"/>
  <c r="I194" i="40"/>
  <c r="G211" i="40"/>
  <c r="H193" i="40"/>
  <c r="J203" i="40"/>
  <c r="H222" i="40"/>
  <c r="K223" i="40"/>
  <c r="K116" i="40"/>
  <c r="F9" i="40"/>
  <c r="K12" i="40"/>
  <c r="E21" i="40"/>
  <c r="G21" i="40"/>
  <c r="E57" i="40"/>
  <c r="E40" i="40"/>
  <c r="F42" i="40"/>
  <c r="H169" i="40"/>
  <c r="K218" i="40"/>
  <c r="J239" i="40"/>
  <c r="K9" i="40"/>
  <c r="J11" i="40"/>
  <c r="F18" i="40"/>
  <c r="J18" i="40"/>
  <c r="K19" i="40"/>
  <c r="J25" i="40"/>
  <c r="F29" i="40"/>
  <c r="J29" i="40"/>
  <c r="I31" i="40"/>
  <c r="K39" i="40"/>
  <c r="F40" i="40"/>
  <c r="J40" i="40"/>
  <c r="K42" i="40"/>
  <c r="G43" i="40"/>
  <c r="H44" i="40"/>
  <c r="J49" i="40"/>
  <c r="H57" i="40"/>
  <c r="J78" i="40"/>
  <c r="J88" i="40"/>
  <c r="H69" i="40"/>
  <c r="J69" i="40"/>
  <c r="K84" i="40"/>
  <c r="E86" i="40"/>
  <c r="K65" i="40"/>
  <c r="H240" i="40"/>
  <c r="H98" i="40"/>
  <c r="E121" i="40"/>
  <c r="I122" i="40"/>
  <c r="K123" i="40"/>
  <c r="J126" i="40"/>
  <c r="F166" i="40"/>
  <c r="H166" i="40"/>
  <c r="K201" i="40"/>
  <c r="N45" i="40"/>
  <c r="N54" i="40"/>
  <c r="N111" i="40"/>
  <c r="J76" i="40"/>
  <c r="H10" i="40"/>
  <c r="F16" i="40"/>
  <c r="J16" i="40"/>
  <c r="I18" i="40"/>
  <c r="K18" i="40"/>
  <c r="I22" i="40"/>
  <c r="E29" i="40"/>
  <c r="J43" i="40"/>
  <c r="G50" i="40"/>
  <c r="H64" i="40"/>
  <c r="J64" i="40"/>
  <c r="F62" i="40"/>
  <c r="G68" i="40"/>
  <c r="J82" i="40"/>
  <c r="I91" i="40"/>
  <c r="K91" i="40"/>
  <c r="I93" i="40"/>
  <c r="K93" i="40"/>
  <c r="H97" i="40"/>
  <c r="G98" i="40"/>
  <c r="I98" i="40"/>
  <c r="G115" i="40"/>
  <c r="I118" i="40"/>
  <c r="I135" i="40"/>
  <c r="I137" i="40"/>
  <c r="K137" i="40"/>
  <c r="J159" i="40"/>
  <c r="F180" i="40"/>
  <c r="J180" i="40"/>
  <c r="K182" i="40"/>
  <c r="J202" i="40"/>
  <c r="G193" i="40"/>
  <c r="K203" i="40"/>
  <c r="G228" i="40"/>
  <c r="K228" i="40"/>
  <c r="K233" i="40"/>
  <c r="G238" i="40"/>
  <c r="K238" i="40"/>
  <c r="E153" i="40"/>
  <c r="N105" i="40"/>
  <c r="N106" i="40"/>
  <c r="N107" i="40"/>
  <c r="N108" i="40"/>
  <c r="N114" i="40"/>
  <c r="N128" i="40"/>
  <c r="N129" i="40"/>
  <c r="N147" i="40"/>
  <c r="N174" i="40"/>
  <c r="N175" i="40"/>
  <c r="I109" i="40"/>
  <c r="I112" i="40"/>
  <c r="F133" i="40"/>
  <c r="F142" i="40"/>
  <c r="H153" i="40"/>
  <c r="J153" i="40"/>
  <c r="J162" i="40"/>
  <c r="G163" i="40"/>
  <c r="G165" i="40"/>
  <c r="K165" i="40"/>
  <c r="J92" i="40"/>
  <c r="E168" i="40"/>
  <c r="K168" i="40"/>
  <c r="E172" i="40"/>
  <c r="G172" i="40"/>
  <c r="E179" i="40"/>
  <c r="H182" i="40"/>
  <c r="E185" i="40"/>
  <c r="I185" i="40"/>
  <c r="K185" i="40"/>
  <c r="G204" i="40"/>
  <c r="G208" i="40"/>
  <c r="K206" i="40"/>
  <c r="H205" i="40"/>
  <c r="K205" i="40"/>
  <c r="F196" i="40"/>
  <c r="I192" i="40"/>
  <c r="K192" i="40"/>
  <c r="J231" i="40"/>
  <c r="E229" i="40"/>
  <c r="J229" i="40"/>
  <c r="K215" i="40"/>
  <c r="F220" i="40"/>
  <c r="F217" i="40"/>
  <c r="N138" i="40"/>
  <c r="N143" i="40"/>
  <c r="N156" i="40"/>
  <c r="N161" i="40"/>
  <c r="N181" i="40"/>
  <c r="H167" i="40"/>
  <c r="J167" i="40"/>
  <c r="J216" i="40"/>
  <c r="H84" i="40"/>
  <c r="E13" i="40"/>
  <c r="F123" i="40"/>
  <c r="N164" i="40"/>
  <c r="F41" i="40"/>
  <c r="J41" i="40"/>
  <c r="H81" i="40"/>
  <c r="J89" i="40"/>
  <c r="G91" i="40"/>
  <c r="G86" i="40"/>
  <c r="E243" i="40"/>
  <c r="G240" i="40"/>
  <c r="K240" i="40"/>
  <c r="F247" i="40"/>
  <c r="J10" i="40"/>
  <c r="J15" i="40"/>
  <c r="K17" i="40"/>
  <c r="J20" i="40"/>
  <c r="F21" i="40"/>
  <c r="F27" i="40"/>
  <c r="K29" i="40"/>
  <c r="J35" i="40"/>
  <c r="K36" i="40"/>
  <c r="K38" i="40"/>
  <c r="H40" i="40"/>
  <c r="G41" i="40"/>
  <c r="K41" i="40"/>
  <c r="G44" i="40"/>
  <c r="K44" i="40"/>
  <c r="K49" i="40"/>
  <c r="H53" i="40"/>
  <c r="G57" i="40"/>
  <c r="F59" i="40"/>
  <c r="J59" i="40"/>
  <c r="G58" i="40"/>
  <c r="I58" i="40"/>
  <c r="K58" i="40"/>
  <c r="K60" i="40"/>
  <c r="K62" i="40"/>
  <c r="G63" i="40"/>
  <c r="K63" i="40"/>
  <c r="G81" i="40"/>
  <c r="K81" i="40"/>
  <c r="K78" i="40"/>
  <c r="E69" i="40"/>
  <c r="K75" i="40"/>
  <c r="I90" i="40"/>
  <c r="J51" i="40"/>
  <c r="K115" i="40"/>
  <c r="H140" i="40"/>
  <c r="H162" i="40"/>
  <c r="H163" i="40"/>
  <c r="H165" i="40"/>
  <c r="E198" i="40"/>
  <c r="G10" i="40"/>
  <c r="E15" i="40"/>
  <c r="K15" i="40"/>
  <c r="J19" i="40"/>
  <c r="H28" i="40"/>
  <c r="J28" i="40"/>
  <c r="J31" i="40"/>
  <c r="F38" i="40"/>
  <c r="J38" i="40"/>
  <c r="I43" i="40"/>
  <c r="K43" i="40"/>
  <c r="H48" i="40"/>
  <c r="J48" i="40"/>
  <c r="J52" i="40"/>
  <c r="J53" i="40"/>
  <c r="H60" i="40"/>
  <c r="I64" i="40"/>
  <c r="E73" i="40"/>
  <c r="K73" i="40"/>
  <c r="F72" i="40"/>
  <c r="J72" i="40"/>
  <c r="H78" i="40"/>
  <c r="K83" i="40"/>
  <c r="K89" i="40"/>
  <c r="J74" i="40"/>
  <c r="G101" i="40"/>
  <c r="G119" i="40"/>
  <c r="G135" i="40"/>
  <c r="K157" i="40"/>
  <c r="H168" i="40"/>
  <c r="J168" i="40"/>
  <c r="J66" i="40"/>
  <c r="J75" i="40"/>
  <c r="H70" i="40"/>
  <c r="J71" i="40"/>
  <c r="J91" i="40"/>
  <c r="F76" i="40"/>
  <c r="H76" i="40"/>
  <c r="J65" i="40"/>
  <c r="K74" i="40"/>
  <c r="K97" i="40"/>
  <c r="H101" i="40"/>
  <c r="J101" i="40"/>
  <c r="J104" i="40"/>
  <c r="F113" i="40"/>
  <c r="F119" i="40"/>
  <c r="G120" i="40"/>
  <c r="J122" i="40"/>
  <c r="F124" i="40"/>
  <c r="K125" i="40"/>
  <c r="K126" i="40"/>
  <c r="J133" i="40"/>
  <c r="K139" i="40"/>
  <c r="G140" i="40"/>
  <c r="J146" i="40"/>
  <c r="F153" i="40"/>
  <c r="E170" i="40"/>
  <c r="I201" i="40"/>
  <c r="I204" i="40"/>
  <c r="G245" i="40"/>
  <c r="K245" i="40"/>
  <c r="K247" i="40"/>
  <c r="J13" i="40"/>
  <c r="K94" i="40"/>
  <c r="H99" i="40"/>
  <c r="E109" i="40"/>
  <c r="G109" i="40"/>
  <c r="K109" i="40"/>
  <c r="H112" i="40"/>
  <c r="J112" i="40"/>
  <c r="K118" i="40"/>
  <c r="K121" i="40"/>
  <c r="G122" i="40"/>
  <c r="K122" i="40"/>
  <c r="J124" i="40"/>
  <c r="E133" i="40"/>
  <c r="G133" i="40"/>
  <c r="I133" i="40"/>
  <c r="I134" i="40"/>
  <c r="K136" i="40"/>
  <c r="J137" i="40"/>
  <c r="J139" i="40"/>
  <c r="K145" i="40"/>
  <c r="J154" i="40"/>
  <c r="K158" i="40"/>
  <c r="K153" i="40"/>
  <c r="J176" i="40"/>
  <c r="J183" i="40"/>
  <c r="E191" i="40"/>
  <c r="K211" i="40"/>
  <c r="J212" i="40"/>
  <c r="E195" i="40"/>
  <c r="G187" i="40"/>
  <c r="I224" i="40"/>
  <c r="H171" i="40"/>
  <c r="K208" i="40"/>
  <c r="I190" i="40"/>
  <c r="E212" i="40"/>
  <c r="G229" i="40"/>
  <c r="I221" i="40"/>
  <c r="K239" i="40"/>
  <c r="M103" i="40"/>
  <c r="N131" i="40"/>
  <c r="J166" i="40"/>
  <c r="J169" i="40"/>
  <c r="H170" i="40"/>
  <c r="K171" i="40"/>
  <c r="K172" i="40"/>
  <c r="F176" i="40"/>
  <c r="K179" i="40"/>
  <c r="G180" i="40"/>
  <c r="J182" i="40"/>
  <c r="J185" i="40"/>
  <c r="K184" i="40"/>
  <c r="J204" i="40"/>
  <c r="K209" i="40"/>
  <c r="H208" i="40"/>
  <c r="J208" i="40"/>
  <c r="H198" i="40"/>
  <c r="F191" i="40"/>
  <c r="H191" i="40"/>
  <c r="J213" i="40"/>
  <c r="J200" i="40"/>
  <c r="H212" i="40"/>
  <c r="H195" i="40"/>
  <c r="J192" i="40"/>
  <c r="J187" i="40"/>
  <c r="I228" i="40"/>
  <c r="K229" i="40"/>
  <c r="F221" i="40"/>
  <c r="J226" i="40"/>
  <c r="I223" i="40"/>
  <c r="G224" i="40"/>
  <c r="J233" i="40"/>
  <c r="K214" i="40"/>
  <c r="E217" i="40"/>
  <c r="N102" i="40"/>
  <c r="N103" i="40"/>
  <c r="F238" i="40"/>
  <c r="H238" i="40"/>
  <c r="J12" i="40"/>
  <c r="I14" i="40"/>
  <c r="K14" i="40"/>
  <c r="G15" i="40"/>
  <c r="I15" i="40"/>
  <c r="E18" i="40"/>
  <c r="E25" i="40"/>
  <c r="K31" i="40"/>
  <c r="F10" i="40"/>
  <c r="H11" i="40"/>
  <c r="H16" i="40"/>
  <c r="I17" i="40"/>
  <c r="H20" i="40"/>
  <c r="K22" i="40"/>
  <c r="H27" i="40"/>
  <c r="K70" i="40"/>
  <c r="K242" i="40"/>
  <c r="J93" i="40"/>
  <c r="F97" i="40"/>
  <c r="I191" i="40"/>
  <c r="G18" i="40"/>
  <c r="J21" i="40"/>
  <c r="I25" i="40"/>
  <c r="J32" i="40"/>
  <c r="E36" i="40"/>
  <c r="I36" i="40"/>
  <c r="F37" i="40"/>
  <c r="J37" i="40"/>
  <c r="H39" i="40"/>
  <c r="J39" i="40"/>
  <c r="J44" i="40"/>
  <c r="I47" i="40"/>
  <c r="G53" i="40"/>
  <c r="I53" i="40"/>
  <c r="F60" i="40"/>
  <c r="K64" i="40"/>
  <c r="H63" i="40"/>
  <c r="G73" i="40"/>
  <c r="J81" i="40"/>
  <c r="E78" i="40"/>
  <c r="I78" i="40"/>
  <c r="I88" i="40"/>
  <c r="F69" i="40"/>
  <c r="J90" i="40"/>
  <c r="H86" i="40"/>
  <c r="I65" i="40"/>
  <c r="I243" i="40"/>
  <c r="G93" i="40"/>
  <c r="J9" i="40"/>
  <c r="K10" i="40"/>
  <c r="I11" i="40"/>
  <c r="G16" i="40"/>
  <c r="K20" i="40"/>
  <c r="J22" i="40"/>
  <c r="E24" i="40"/>
  <c r="J24" i="40"/>
  <c r="F36" i="40"/>
  <c r="J36" i="40"/>
  <c r="G37" i="40"/>
  <c r="K37" i="40"/>
  <c r="E39" i="40"/>
  <c r="I39" i="40"/>
  <c r="G40" i="40"/>
  <c r="K40" i="40"/>
  <c r="F44" i="40"/>
  <c r="K46" i="40"/>
  <c r="F50" i="40"/>
  <c r="K52" i="40"/>
  <c r="F55" i="40"/>
  <c r="K57" i="40"/>
  <c r="H62" i="40"/>
  <c r="G72" i="40"/>
  <c r="K72" i="40"/>
  <c r="F68" i="40"/>
  <c r="F79" i="40"/>
  <c r="K69" i="40"/>
  <c r="I89" i="40"/>
  <c r="K66" i="40"/>
  <c r="I75" i="40"/>
  <c r="H71" i="40"/>
  <c r="K241" i="40"/>
  <c r="E246" i="40"/>
  <c r="J173" i="40"/>
  <c r="K99" i="40"/>
  <c r="H109" i="40"/>
  <c r="F112" i="40"/>
  <c r="H133" i="40"/>
  <c r="H137" i="40"/>
  <c r="E247" i="40"/>
  <c r="G110" i="40"/>
  <c r="H116" i="40"/>
  <c r="F118" i="40"/>
  <c r="E125" i="40"/>
  <c r="I125" i="40"/>
  <c r="J141" i="40"/>
  <c r="J160" i="40"/>
  <c r="J86" i="40"/>
  <c r="K86" i="40"/>
  <c r="H243" i="40"/>
  <c r="I241" i="40"/>
  <c r="J241" i="40"/>
  <c r="F240" i="40"/>
  <c r="J247" i="40"/>
  <c r="F242" i="40"/>
  <c r="F246" i="40"/>
  <c r="E93" i="40"/>
  <c r="G94" i="40"/>
  <c r="G51" i="40"/>
  <c r="J97" i="40"/>
  <c r="F98" i="40"/>
  <c r="K98" i="40"/>
  <c r="K112" i="40"/>
  <c r="F115" i="40"/>
  <c r="E116" i="40"/>
  <c r="J119" i="40"/>
  <c r="J120" i="40"/>
  <c r="G121" i="40"/>
  <c r="J121" i="40"/>
  <c r="I123" i="40"/>
  <c r="C71" i="29"/>
  <c r="F125" i="40"/>
  <c r="J125" i="40"/>
  <c r="F126" i="40"/>
  <c r="H135" i="40"/>
  <c r="J135" i="40"/>
  <c r="G136" i="40"/>
  <c r="J136" i="40"/>
  <c r="F141" i="40"/>
  <c r="H204" i="40"/>
  <c r="F152" i="40"/>
  <c r="F159" i="40"/>
  <c r="K159" i="40"/>
  <c r="I153" i="40"/>
  <c r="F172" i="40"/>
  <c r="H177" i="40"/>
  <c r="F185" i="40"/>
  <c r="F213" i="40"/>
  <c r="F194" i="40"/>
  <c r="I165" i="40"/>
  <c r="F168" i="40"/>
  <c r="E171" i="40"/>
  <c r="K176" i="40"/>
  <c r="F179" i="40"/>
  <c r="E182" i="40"/>
  <c r="G201" i="40"/>
  <c r="K204" i="40"/>
  <c r="F210" i="40"/>
  <c r="J210" i="40"/>
  <c r="I209" i="40"/>
  <c r="K194" i="40"/>
  <c r="G206" i="40"/>
  <c r="J205" i="40"/>
  <c r="K199" i="40"/>
  <c r="E230" i="40"/>
  <c r="G223" i="40"/>
  <c r="K140" i="40"/>
  <c r="K141" i="40"/>
  <c r="E142" i="40"/>
  <c r="J142" i="40"/>
  <c r="J145" i="40"/>
  <c r="K146" i="40"/>
  <c r="I152" i="40"/>
  <c r="I158" i="40"/>
  <c r="K162" i="40"/>
  <c r="E167" i="40"/>
  <c r="K167" i="40"/>
  <c r="I168" i="40"/>
  <c r="I177" i="40"/>
  <c r="K178" i="40"/>
  <c r="G179" i="40"/>
  <c r="I210" i="40"/>
  <c r="J191" i="40"/>
  <c r="J211" i="40"/>
  <c r="G205" i="40"/>
  <c r="E192" i="40"/>
  <c r="H199" i="40"/>
  <c r="G213" i="40"/>
  <c r="K213" i="40"/>
  <c r="I196" i="40"/>
  <c r="I195" i="40"/>
  <c r="K195" i="40"/>
  <c r="F192" i="40"/>
  <c r="K202" i="40"/>
  <c r="K231" i="40"/>
  <c r="H221" i="40"/>
  <c r="J222" i="40"/>
  <c r="J214" i="40"/>
  <c r="K220" i="40"/>
  <c r="G217" i="40"/>
  <c r="I217" i="40"/>
  <c r="F216" i="40"/>
  <c r="E209" i="40"/>
  <c r="I208" i="40"/>
  <c r="K200" i="40"/>
  <c r="K207" i="40"/>
  <c r="K212" i="40"/>
  <c r="G195" i="40"/>
  <c r="H202" i="40"/>
  <c r="F225" i="40"/>
  <c r="J225" i="40"/>
  <c r="J217" i="40"/>
  <c r="M197" i="40"/>
  <c r="F193" i="40"/>
  <c r="K193" i="40"/>
  <c r="F203" i="40"/>
  <c r="I187" i="40"/>
  <c r="K187" i="40"/>
  <c r="H229" i="40"/>
  <c r="E226" i="40"/>
  <c r="I226" i="40"/>
  <c r="F224" i="40"/>
  <c r="J224" i="40"/>
  <c r="E233" i="40"/>
  <c r="N26" i="40"/>
  <c r="M45" i="40"/>
  <c r="N67" i="40"/>
  <c r="N87" i="40"/>
  <c r="N186" i="40"/>
  <c r="N197" i="40"/>
  <c r="H231" i="40"/>
  <c r="H230" i="40"/>
  <c r="K222" i="40"/>
  <c r="J215" i="40"/>
  <c r="E220" i="40"/>
  <c r="K217" i="40"/>
  <c r="I216" i="40"/>
  <c r="J237" i="40"/>
  <c r="G235" i="40"/>
  <c r="N132" i="40"/>
  <c r="M138" i="40"/>
  <c r="N151" i="40"/>
  <c r="N188" i="40"/>
  <c r="N189" i="40"/>
  <c r="N227" i="40"/>
  <c r="N232" i="40"/>
  <c r="M54" i="40"/>
  <c r="M108" i="40"/>
  <c r="M129" i="40"/>
  <c r="M164" i="40"/>
  <c r="M144" i="40"/>
  <c r="M149" i="40"/>
  <c r="N23" i="40"/>
  <c r="M34" i="40"/>
  <c r="M56" i="40"/>
  <c r="M80" i="40"/>
  <c r="M85" i="40"/>
  <c r="M95" i="40"/>
  <c r="M96" i="40"/>
  <c r="M100" i="40"/>
  <c r="M131" i="40"/>
  <c r="M151" i="40"/>
  <c r="M234" i="40"/>
  <c r="M107" i="40"/>
  <c r="M188" i="40"/>
  <c r="M189" i="40"/>
  <c r="M26" i="40"/>
  <c r="N34" i="40"/>
  <c r="N56" i="40"/>
  <c r="N61" i="40"/>
  <c r="N80" i="40"/>
  <c r="N85" i="40"/>
  <c r="N95" i="40"/>
  <c r="N96" i="40"/>
  <c r="N100" i="40"/>
  <c r="M102" i="40"/>
  <c r="M111" i="40"/>
  <c r="M117" i="40"/>
  <c r="N130" i="40"/>
  <c r="N150" i="40"/>
  <c r="N155" i="40"/>
  <c r="M174" i="40"/>
  <c r="M175" i="40"/>
  <c r="F14" i="40"/>
  <c r="E14" i="40"/>
  <c r="K11" i="40"/>
  <c r="K16" i="40"/>
  <c r="G20" i="40"/>
  <c r="J27" i="40"/>
  <c r="J17" i="40"/>
  <c r="K27" i="40"/>
  <c r="H50" i="40"/>
  <c r="G89" i="40"/>
  <c r="F86" i="40"/>
  <c r="K76" i="40"/>
  <c r="G65" i="40"/>
  <c r="J242" i="40"/>
  <c r="G246" i="40"/>
  <c r="J99" i="40"/>
  <c r="K113" i="40"/>
  <c r="I120" i="40"/>
  <c r="G139" i="40"/>
  <c r="K28" i="40"/>
  <c r="K32" i="40"/>
  <c r="K48" i="40"/>
  <c r="E52" i="40"/>
  <c r="J57" i="40"/>
  <c r="J60" i="40"/>
  <c r="I81" i="40"/>
  <c r="G78" i="40"/>
  <c r="J83" i="40"/>
  <c r="J79" i="40"/>
  <c r="J243" i="40"/>
  <c r="J240" i="40"/>
  <c r="J246" i="40"/>
  <c r="K13" i="40"/>
  <c r="E94" i="40"/>
  <c r="J94" i="40"/>
  <c r="F51" i="40"/>
  <c r="K51" i="40"/>
  <c r="J98" i="40"/>
  <c r="K101" i="40"/>
  <c r="E104" i="40"/>
  <c r="J109" i="40"/>
  <c r="J110" i="40"/>
  <c r="I113" i="40"/>
  <c r="J47" i="40"/>
  <c r="J55" i="40"/>
  <c r="E63" i="40"/>
  <c r="I63" i="40"/>
  <c r="J68" i="40"/>
  <c r="H247" i="40"/>
  <c r="K21" i="40"/>
  <c r="K25" i="40"/>
  <c r="G48" i="40"/>
  <c r="J50" i="40"/>
  <c r="K59" i="40"/>
  <c r="E64" i="40"/>
  <c r="J73" i="40"/>
  <c r="K82" i="40"/>
  <c r="J84" i="40"/>
  <c r="I66" i="40"/>
  <c r="J70" i="40"/>
  <c r="G90" i="40"/>
  <c r="J113" i="40"/>
  <c r="J115" i="40"/>
  <c r="K119" i="40"/>
  <c r="F134" i="40"/>
  <c r="I139" i="40"/>
  <c r="F158" i="40"/>
  <c r="G162" i="40"/>
  <c r="K163" i="40"/>
  <c r="G176" i="40"/>
  <c r="J206" i="40"/>
  <c r="F205" i="40"/>
  <c r="F187" i="40"/>
  <c r="F231" i="40"/>
  <c r="J116" i="40"/>
  <c r="G146" i="40"/>
  <c r="H154" i="40"/>
  <c r="K92" i="40"/>
  <c r="G170" i="40"/>
  <c r="H172" i="40"/>
  <c r="I211" i="40"/>
  <c r="G199" i="40"/>
  <c r="E124" i="40"/>
  <c r="E135" i="40"/>
  <c r="E137" i="40"/>
  <c r="G141" i="40"/>
  <c r="F145" i="40"/>
  <c r="H145" i="40"/>
  <c r="E146" i="40"/>
  <c r="F148" i="40"/>
  <c r="G154" i="40"/>
  <c r="K154" i="40"/>
  <c r="E158" i="40"/>
  <c r="H160" i="40"/>
  <c r="I167" i="40"/>
  <c r="K169" i="40"/>
  <c r="H173" i="40"/>
  <c r="K180" i="40"/>
  <c r="H183" i="40"/>
  <c r="E157" i="40"/>
  <c r="G159" i="40"/>
  <c r="I159" i="40"/>
  <c r="G160" i="40"/>
  <c r="K160" i="40"/>
  <c r="I172" i="40"/>
  <c r="G173" i="40"/>
  <c r="K173" i="40"/>
  <c r="G183" i="40"/>
  <c r="K183" i="40"/>
  <c r="F204" i="40"/>
  <c r="F198" i="40"/>
  <c r="K190" i="40"/>
  <c r="F211" i="40"/>
  <c r="E190" i="40"/>
  <c r="H190" i="40"/>
  <c r="H211" i="40"/>
  <c r="H206" i="40"/>
  <c r="I199" i="40"/>
  <c r="E193" i="40"/>
  <c r="K221" i="40"/>
  <c r="G220" i="40"/>
  <c r="I237" i="40"/>
  <c r="J194" i="40"/>
  <c r="E224" i="40"/>
  <c r="J157" i="40"/>
  <c r="J165" i="40"/>
  <c r="J170" i="40"/>
  <c r="J177" i="40"/>
  <c r="J184" i="40"/>
  <c r="K191" i="40"/>
  <c r="E207" i="40"/>
  <c r="H207" i="40"/>
  <c r="J196" i="40"/>
  <c r="J199" i="40"/>
  <c r="J228" i="40"/>
  <c r="H187" i="40"/>
  <c r="G226" i="40"/>
  <c r="H233" i="40"/>
  <c r="H220" i="40"/>
  <c r="J220" i="40"/>
  <c r="H216" i="40"/>
  <c r="J218" i="40"/>
  <c r="J198" i="40"/>
  <c r="J190" i="40"/>
  <c r="J207" i="40"/>
  <c r="J195" i="40"/>
  <c r="J193" i="40"/>
  <c r="J223" i="40"/>
  <c r="H214" i="40"/>
  <c r="F219" i="40"/>
  <c r="H218" i="40"/>
  <c r="K230" i="40"/>
  <c r="I229" i="40"/>
  <c r="H223" i="40"/>
  <c r="K225" i="40"/>
  <c r="G215" i="40"/>
  <c r="K219" i="40"/>
  <c r="I220" i="40"/>
  <c r="H239" i="40"/>
  <c r="H237" i="40"/>
  <c r="J221" i="40"/>
  <c r="M23" i="40"/>
  <c r="F235" i="40"/>
  <c r="M61" i="40"/>
  <c r="K235" i="40"/>
  <c r="M67" i="40"/>
  <c r="M77" i="40"/>
  <c r="M105" i="40"/>
  <c r="M114" i="40"/>
  <c r="N77" i="40"/>
  <c r="M87" i="40"/>
  <c r="M106" i="40"/>
  <c r="M128" i="40"/>
  <c r="M132" i="40"/>
  <c r="M147" i="40"/>
  <c r="M155" i="40"/>
  <c r="M156" i="40"/>
  <c r="M130" i="40"/>
  <c r="M143" i="40"/>
  <c r="M150" i="40"/>
  <c r="M161" i="40"/>
  <c r="M181" i="40"/>
  <c r="M186" i="40"/>
  <c r="M236" i="40"/>
  <c r="M227" i="40"/>
  <c r="M244" i="40"/>
  <c r="M232" i="40"/>
  <c r="AE71" i="29" l="1"/>
  <c r="N170" i="40"/>
  <c r="N46" i="40"/>
  <c r="N219" i="40"/>
  <c r="N14" i="40"/>
  <c r="N246" i="40"/>
  <c r="N140" i="40"/>
  <c r="N135" i="40"/>
  <c r="G22" i="40"/>
  <c r="E32" i="40"/>
  <c r="G11" i="40"/>
  <c r="E41" i="40"/>
  <c r="M41" i="40" s="1"/>
  <c r="I69" i="40"/>
  <c r="G62" i="40"/>
  <c r="F243" i="40"/>
  <c r="M243" i="40" s="1"/>
  <c r="N127" i="40"/>
  <c r="G32" i="40"/>
  <c r="N30" i="40"/>
  <c r="F30" i="40"/>
  <c r="F206" i="40"/>
  <c r="N88" i="40"/>
  <c r="E200" i="40"/>
  <c r="H157" i="40"/>
  <c r="E75" i="40"/>
  <c r="H13" i="40"/>
  <c r="E152" i="40"/>
  <c r="E84" i="40"/>
  <c r="N118" i="40"/>
  <c r="H213" i="40"/>
  <c r="H19" i="40"/>
  <c r="N208" i="40"/>
  <c r="G29" i="40"/>
  <c r="I62" i="40"/>
  <c r="E210" i="40"/>
  <c r="G233" i="40"/>
  <c r="H196" i="40"/>
  <c r="G69" i="40"/>
  <c r="G127" i="40"/>
  <c r="I40" i="40"/>
  <c r="M40" i="40" s="1"/>
  <c r="E53" i="40"/>
  <c r="M53" i="40" s="1"/>
  <c r="N58" i="40"/>
  <c r="H184" i="40"/>
  <c r="G239" i="40"/>
  <c r="I178" i="40"/>
  <c r="F82" i="40"/>
  <c r="F19" i="40"/>
  <c r="F223" i="40"/>
  <c r="G157" i="40"/>
  <c r="F74" i="40"/>
  <c r="F70" i="40"/>
  <c r="E12" i="40"/>
  <c r="I238" i="40"/>
  <c r="I37" i="40"/>
  <c r="I82" i="40"/>
  <c r="I200" i="40"/>
  <c r="F122" i="40"/>
  <c r="F46" i="40"/>
  <c r="F22" i="40"/>
  <c r="G9" i="40"/>
  <c r="F17" i="40"/>
  <c r="F15" i="40"/>
  <c r="H224" i="40"/>
  <c r="M224" i="40" s="1"/>
  <c r="E202" i="40"/>
  <c r="I233" i="40"/>
  <c r="E33" i="40"/>
  <c r="E141" i="40"/>
  <c r="E165" i="40"/>
  <c r="H66" i="40"/>
  <c r="N226" i="40"/>
  <c r="N104" i="40"/>
  <c r="F182" i="40"/>
  <c r="G116" i="40"/>
  <c r="I52" i="40"/>
  <c r="E49" i="40"/>
  <c r="G30" i="40"/>
  <c r="E16" i="40"/>
  <c r="N53" i="40"/>
  <c r="F200" i="40"/>
  <c r="F146" i="40"/>
  <c r="F75" i="40"/>
  <c r="I44" i="40"/>
  <c r="E82" i="40"/>
  <c r="E215" i="40"/>
  <c r="G134" i="40"/>
  <c r="E91" i="40"/>
  <c r="F28" i="40"/>
  <c r="H146" i="40"/>
  <c r="F116" i="40"/>
  <c r="H30" i="40"/>
  <c r="G33" i="40"/>
  <c r="E11" i="40"/>
  <c r="I171" i="40"/>
  <c r="H228" i="40"/>
  <c r="I242" i="40"/>
  <c r="I97" i="40"/>
  <c r="G194" i="40"/>
  <c r="E127" i="40"/>
  <c r="I51" i="40"/>
  <c r="F214" i="40"/>
  <c r="F178" i="40"/>
  <c r="F110" i="40"/>
  <c r="F101" i="40"/>
  <c r="G28" i="40"/>
  <c r="E10" i="40"/>
  <c r="N237" i="40"/>
  <c r="N38" i="40"/>
  <c r="N235" i="40"/>
  <c r="N198" i="40"/>
  <c r="N134" i="40"/>
  <c r="N19" i="40"/>
  <c r="N123" i="40"/>
  <c r="F135" i="40"/>
  <c r="M135" i="40" s="1"/>
  <c r="N214" i="40"/>
  <c r="N204" i="40"/>
  <c r="F43" i="40"/>
  <c r="G60" i="40"/>
  <c r="H110" i="40"/>
  <c r="N24" i="40"/>
  <c r="N158" i="40"/>
  <c r="E37" i="40"/>
  <c r="G237" i="40"/>
  <c r="F136" i="40"/>
  <c r="I16" i="40"/>
  <c r="G142" i="40"/>
  <c r="G35" i="40"/>
  <c r="N238" i="40"/>
  <c r="I166" i="40"/>
  <c r="E17" i="40"/>
  <c r="F71" i="40"/>
  <c r="I32" i="40"/>
  <c r="H12" i="40"/>
  <c r="E83" i="40"/>
  <c r="G55" i="40"/>
  <c r="H52" i="40"/>
  <c r="H35" i="40"/>
  <c r="F226" i="40"/>
  <c r="E241" i="40"/>
  <c r="F229" i="40"/>
  <c r="M229" i="40" s="1"/>
  <c r="F241" i="40"/>
  <c r="E122" i="40"/>
  <c r="F12" i="40"/>
  <c r="G14" i="40"/>
  <c r="M14" i="40" s="1"/>
  <c r="I73" i="40"/>
  <c r="E66" i="40"/>
  <c r="H21" i="40"/>
  <c r="H219" i="40"/>
  <c r="H176" i="40"/>
  <c r="I157" i="40"/>
  <c r="H55" i="40"/>
  <c r="H72" i="40"/>
  <c r="M72" i="40" s="1"/>
  <c r="E81" i="40"/>
  <c r="E90" i="40"/>
  <c r="G88" i="40"/>
  <c r="E9" i="40"/>
  <c r="H210" i="40"/>
  <c r="H152" i="40"/>
  <c r="I127" i="40"/>
  <c r="H93" i="40"/>
  <c r="I247" i="40"/>
  <c r="M247" i="40" s="1"/>
  <c r="I121" i="40"/>
  <c r="M121" i="40" s="1"/>
  <c r="I68" i="40"/>
  <c r="E145" i="40"/>
  <c r="I9" i="40"/>
  <c r="G31" i="40"/>
  <c r="E162" i="40"/>
  <c r="F120" i="40"/>
  <c r="I104" i="40"/>
  <c r="I94" i="40"/>
  <c r="I245" i="40"/>
  <c r="H113" i="40"/>
  <c r="I29" i="40"/>
  <c r="H225" i="40"/>
  <c r="F127" i="40"/>
  <c r="E28" i="40"/>
  <c r="E113" i="40"/>
  <c r="H242" i="40"/>
  <c r="E44" i="40"/>
  <c r="I46" i="40"/>
  <c r="G125" i="40"/>
  <c r="H82" i="40"/>
  <c r="G104" i="40"/>
  <c r="E76" i="40"/>
  <c r="F88" i="40"/>
  <c r="G42" i="40"/>
  <c r="I57" i="40"/>
  <c r="H9" i="40"/>
  <c r="N39" i="40"/>
  <c r="Q164" i="40"/>
  <c r="N202" i="40"/>
  <c r="N93" i="40"/>
  <c r="N69" i="40"/>
  <c r="N231" i="40"/>
  <c r="N145" i="40"/>
  <c r="N116" i="40"/>
  <c r="N50" i="40"/>
  <c r="N48" i="40"/>
  <c r="Q129" i="40"/>
  <c r="N44" i="40"/>
  <c r="N239" i="40"/>
  <c r="N92" i="40"/>
  <c r="N68" i="40"/>
  <c r="N16" i="40"/>
  <c r="Q107" i="40"/>
  <c r="N120" i="40"/>
  <c r="N124" i="40"/>
  <c r="N230" i="40"/>
  <c r="N223" i="40"/>
  <c r="N177" i="40"/>
  <c r="N183" i="40"/>
  <c r="N243" i="40"/>
  <c r="Q144" i="40"/>
  <c r="N212" i="40"/>
  <c r="N64" i="40"/>
  <c r="N185" i="40"/>
  <c r="N153" i="40"/>
  <c r="N203" i="40"/>
  <c r="N15" i="40"/>
  <c r="N146" i="40"/>
  <c r="N89" i="40"/>
  <c r="N49" i="40"/>
  <c r="N196" i="40"/>
  <c r="N157" i="40"/>
  <c r="O45" i="40"/>
  <c r="N233" i="40"/>
  <c r="N31" i="40"/>
  <c r="N35" i="40"/>
  <c r="N216" i="40"/>
  <c r="N18" i="40"/>
  <c r="N42" i="40"/>
  <c r="N211" i="40"/>
  <c r="N112" i="40"/>
  <c r="N9" i="40"/>
  <c r="N228" i="40"/>
  <c r="N184" i="40"/>
  <c r="N115" i="40"/>
  <c r="N171" i="40"/>
  <c r="N163" i="40"/>
  <c r="N33" i="40"/>
  <c r="N74" i="40"/>
  <c r="N218" i="40"/>
  <c r="N222" i="40"/>
  <c r="O56" i="40"/>
  <c r="N121" i="40"/>
  <c r="N52" i="40"/>
  <c r="N90" i="40"/>
  <c r="N91" i="40"/>
  <c r="N194" i="40"/>
  <c r="N206" i="40"/>
  <c r="N25" i="40"/>
  <c r="N47" i="40"/>
  <c r="N110" i="40"/>
  <c r="N83" i="40"/>
  <c r="N11" i="40"/>
  <c r="N187" i="40"/>
  <c r="N210" i="40"/>
  <c r="N159" i="40"/>
  <c r="N247" i="40"/>
  <c r="N241" i="40"/>
  <c r="N36" i="40"/>
  <c r="N37" i="40"/>
  <c r="N172" i="40"/>
  <c r="Q103" i="40"/>
  <c r="N78" i="40"/>
  <c r="N63" i="40"/>
  <c r="N41" i="40"/>
  <c r="N43" i="40"/>
  <c r="N71" i="40"/>
  <c r="N148" i="40"/>
  <c r="N133" i="40"/>
  <c r="N62" i="40"/>
  <c r="O234" i="40"/>
  <c r="N119" i="40"/>
  <c r="N32" i="40"/>
  <c r="Q197" i="40"/>
  <c r="N217" i="40"/>
  <c r="N229" i="40"/>
  <c r="N245" i="40"/>
  <c r="N72" i="40"/>
  <c r="N182" i="40"/>
  <c r="N207" i="40"/>
  <c r="N199" i="40"/>
  <c r="N79" i="40"/>
  <c r="O175" i="40"/>
  <c r="Q151" i="40"/>
  <c r="N200" i="40"/>
  <c r="N40" i="40"/>
  <c r="N166" i="40"/>
  <c r="N70" i="40"/>
  <c r="O144" i="40"/>
  <c r="N13" i="40"/>
  <c r="O117" i="40"/>
  <c r="Q234" i="40"/>
  <c r="Q56" i="40"/>
  <c r="Q149" i="40"/>
  <c r="N137" i="40"/>
  <c r="Q95" i="40"/>
  <c r="O34" i="40"/>
  <c r="Q45" i="40"/>
  <c r="Q100" i="40"/>
  <c r="N17" i="40"/>
  <c r="Q108" i="40"/>
  <c r="N224" i="40"/>
  <c r="N125" i="40"/>
  <c r="O189" i="40"/>
  <c r="O164" i="40"/>
  <c r="N220" i="40"/>
  <c r="N59" i="40"/>
  <c r="N101" i="40"/>
  <c r="N195" i="40"/>
  <c r="N165" i="40"/>
  <c r="N180" i="40"/>
  <c r="N109" i="40"/>
  <c r="N29" i="40"/>
  <c r="I202" i="40"/>
  <c r="I170" i="40"/>
  <c r="I99" i="40"/>
  <c r="H124" i="40"/>
  <c r="M124" i="40" s="1"/>
  <c r="E123" i="40"/>
  <c r="G19" i="40"/>
  <c r="I21" i="40"/>
  <c r="H92" i="40"/>
  <c r="E98" i="40"/>
  <c r="M98" i="40" s="1"/>
  <c r="E223" i="40"/>
  <c r="I205" i="40"/>
  <c r="E177" i="40"/>
  <c r="H79" i="40"/>
  <c r="F218" i="40"/>
  <c r="N209" i="40"/>
  <c r="F63" i="40"/>
  <c r="M63" i="40" s="1"/>
  <c r="E59" i="40"/>
  <c r="H51" i="40"/>
  <c r="G148" i="40"/>
  <c r="H194" i="40"/>
  <c r="F92" i="40"/>
  <c r="F162" i="40"/>
  <c r="G152" i="40"/>
  <c r="F99" i="40"/>
  <c r="F89" i="40"/>
  <c r="I12" i="40"/>
  <c r="G207" i="40"/>
  <c r="H148" i="40"/>
  <c r="I179" i="40"/>
  <c r="M179" i="40" s="1"/>
  <c r="I119" i="40"/>
  <c r="G222" i="40"/>
  <c r="H217" i="40"/>
  <c r="M217" i="40" s="1"/>
  <c r="I193" i="40"/>
  <c r="M193" i="40" s="1"/>
  <c r="F212" i="40"/>
  <c r="N225" i="40"/>
  <c r="N193" i="40"/>
  <c r="F215" i="40"/>
  <c r="G202" i="40"/>
  <c r="E88" i="40"/>
  <c r="F52" i="40"/>
  <c r="H43" i="40"/>
  <c r="F222" i="40"/>
  <c r="F230" i="40"/>
  <c r="N160" i="40"/>
  <c r="G126" i="40"/>
  <c r="G83" i="40"/>
  <c r="O149" i="40"/>
  <c r="O107" i="40"/>
  <c r="E238" i="40"/>
  <c r="I215" i="40"/>
  <c r="F195" i="40"/>
  <c r="M195" i="40" s="1"/>
  <c r="I184" i="40"/>
  <c r="G168" i="40"/>
  <c r="M168" i="40" s="1"/>
  <c r="F64" i="40"/>
  <c r="E140" i="40"/>
  <c r="F81" i="40"/>
  <c r="G64" i="40"/>
  <c r="H17" i="40"/>
  <c r="I49" i="40"/>
  <c r="G46" i="40"/>
  <c r="F32" i="40"/>
  <c r="N191" i="40"/>
  <c r="N169" i="40"/>
  <c r="N99" i="40"/>
  <c r="I28" i="40"/>
  <c r="N142" i="40"/>
  <c r="N86" i="40"/>
  <c r="N240" i="40"/>
  <c r="N205" i="40"/>
  <c r="O111" i="40"/>
  <c r="Q189" i="40"/>
  <c r="O151" i="40"/>
  <c r="O129" i="40"/>
  <c r="Q111" i="40"/>
  <c r="O103" i="40"/>
  <c r="N97" i="40"/>
  <c r="O197" i="40"/>
  <c r="N98" i="40"/>
  <c r="N57" i="40"/>
  <c r="N10" i="40"/>
  <c r="N201" i="40"/>
  <c r="N152" i="40"/>
  <c r="N190" i="40"/>
  <c r="E30" i="40"/>
  <c r="Q131" i="40"/>
  <c r="Q85" i="40"/>
  <c r="O131" i="40"/>
  <c r="Q117" i="40"/>
  <c r="O85" i="40"/>
  <c r="O108" i="40"/>
  <c r="Q34" i="40"/>
  <c r="Q138" i="40"/>
  <c r="O174" i="40"/>
  <c r="Q54" i="40"/>
  <c r="Q5" i="17"/>
  <c r="F207" i="40"/>
  <c r="I198" i="40"/>
  <c r="M198" i="40" s="1"/>
  <c r="H142" i="40"/>
  <c r="F140" i="40"/>
  <c r="F167" i="40"/>
  <c r="G196" i="40"/>
  <c r="E46" i="40"/>
  <c r="F109" i="40"/>
  <c r="M109" i="40" s="1"/>
  <c r="H24" i="40"/>
  <c r="F11" i="40"/>
  <c r="H31" i="40"/>
  <c r="F233" i="40"/>
  <c r="H201" i="40"/>
  <c r="H185" i="40"/>
  <c r="G97" i="40"/>
  <c r="E22" i="40"/>
  <c r="I207" i="40"/>
  <c r="E178" i="40"/>
  <c r="F202" i="40"/>
  <c r="I136" i="40"/>
  <c r="H47" i="40"/>
  <c r="N215" i="40"/>
  <c r="I126" i="40"/>
  <c r="E89" i="40"/>
  <c r="E47" i="40"/>
  <c r="H32" i="40"/>
  <c r="E166" i="40"/>
  <c r="I148" i="40"/>
  <c r="G137" i="40"/>
  <c r="I115" i="40"/>
  <c r="E68" i="40"/>
  <c r="E19" i="40"/>
  <c r="G190" i="40"/>
  <c r="E92" i="40"/>
  <c r="G13" i="40"/>
  <c r="I59" i="40"/>
  <c r="F33" i="40"/>
  <c r="O138" i="40"/>
  <c r="Q174" i="40"/>
  <c r="G185" i="40"/>
  <c r="H209" i="40"/>
  <c r="H180" i="40"/>
  <c r="H104" i="40"/>
  <c r="I246" i="40"/>
  <c r="I182" i="40"/>
  <c r="E136" i="40"/>
  <c r="E213" i="40"/>
  <c r="F171" i="40"/>
  <c r="F139" i="40"/>
  <c r="H120" i="40"/>
  <c r="H158" i="40"/>
  <c r="H115" i="40"/>
  <c r="N65" i="40"/>
  <c r="H159" i="40"/>
  <c r="M159" i="40" s="1"/>
  <c r="E139" i="40"/>
  <c r="H74" i="40"/>
  <c r="G52" i="40"/>
  <c r="E43" i="40"/>
  <c r="H36" i="40"/>
  <c r="I10" i="40"/>
  <c r="H136" i="40"/>
  <c r="G113" i="40"/>
  <c r="I76" i="40"/>
  <c r="H83" i="40"/>
  <c r="E58" i="40"/>
  <c r="I55" i="40"/>
  <c r="G47" i="40"/>
  <c r="G36" i="40"/>
  <c r="F25" i="40"/>
  <c r="F65" i="40"/>
  <c r="G214" i="40"/>
  <c r="N154" i="40"/>
  <c r="N82" i="40"/>
  <c r="N55" i="40"/>
  <c r="N94" i="40"/>
  <c r="N76" i="40"/>
  <c r="N162" i="40"/>
  <c r="N192" i="40"/>
  <c r="N179" i="40"/>
  <c r="N168" i="40"/>
  <c r="G70" i="40"/>
  <c r="N51" i="40"/>
  <c r="N60" i="40"/>
  <c r="N28" i="40"/>
  <c r="O54" i="40"/>
  <c r="N167" i="40"/>
  <c r="N12" i="40"/>
  <c r="N173" i="40"/>
  <c r="N84" i="40"/>
  <c r="N73" i="40"/>
  <c r="N21" i="40"/>
  <c r="N213" i="40"/>
  <c r="N178" i="40"/>
  <c r="N20" i="40"/>
  <c r="N176" i="40"/>
  <c r="N139" i="40"/>
  <c r="N126" i="40"/>
  <c r="N75" i="40"/>
  <c r="F84" i="40"/>
  <c r="H15" i="40"/>
  <c r="N136" i="40"/>
  <c r="E42" i="40"/>
  <c r="F137" i="40"/>
  <c r="M208" i="40"/>
  <c r="N242" i="40"/>
  <c r="I20" i="40"/>
  <c r="G24" i="40"/>
  <c r="N66" i="40"/>
  <c r="N81" i="40"/>
  <c r="F24" i="40"/>
  <c r="O188" i="40"/>
  <c r="E173" i="40"/>
  <c r="E119" i="40"/>
  <c r="E134" i="40"/>
  <c r="E27" i="40"/>
  <c r="F78" i="40"/>
  <c r="M78" i="40" s="1"/>
  <c r="O95" i="40"/>
  <c r="I219" i="40"/>
  <c r="F169" i="40"/>
  <c r="H125" i="40"/>
  <c r="F47" i="40"/>
  <c r="G74" i="40"/>
  <c r="F49" i="40"/>
  <c r="N22" i="40"/>
  <c r="E235" i="40"/>
  <c r="F91" i="40"/>
  <c r="I141" i="40"/>
  <c r="N122" i="40"/>
  <c r="F228" i="40"/>
  <c r="E222" i="40"/>
  <c r="E187" i="40"/>
  <c r="M187" i="40" s="1"/>
  <c r="E205" i="40"/>
  <c r="H215" i="40"/>
  <c r="F173" i="40"/>
  <c r="E148" i="40"/>
  <c r="E204" i="40"/>
  <c r="M204" i="40" s="1"/>
  <c r="E160" i="40"/>
  <c r="H141" i="40"/>
  <c r="H126" i="40"/>
  <c r="H119" i="40"/>
  <c r="I13" i="40"/>
  <c r="F93" i="40"/>
  <c r="F39" i="40"/>
  <c r="M39" i="40" s="1"/>
  <c r="G27" i="40"/>
  <c r="F20" i="40"/>
  <c r="F35" i="40"/>
  <c r="M133" i="40"/>
  <c r="H235" i="40"/>
  <c r="G221" i="40"/>
  <c r="F199" i="40"/>
  <c r="E211" i="40"/>
  <c r="M211" i="40" s="1"/>
  <c r="I213" i="40"/>
  <c r="F183" i="40"/>
  <c r="E176" i="40"/>
  <c r="F160" i="40"/>
  <c r="E118" i="40"/>
  <c r="E101" i="40"/>
  <c r="E71" i="40"/>
  <c r="I101" i="40"/>
  <c r="G25" i="40"/>
  <c r="E38" i="40"/>
  <c r="H90" i="40"/>
  <c r="AQ71" i="29"/>
  <c r="I42" i="40"/>
  <c r="O26" i="40"/>
  <c r="O100" i="40"/>
  <c r="O80" i="40"/>
  <c r="E231" i="40"/>
  <c r="M231" i="40" s="1"/>
  <c r="H203" i="40"/>
  <c r="E216" i="40"/>
  <c r="G209" i="40"/>
  <c r="I225" i="40"/>
  <c r="E163" i="40"/>
  <c r="E201" i="40"/>
  <c r="H122" i="40"/>
  <c r="H94" i="40"/>
  <c r="N141" i="40"/>
  <c r="G99" i="40"/>
  <c r="G84" i="40"/>
  <c r="I222" i="40"/>
  <c r="E225" i="40"/>
  <c r="H192" i="40"/>
  <c r="G145" i="40"/>
  <c r="F154" i="40"/>
  <c r="H245" i="40"/>
  <c r="E112" i="40"/>
  <c r="E51" i="40"/>
  <c r="G242" i="40"/>
  <c r="F104" i="40"/>
  <c r="I33" i="40"/>
  <c r="H246" i="40"/>
  <c r="I71" i="40"/>
  <c r="H37" i="40"/>
  <c r="I19" i="40"/>
  <c r="Q26" i="40"/>
  <c r="O96" i="40"/>
  <c r="Q96" i="40"/>
  <c r="M172" i="40"/>
  <c r="Q188" i="40"/>
  <c r="N221" i="40"/>
  <c r="Q175" i="40"/>
  <c r="Q80" i="40"/>
  <c r="N113" i="40"/>
  <c r="O102" i="40"/>
  <c r="Q102" i="40"/>
  <c r="G216" i="40"/>
  <c r="G219" i="40"/>
  <c r="F157" i="40"/>
  <c r="E194" i="40"/>
  <c r="G182" i="40"/>
  <c r="G167" i="40"/>
  <c r="I183" i="40"/>
  <c r="I169" i="40"/>
  <c r="I154" i="40"/>
  <c r="E120" i="40"/>
  <c r="H127" i="40"/>
  <c r="G112" i="40"/>
  <c r="I110" i="40"/>
  <c r="F245" i="40"/>
  <c r="I79" i="40"/>
  <c r="F73" i="40"/>
  <c r="G59" i="40"/>
  <c r="I30" i="40"/>
  <c r="G76" i="40"/>
  <c r="H91" i="40"/>
  <c r="H58" i="40"/>
  <c r="I50" i="40"/>
  <c r="H38" i="40"/>
  <c r="Q227" i="40"/>
  <c r="O227" i="40"/>
  <c r="Q161" i="40"/>
  <c r="O161" i="40"/>
  <c r="G178" i="40"/>
  <c r="G166" i="40"/>
  <c r="F184" i="40"/>
  <c r="I160" i="40"/>
  <c r="Q236" i="40"/>
  <c r="O236" i="40"/>
  <c r="Q150" i="40"/>
  <c r="O150" i="40"/>
  <c r="Q132" i="40"/>
  <c r="O132" i="40"/>
  <c r="I214" i="40"/>
  <c r="Q232" i="40"/>
  <c r="O232" i="40"/>
  <c r="O186" i="40"/>
  <c r="Q186" i="40"/>
  <c r="Q143" i="40"/>
  <c r="O143" i="40"/>
  <c r="Q128" i="40"/>
  <c r="O128" i="40"/>
  <c r="F237" i="40"/>
  <c r="Q23" i="40"/>
  <c r="O23" i="40"/>
  <c r="E239" i="40"/>
  <c r="I218" i="40"/>
  <c r="M220" i="40"/>
  <c r="E214" i="40"/>
  <c r="H226" i="40"/>
  <c r="G203" i="40"/>
  <c r="E199" i="40"/>
  <c r="E206" i="40"/>
  <c r="G191" i="40"/>
  <c r="M191" i="40" s="1"/>
  <c r="F209" i="40"/>
  <c r="G171" i="40"/>
  <c r="G158" i="40"/>
  <c r="G230" i="40"/>
  <c r="I180" i="40"/>
  <c r="F177" i="40"/>
  <c r="I92" i="40"/>
  <c r="F165" i="40"/>
  <c r="H134" i="40"/>
  <c r="E99" i="40"/>
  <c r="H241" i="40"/>
  <c r="E79" i="40"/>
  <c r="I60" i="40"/>
  <c r="H18" i="40"/>
  <c r="M18" i="40" s="1"/>
  <c r="G71" i="40"/>
  <c r="I70" i="40"/>
  <c r="I84" i="40"/>
  <c r="H88" i="40"/>
  <c r="F83" i="40"/>
  <c r="F57" i="40"/>
  <c r="E50" i="40"/>
  <c r="H29" i="40"/>
  <c r="E240" i="40"/>
  <c r="Q156" i="40"/>
  <c r="O156" i="40"/>
  <c r="Q147" i="40"/>
  <c r="O147" i="40"/>
  <c r="Q87" i="40"/>
  <c r="O87" i="40"/>
  <c r="Q105" i="40"/>
  <c r="O105" i="40"/>
  <c r="Q67" i="40"/>
  <c r="O67" i="40"/>
  <c r="Q244" i="40"/>
  <c r="O244" i="40"/>
  <c r="O181" i="40"/>
  <c r="Q181" i="40"/>
  <c r="Q130" i="40"/>
  <c r="O130" i="40"/>
  <c r="Q155" i="40"/>
  <c r="O155" i="40"/>
  <c r="O106" i="40"/>
  <c r="Q106" i="40"/>
  <c r="O114" i="40"/>
  <c r="Q114" i="40"/>
  <c r="Q77" i="40"/>
  <c r="O77" i="40"/>
  <c r="O61" i="40"/>
  <c r="Q61" i="40"/>
  <c r="I239" i="40"/>
  <c r="E218" i="40"/>
  <c r="E221" i="40"/>
  <c r="G192" i="40"/>
  <c r="E196" i="40"/>
  <c r="G200" i="40"/>
  <c r="G153" i="40"/>
  <c r="M153" i="40" s="1"/>
  <c r="F190" i="40"/>
  <c r="I176" i="40"/>
  <c r="I163" i="40"/>
  <c r="G118" i="40"/>
  <c r="E60" i="40"/>
  <c r="I74" i="40"/>
  <c r="F90" i="40"/>
  <c r="H75" i="40"/>
  <c r="F66" i="40"/>
  <c r="N27" i="40"/>
  <c r="G225" i="40"/>
  <c r="E228" i="40"/>
  <c r="G212" i="40"/>
  <c r="I206" i="40"/>
  <c r="I173" i="40"/>
  <c r="F170" i="40"/>
  <c r="E115" i="40"/>
  <c r="H139" i="40"/>
  <c r="H123" i="40"/>
  <c r="E242" i="40"/>
  <c r="I240" i="40"/>
  <c r="G82" i="40"/>
  <c r="H49" i="40"/>
  <c r="F31" i="40"/>
  <c r="H22" i="40"/>
  <c r="H65" i="40"/>
  <c r="I86" i="40"/>
  <c r="M86" i="40" s="1"/>
  <c r="H89" i="40"/>
  <c r="F48" i="40"/>
  <c r="M48" i="40" s="1"/>
  <c r="H42" i="40"/>
  <c r="H33" i="40"/>
  <c r="E110" i="40"/>
  <c r="M69" i="40" l="1"/>
  <c r="Q69" i="40" s="1"/>
  <c r="Q135" i="40"/>
  <c r="M165" i="40"/>
  <c r="Q165" i="40" s="1"/>
  <c r="M62" i="40"/>
  <c r="Q62" i="40" s="1"/>
  <c r="M36" i="40"/>
  <c r="Q36" i="40" s="1"/>
  <c r="M210" i="40"/>
  <c r="O210" i="40" s="1"/>
  <c r="M75" i="40"/>
  <c r="O75" i="40" s="1"/>
  <c r="M21" i="40"/>
  <c r="O21" i="40" s="1"/>
  <c r="M29" i="40"/>
  <c r="O29" i="40" s="1"/>
  <c r="M57" i="40"/>
  <c r="Q57" i="40" s="1"/>
  <c r="O208" i="40"/>
  <c r="M68" i="40"/>
  <c r="O68" i="40" s="1"/>
  <c r="M125" i="40"/>
  <c r="O125" i="40" s="1"/>
  <c r="M76" i="40"/>
  <c r="Q76" i="40" s="1"/>
  <c r="M15" i="40"/>
  <c r="O15" i="40" s="1"/>
  <c r="M145" i="40"/>
  <c r="O145" i="40" s="1"/>
  <c r="M82" i="40"/>
  <c r="Q82" i="40" s="1"/>
  <c r="M223" i="40"/>
  <c r="O223" i="40" s="1"/>
  <c r="M233" i="40"/>
  <c r="Q233" i="40" s="1"/>
  <c r="M238" i="40"/>
  <c r="Q238" i="40" s="1"/>
  <c r="M16" i="40"/>
  <c r="Q16" i="40" s="1"/>
  <c r="M17" i="40"/>
  <c r="O17" i="40" s="1"/>
  <c r="M116" i="40"/>
  <c r="Q116" i="40" s="1"/>
  <c r="M226" i="40"/>
  <c r="Q226" i="40" s="1"/>
  <c r="M11" i="40"/>
  <c r="O11" i="40" s="1"/>
  <c r="M200" i="40"/>
  <c r="Q200" i="40" s="1"/>
  <c r="M146" i="40"/>
  <c r="Q146" i="40" s="1"/>
  <c r="M97" i="40"/>
  <c r="Q97" i="40" s="1"/>
  <c r="M28" i="40"/>
  <c r="Q28" i="40" s="1"/>
  <c r="Q39" i="40"/>
  <c r="O53" i="40"/>
  <c r="M10" i="40"/>
  <c r="Q10" i="40" s="1"/>
  <c r="M44" i="40"/>
  <c r="O44" i="40" s="1"/>
  <c r="M73" i="40"/>
  <c r="O73" i="40" s="1"/>
  <c r="M241" i="40"/>
  <c r="O241" i="40" s="1"/>
  <c r="M237" i="40"/>
  <c r="O237" i="40" s="1"/>
  <c r="M152" i="40"/>
  <c r="O152" i="40" s="1"/>
  <c r="M35" i="40"/>
  <c r="Q35" i="40" s="1"/>
  <c r="M127" i="40"/>
  <c r="O127" i="40" s="1"/>
  <c r="M113" i="40"/>
  <c r="Q113" i="40" s="1"/>
  <c r="M122" i="40"/>
  <c r="O122" i="40" s="1"/>
  <c r="M12" i="40"/>
  <c r="O12" i="40" s="1"/>
  <c r="M94" i="40"/>
  <c r="Q94" i="40" s="1"/>
  <c r="M142" i="40"/>
  <c r="O142" i="40" s="1"/>
  <c r="M66" i="40"/>
  <c r="O66" i="40" s="1"/>
  <c r="M37" i="40"/>
  <c r="Q37" i="40" s="1"/>
  <c r="M55" i="40"/>
  <c r="O55" i="40" s="1"/>
  <c r="M81" i="40"/>
  <c r="Q81" i="40" s="1"/>
  <c r="M162" i="40"/>
  <c r="O162" i="40" s="1"/>
  <c r="M9" i="40"/>
  <c r="Q9" i="40" s="1"/>
  <c r="G71" i="29"/>
  <c r="M157" i="40"/>
  <c r="Q157" i="40" s="1"/>
  <c r="M93" i="40"/>
  <c r="Q93" i="40" s="1"/>
  <c r="M158" i="40"/>
  <c r="Q158" i="40" s="1"/>
  <c r="M38" i="40"/>
  <c r="O38" i="40" s="1"/>
  <c r="M51" i="40"/>
  <c r="O51" i="40" s="1"/>
  <c r="Q124" i="40"/>
  <c r="Q133" i="40"/>
  <c r="M119" i="40"/>
  <c r="O119" i="40" s="1"/>
  <c r="M58" i="40"/>
  <c r="Q58" i="40" s="1"/>
  <c r="M166" i="40"/>
  <c r="Q166" i="40" s="1"/>
  <c r="O172" i="40"/>
  <c r="M88" i="40"/>
  <c r="Q88" i="40" s="1"/>
  <c r="M221" i="40"/>
  <c r="O221" i="40" s="1"/>
  <c r="M137" i="40"/>
  <c r="Q137" i="40" s="1"/>
  <c r="M47" i="40"/>
  <c r="Q47" i="40" s="1"/>
  <c r="M183" i="40"/>
  <c r="O183" i="40" s="1"/>
  <c r="M22" i="40"/>
  <c r="Q22" i="40" s="1"/>
  <c r="M190" i="40"/>
  <c r="O190" i="40" s="1"/>
  <c r="M70" i="40"/>
  <c r="O70" i="40" s="1"/>
  <c r="M171" i="40"/>
  <c r="O171" i="40" s="1"/>
  <c r="Q211" i="40"/>
  <c r="M246" i="40"/>
  <c r="Q246" i="40" s="1"/>
  <c r="M25" i="40"/>
  <c r="O25" i="40" s="1"/>
  <c r="M33" i="40"/>
  <c r="O33" i="40" s="1"/>
  <c r="M65" i="40"/>
  <c r="O65" i="40" s="1"/>
  <c r="M180" i="40"/>
  <c r="O180" i="40" s="1"/>
  <c r="M184" i="40"/>
  <c r="Q184" i="40" s="1"/>
  <c r="Q247" i="40"/>
  <c r="Q187" i="40"/>
  <c r="O41" i="40"/>
  <c r="O211" i="40"/>
  <c r="M126" i="40"/>
  <c r="O126" i="40" s="1"/>
  <c r="M20" i="40"/>
  <c r="Q20" i="40" s="1"/>
  <c r="M228" i="40"/>
  <c r="O228" i="40" s="1"/>
  <c r="M13" i="40"/>
  <c r="O13" i="40" s="1"/>
  <c r="M185" i="40"/>
  <c r="Q185" i="40" s="1"/>
  <c r="M46" i="40"/>
  <c r="O46" i="40" s="1"/>
  <c r="M140" i="40"/>
  <c r="Q140" i="40" s="1"/>
  <c r="M196" i="40"/>
  <c r="Q196" i="40" s="1"/>
  <c r="Q229" i="40"/>
  <c r="Q159" i="40"/>
  <c r="O168" i="40"/>
  <c r="M215" i="40"/>
  <c r="O215" i="40" s="1"/>
  <c r="M205" i="40"/>
  <c r="Q205" i="40" s="1"/>
  <c r="M31" i="40"/>
  <c r="O31" i="40" s="1"/>
  <c r="M182" i="40"/>
  <c r="O182" i="40" s="1"/>
  <c r="M219" i="40"/>
  <c r="O219" i="40" s="1"/>
  <c r="M178" i="40"/>
  <c r="Q178" i="40" s="1"/>
  <c r="Q72" i="40"/>
  <c r="M242" i="40"/>
  <c r="O242" i="40" s="1"/>
  <c r="M123" i="40"/>
  <c r="O123" i="40" s="1"/>
  <c r="M115" i="40"/>
  <c r="O115" i="40" s="1"/>
  <c r="M177" i="40"/>
  <c r="O177" i="40" s="1"/>
  <c r="M230" i="40"/>
  <c r="O230" i="40" s="1"/>
  <c r="M203" i="40"/>
  <c r="Q203" i="40" s="1"/>
  <c r="M141" i="40"/>
  <c r="Q141" i="40" s="1"/>
  <c r="M136" i="40"/>
  <c r="Q136" i="40" s="1"/>
  <c r="M202" i="40"/>
  <c r="O202" i="40" s="1"/>
  <c r="M207" i="40"/>
  <c r="Q207" i="40" s="1"/>
  <c r="M30" i="40"/>
  <c r="Q30" i="40" s="1"/>
  <c r="M43" i="40"/>
  <c r="O43" i="40" s="1"/>
  <c r="M83" i="40"/>
  <c r="O83" i="40" s="1"/>
  <c r="M245" i="40"/>
  <c r="O245" i="40" s="1"/>
  <c r="M148" i="40"/>
  <c r="O148" i="40" s="1"/>
  <c r="M32" i="40"/>
  <c r="O32" i="40" s="1"/>
  <c r="Q41" i="40"/>
  <c r="M79" i="40"/>
  <c r="O79" i="40" s="1"/>
  <c r="M194" i="40"/>
  <c r="Q194" i="40" s="1"/>
  <c r="M104" i="40"/>
  <c r="Q104" i="40" s="1"/>
  <c r="M201" i="40"/>
  <c r="Q201" i="40" s="1"/>
  <c r="M24" i="40"/>
  <c r="O24" i="40" s="1"/>
  <c r="Q168" i="40"/>
  <c r="M213" i="40"/>
  <c r="Q213" i="40" s="1"/>
  <c r="M167" i="40"/>
  <c r="Q167" i="40" s="1"/>
  <c r="M64" i="40"/>
  <c r="O64" i="40" s="1"/>
  <c r="M52" i="40"/>
  <c r="Q52" i="40" s="1"/>
  <c r="Q217" i="40"/>
  <c r="O217" i="40"/>
  <c r="Q204" i="40"/>
  <c r="O204" i="40"/>
  <c r="M173" i="40"/>
  <c r="O173" i="40" s="1"/>
  <c r="O133" i="40"/>
  <c r="M209" i="40"/>
  <c r="O209" i="40" s="1"/>
  <c r="M120" i="40"/>
  <c r="Q120" i="40" s="1"/>
  <c r="Q193" i="40"/>
  <c r="M89" i="40"/>
  <c r="O89" i="40" s="1"/>
  <c r="M225" i="40"/>
  <c r="Q225" i="40" s="1"/>
  <c r="M139" i="40"/>
  <c r="Q139" i="40" s="1"/>
  <c r="O193" i="40"/>
  <c r="M212" i="40"/>
  <c r="O212" i="40" s="1"/>
  <c r="M192" i="40"/>
  <c r="O192" i="40" s="1"/>
  <c r="M84" i="40"/>
  <c r="O84" i="40" s="1"/>
  <c r="M59" i="40"/>
  <c r="O59" i="40" s="1"/>
  <c r="M216" i="40"/>
  <c r="O216" i="40" s="1"/>
  <c r="O179" i="40"/>
  <c r="M49" i="40"/>
  <c r="Q49" i="40" s="1"/>
  <c r="M170" i="40"/>
  <c r="Q170" i="40" s="1"/>
  <c r="M118" i="40"/>
  <c r="O118" i="40" s="1"/>
  <c r="Q179" i="40"/>
  <c r="M163" i="40"/>
  <c r="Q163" i="40" s="1"/>
  <c r="O229" i="40"/>
  <c r="M99" i="40"/>
  <c r="Q99" i="40" s="1"/>
  <c r="M92" i="40"/>
  <c r="Q92" i="40" s="1"/>
  <c r="M199" i="40"/>
  <c r="Q199" i="40" s="1"/>
  <c r="M112" i="40"/>
  <c r="O112" i="40" s="1"/>
  <c r="M169" i="40"/>
  <c r="O169" i="40" s="1"/>
  <c r="Q208" i="40"/>
  <c r="M19" i="40"/>
  <c r="O19" i="40" s="1"/>
  <c r="M222" i="40"/>
  <c r="O222" i="40" s="1"/>
  <c r="M235" i="40"/>
  <c r="Q235" i="40" s="1"/>
  <c r="Q53" i="40"/>
  <c r="M101" i="40"/>
  <c r="O101" i="40" s="1"/>
  <c r="O39" i="40"/>
  <c r="O187" i="40"/>
  <c r="O124" i="40"/>
  <c r="O247" i="40"/>
  <c r="O159" i="40"/>
  <c r="O72" i="40"/>
  <c r="M74" i="40"/>
  <c r="Q74" i="40" s="1"/>
  <c r="M27" i="40"/>
  <c r="O27" i="40" s="1"/>
  <c r="M91" i="40"/>
  <c r="O91" i="40" s="1"/>
  <c r="M71" i="29"/>
  <c r="S71" i="29"/>
  <c r="M42" i="40"/>
  <c r="O42" i="40" s="1"/>
  <c r="AW71" i="29"/>
  <c r="M90" i="40"/>
  <c r="O90" i="40" s="1"/>
  <c r="M176" i="40"/>
  <c r="O176" i="40" s="1"/>
  <c r="M134" i="40"/>
  <c r="O134" i="40" s="1"/>
  <c r="M154" i="40"/>
  <c r="Q154" i="40" s="1"/>
  <c r="M60" i="40"/>
  <c r="Q60" i="40" s="1"/>
  <c r="M71" i="40"/>
  <c r="Q71" i="40" s="1"/>
  <c r="M160" i="40"/>
  <c r="Q160" i="40" s="1"/>
  <c r="Y71" i="29"/>
  <c r="Q231" i="40"/>
  <c r="O231" i="40"/>
  <c r="O135" i="40"/>
  <c r="M218" i="40"/>
  <c r="O218" i="40" s="1"/>
  <c r="Q172" i="40"/>
  <c r="M50" i="40"/>
  <c r="Q50" i="40" s="1"/>
  <c r="M110" i="40"/>
  <c r="O110" i="40" s="1"/>
  <c r="O48" i="40"/>
  <c r="Q48" i="40"/>
  <c r="Q153" i="40"/>
  <c r="O153" i="40"/>
  <c r="Q86" i="40"/>
  <c r="O86" i="40"/>
  <c r="Q14" i="40"/>
  <c r="O14" i="40"/>
  <c r="O198" i="40"/>
  <c r="Q198" i="40"/>
  <c r="Q191" i="40"/>
  <c r="O191" i="40"/>
  <c r="O220" i="40"/>
  <c r="Q220" i="40"/>
  <c r="O121" i="40"/>
  <c r="Q121" i="40"/>
  <c r="Q40" i="40"/>
  <c r="O40" i="40"/>
  <c r="O78" i="40"/>
  <c r="Q78" i="40"/>
  <c r="Q243" i="40"/>
  <c r="O243" i="40"/>
  <c r="Q18" i="40"/>
  <c r="O18" i="40"/>
  <c r="O109" i="40"/>
  <c r="Q109" i="40"/>
  <c r="Q98" i="40"/>
  <c r="O98" i="40"/>
  <c r="M240" i="40"/>
  <c r="Q195" i="40"/>
  <c r="O195" i="40"/>
  <c r="M206" i="40"/>
  <c r="M239" i="40"/>
  <c r="Q224" i="40"/>
  <c r="O224" i="40"/>
  <c r="M214" i="40"/>
  <c r="Q63" i="40"/>
  <c r="O63" i="40"/>
  <c r="G92" i="39" l="1"/>
  <c r="O213" i="40"/>
  <c r="O69" i="40"/>
  <c r="O165" i="40"/>
  <c r="Q75" i="40"/>
  <c r="Q145" i="40"/>
  <c r="O62" i="40"/>
  <c r="O36" i="40"/>
  <c r="O82" i="40"/>
  <c r="O57" i="40"/>
  <c r="O76" i="40"/>
  <c r="Q210" i="40"/>
  <c r="Q29" i="40"/>
  <c r="Q125" i="40"/>
  <c r="Q21" i="40"/>
  <c r="Q223" i="40"/>
  <c r="O233" i="40"/>
  <c r="Q68" i="40"/>
  <c r="Q15" i="40"/>
  <c r="Q17" i="40"/>
  <c r="O238" i="40"/>
  <c r="AX71" i="29"/>
  <c r="F92" i="39"/>
  <c r="Q11" i="40"/>
  <c r="O200" i="40"/>
  <c r="Q127" i="40"/>
  <c r="O116" i="40"/>
  <c r="O97" i="40"/>
  <c r="Q66" i="40"/>
  <c r="Q152" i="40"/>
  <c r="O146" i="40"/>
  <c r="Q162" i="40"/>
  <c r="O16" i="40"/>
  <c r="O93" i="40"/>
  <c r="O226" i="40"/>
  <c r="O28" i="40"/>
  <c r="Q55" i="40"/>
  <c r="Q241" i="40"/>
  <c r="O10" i="40"/>
  <c r="Q73" i="40"/>
  <c r="O113" i="40"/>
  <c r="Q237" i="40"/>
  <c r="O35" i="40"/>
  <c r="Q122" i="40"/>
  <c r="Q44" i="40"/>
  <c r="O94" i="40"/>
  <c r="O157" i="40"/>
  <c r="Q142" i="40"/>
  <c r="Q12" i="40"/>
  <c r="Q38" i="40"/>
  <c r="O37" i="40"/>
  <c r="O9" i="40"/>
  <c r="Q19" i="40"/>
  <c r="O81" i="40"/>
  <c r="O158" i="40"/>
  <c r="O22" i="40"/>
  <c r="Q202" i="40"/>
  <c r="O58" i="40"/>
  <c r="Q221" i="40"/>
  <c r="Q33" i="40"/>
  <c r="O20" i="40"/>
  <c r="Q171" i="40"/>
  <c r="Q183" i="40"/>
  <c r="Q182" i="40"/>
  <c r="Q119" i="40"/>
  <c r="Q215" i="40"/>
  <c r="Q65" i="40"/>
  <c r="Q219" i="40"/>
  <c r="Q51" i="40"/>
  <c r="Q79" i="40"/>
  <c r="O88" i="40"/>
  <c r="O166" i="40"/>
  <c r="Q190" i="40"/>
  <c r="Q180" i="40"/>
  <c r="Q228" i="40"/>
  <c r="Q112" i="40"/>
  <c r="Q43" i="40"/>
  <c r="O47" i="40"/>
  <c r="Q89" i="40"/>
  <c r="Q126" i="40"/>
  <c r="O137" i="40"/>
  <c r="Q70" i="40"/>
  <c r="O184" i="40"/>
  <c r="O201" i="40"/>
  <c r="O196" i="40"/>
  <c r="Q177" i="40"/>
  <c r="O167" i="40"/>
  <c r="O246" i="40"/>
  <c r="Q222" i="40"/>
  <c r="O136" i="40"/>
  <c r="Q245" i="40"/>
  <c r="O104" i="40"/>
  <c r="O140" i="40"/>
  <c r="Q25" i="40"/>
  <c r="Q148" i="40"/>
  <c r="O205" i="40"/>
  <c r="O60" i="40"/>
  <c r="Q212" i="40"/>
  <c r="O30" i="40"/>
  <c r="Q115" i="40"/>
  <c r="Q216" i="40"/>
  <c r="O170" i="40"/>
  <c r="Q101" i="40"/>
  <c r="AV71" i="29"/>
  <c r="Q13" i="40"/>
  <c r="O141" i="40"/>
  <c r="O185" i="40"/>
  <c r="Q46" i="40"/>
  <c r="Q230" i="40"/>
  <c r="Q192" i="40"/>
  <c r="Q218" i="40"/>
  <c r="Q64" i="40"/>
  <c r="Q242" i="40"/>
  <c r="O99" i="40"/>
  <c r="Q209" i="40"/>
  <c r="O199" i="40"/>
  <c r="Q123" i="40"/>
  <c r="O207" i="40"/>
  <c r="O163" i="40"/>
  <c r="O52" i="40"/>
  <c r="O178" i="40"/>
  <c r="O203" i="40"/>
  <c r="Q83" i="40"/>
  <c r="O74" i="40"/>
  <c r="Q169" i="40"/>
  <c r="Q32" i="40"/>
  <c r="O92" i="40"/>
  <c r="Q134" i="40"/>
  <c r="Q31" i="40"/>
  <c r="O120" i="40"/>
  <c r="O194" i="40"/>
  <c r="Q118" i="40"/>
  <c r="Q24" i="40"/>
  <c r="O225" i="40"/>
  <c r="O139" i="40"/>
  <c r="Q27" i="40"/>
  <c r="Q91" i="40"/>
  <c r="Q42" i="40"/>
  <c r="Q84" i="40"/>
  <c r="O49" i="40"/>
  <c r="Q173" i="40"/>
  <c r="O235" i="40"/>
  <c r="Q59" i="40"/>
  <c r="O50" i="40"/>
  <c r="O154" i="40"/>
  <c r="O160" i="40"/>
  <c r="Q90" i="40"/>
  <c r="O71" i="40"/>
  <c r="Q176" i="40"/>
  <c r="Q110" i="40"/>
  <c r="Q239" i="40"/>
  <c r="O239" i="40"/>
  <c r="Q206" i="40"/>
  <c r="O206" i="40"/>
  <c r="Q214" i="40"/>
  <c r="O214" i="40"/>
  <c r="Q240" i="40"/>
  <c r="O240" i="40"/>
  <c r="K92" i="39" l="1"/>
  <c r="I92" i="39"/>
  <c r="P6" i="40"/>
  <c r="O6" i="40"/>
  <c r="N6" i="40"/>
</calcChain>
</file>

<file path=xl/sharedStrings.xml><?xml version="1.0" encoding="utf-8"?>
<sst xmlns="http://schemas.openxmlformats.org/spreadsheetml/2006/main" count="6111" uniqueCount="1429">
  <si>
    <t>CEDULA</t>
  </si>
  <si>
    <t>NOMBRE Y APELLIDO</t>
  </si>
  <si>
    <t>OBSERVACION</t>
  </si>
  <si>
    <t>MARLENE GRATEROL</t>
  </si>
  <si>
    <t>CARLOS CHIRINOS</t>
  </si>
  <si>
    <t>MORENO ROBERT</t>
  </si>
  <si>
    <t>NOMINA</t>
  </si>
  <si>
    <t xml:space="preserve">ALTO NIVEL </t>
  </si>
  <si>
    <t xml:space="preserve">CONTRATADOS </t>
  </si>
  <si>
    <t>EMPLEADO</t>
  </si>
  <si>
    <t>MEDICO</t>
  </si>
  <si>
    <t xml:space="preserve">COMISION DE SERVICIO </t>
  </si>
  <si>
    <t>OBREROS</t>
  </si>
  <si>
    <t>PACHECO CIRILO</t>
  </si>
  <si>
    <t>DUARTE NELSON</t>
  </si>
  <si>
    <t>DURAN GERARDO</t>
  </si>
  <si>
    <t>MONCADA CANDI</t>
  </si>
  <si>
    <t>VEGAS GABRIEL</t>
  </si>
  <si>
    <t>CORDOVA ESMIRIN</t>
  </si>
  <si>
    <t>BRITO LYSBETH</t>
  </si>
  <si>
    <t>BRAVO MARTHA</t>
  </si>
  <si>
    <t>BASTIDAS JOSE</t>
  </si>
  <si>
    <t>MORENO JULIO</t>
  </si>
  <si>
    <t>GODOY RAFAEL</t>
  </si>
  <si>
    <t>OROPEZA EUCLIDES</t>
  </si>
  <si>
    <t>GONZALEZ RITO</t>
  </si>
  <si>
    <t>BRICENO ESPERANZA</t>
  </si>
  <si>
    <t>MORENO ARGELIA</t>
  </si>
  <si>
    <t>GONZALEZ HILDA</t>
  </si>
  <si>
    <t>RODRIGUEZ VLADIMIR</t>
  </si>
  <si>
    <t>MONSALVE WILMER</t>
  </si>
  <si>
    <t>MACHADO ANTONIO</t>
  </si>
  <si>
    <t>ROJAS JOEL</t>
  </si>
  <si>
    <t>QUIARO JOSE</t>
  </si>
  <si>
    <t>MEJIAS EDGAR</t>
  </si>
  <si>
    <t>PADRON ALIX</t>
  </si>
  <si>
    <t>MORIN GLENDA</t>
  </si>
  <si>
    <t>MEJIA MARIA</t>
  </si>
  <si>
    <t>PADRON BARBARA</t>
  </si>
  <si>
    <t>JIMENEZ EDISON</t>
  </si>
  <si>
    <t>OCHOA RENE</t>
  </si>
  <si>
    <t>RANGEL LILIA</t>
  </si>
  <si>
    <t>GUEDEZ ELITA</t>
  </si>
  <si>
    <t>MOYA FELIPE</t>
  </si>
  <si>
    <t>ROMERO ESTEBAN</t>
  </si>
  <si>
    <t>MARTINEZ JAVIER</t>
  </si>
  <si>
    <t>GOMEZ DAISY</t>
  </si>
  <si>
    <t>MONJES YESICA</t>
  </si>
  <si>
    <t>MARIN JOSE</t>
  </si>
  <si>
    <t>TORRES JOSE</t>
  </si>
  <si>
    <t>CASTILLO BLANCA</t>
  </si>
  <si>
    <t>AREVALO YASMIN</t>
  </si>
  <si>
    <t>MARQUEZ ANA</t>
  </si>
  <si>
    <t>CHAVARRI ESLER</t>
  </si>
  <si>
    <t>REYES NELITZA</t>
  </si>
  <si>
    <t>GONZALEZ OMAR</t>
  </si>
  <si>
    <t>RAUSSEO LAIRET</t>
  </si>
  <si>
    <t>RIVERO YANNY</t>
  </si>
  <si>
    <t>BOMPART IVY</t>
  </si>
  <si>
    <t>GARCIA YEDISON</t>
  </si>
  <si>
    <t>OCHOA ZOILA</t>
  </si>
  <si>
    <t>PEREZ BELKIS</t>
  </si>
  <si>
    <t>ECHENIQUE CESANY</t>
  </si>
  <si>
    <t>FONSECA IVANNA</t>
  </si>
  <si>
    <t>REYES SHARY</t>
  </si>
  <si>
    <t>BOTERO ADRIANA</t>
  </si>
  <si>
    <t>MACHADO RAQUEL</t>
  </si>
  <si>
    <t>ALVAREZ PIERANGELA</t>
  </si>
  <si>
    <t>MATERAN YURAIMA</t>
  </si>
  <si>
    <t>MONSALVE IRAIMA</t>
  </si>
  <si>
    <t>AVILA YAMILETH</t>
  </si>
  <si>
    <t>REY YONICA</t>
  </si>
  <si>
    <t>COLINA MILAGROS</t>
  </si>
  <si>
    <t>RONDON ANDREA</t>
  </si>
  <si>
    <t>UZCATEGUI ORIANA</t>
  </si>
  <si>
    <t>FREY JUAN</t>
  </si>
  <si>
    <t>SOSA INGRID</t>
  </si>
  <si>
    <t>DIAZ ESTEFANY</t>
  </si>
  <si>
    <t>MARCANO KERLIN</t>
  </si>
  <si>
    <t>RODRIGUEZ MOISES</t>
  </si>
  <si>
    <t>BLANCO RIKEIMER</t>
  </si>
  <si>
    <t>GONZALEZ GLORIA</t>
  </si>
  <si>
    <t>LEON LEINDER</t>
  </si>
  <si>
    <t>SILVA HERMA</t>
  </si>
  <si>
    <t>TRUJILLO FRANKLIN</t>
  </si>
  <si>
    <t>FLORES IRALIS</t>
  </si>
  <si>
    <t>CONTRERAS YOSBELY</t>
  </si>
  <si>
    <t>PARADA MARIA</t>
  </si>
  <si>
    <t>SANCHEZ BLAS</t>
  </si>
  <si>
    <t>VERA WENDY</t>
  </si>
  <si>
    <t>TORRES JAVIER</t>
  </si>
  <si>
    <t>FERNADEZ YULIMAR</t>
  </si>
  <si>
    <t>LOPEZ YULEIDYS</t>
  </si>
  <si>
    <t>CUELLO SELENE</t>
  </si>
  <si>
    <t>ROJAS ODRHY</t>
  </si>
  <si>
    <t>GONZALEZ YONEIKA</t>
  </si>
  <si>
    <t>RODRIGUEZ ERIC</t>
  </si>
  <si>
    <t>ARTILES ERICK</t>
  </si>
  <si>
    <t>ARQUINO ROSIBEL</t>
  </si>
  <si>
    <t>LENTTINI GIOVANNI</t>
  </si>
  <si>
    <t>ACOSTA ENDERSON</t>
  </si>
  <si>
    <t>PACHECO DAYMAR</t>
  </si>
  <si>
    <t>MARTINEZ CARMEN</t>
  </si>
  <si>
    <t>CHACIN JOSE</t>
  </si>
  <si>
    <t>BURGOS MARITZA</t>
  </si>
  <si>
    <t>HERNANDEZ ALEXANDRA</t>
  </si>
  <si>
    <t>RODRIGUEZ LIESKA</t>
  </si>
  <si>
    <t>MOYA MANUEL</t>
  </si>
  <si>
    <t>GONZALEZ ROSSMING</t>
  </si>
  <si>
    <t>MARQUEZ MARISOL</t>
  </si>
  <si>
    <t>MONSALVE ZENIA</t>
  </si>
  <si>
    <t>AGATON ANA</t>
  </si>
  <si>
    <t>ESTEVES CARMEN</t>
  </si>
  <si>
    <t>SAYAGO JESMIN</t>
  </si>
  <si>
    <t>ACEVEDO MOISES</t>
  </si>
  <si>
    <t>PUENTE MIRTA</t>
  </si>
  <si>
    <t>COLON LEOMIL</t>
  </si>
  <si>
    <t>APONTE CARLOS</t>
  </si>
  <si>
    <t>HERNANDEZ ROBERTO</t>
  </si>
  <si>
    <t>ALARCON VICTOR</t>
  </si>
  <si>
    <t>BURGOS MIGUEL</t>
  </si>
  <si>
    <t>PADRON YELITZA</t>
  </si>
  <si>
    <t>HIDALGO PEDRO</t>
  </si>
  <si>
    <t>DELGADO JUDITH</t>
  </si>
  <si>
    <t>D ANGELO  PIERINA</t>
  </si>
  <si>
    <t>MONTES YANETTE</t>
  </si>
  <si>
    <t>VERGARA MERCEDES</t>
  </si>
  <si>
    <t>LEOTTAU LILIBETH</t>
  </si>
  <si>
    <t>GRATEROL OSWALDO</t>
  </si>
  <si>
    <t>OROPEZA PATRICIA</t>
  </si>
  <si>
    <t>MARCANO ALEXANDER</t>
  </si>
  <si>
    <t>TROMBINO VINCENZA</t>
  </si>
  <si>
    <t>PENA ELIZABETH</t>
  </si>
  <si>
    <t>BARRETO MICHEL</t>
  </si>
  <si>
    <t>RODRIGUEZ DAYANA</t>
  </si>
  <si>
    <t>ARTEAGA CORALIA</t>
  </si>
  <si>
    <t>MARQUEZ LUIS</t>
  </si>
  <si>
    <t>DE ABREU LISBETH</t>
  </si>
  <si>
    <t>SALGADO NURYS</t>
  </si>
  <si>
    <t>RIZZI NATHALIE</t>
  </si>
  <si>
    <t>MANRIQUE MILBO</t>
  </si>
  <si>
    <t>GOMEZ GABRIEL</t>
  </si>
  <si>
    <t>GOMEZ IRMA</t>
  </si>
  <si>
    <t>ESPINOZA MARITZA</t>
  </si>
  <si>
    <t>PETIT EDILIDA</t>
  </si>
  <si>
    <t>NAVARRO DULCY</t>
  </si>
  <si>
    <t>MELLADO GRETTY</t>
  </si>
  <si>
    <t>BARRETO CESAR</t>
  </si>
  <si>
    <t>LAGUADO MARILYN</t>
  </si>
  <si>
    <t>CASTRO ALBERTO</t>
  </si>
  <si>
    <t>PLUA MARCOS</t>
  </si>
  <si>
    <t>CUAUROO MARCEL</t>
  </si>
  <si>
    <t>CARUCI WILMER</t>
  </si>
  <si>
    <t>MONSALVE RUBEN</t>
  </si>
  <si>
    <t>GONZALEZ CARLOS</t>
  </si>
  <si>
    <t>ORTA LUISANA</t>
  </si>
  <si>
    <t>NUNEZ ANGEL</t>
  </si>
  <si>
    <t>PARCERO HECTOR</t>
  </si>
  <si>
    <t>BLANCO MIGUEL</t>
  </si>
  <si>
    <t>SANTOS MIREYA</t>
  </si>
  <si>
    <t>DIAZ FELIPE</t>
  </si>
  <si>
    <t>DIAZ TOMAS</t>
  </si>
  <si>
    <t>GUILLEN DEYANIRA</t>
  </si>
  <si>
    <t>AMELI GLADYS</t>
  </si>
  <si>
    <t>DIAZ RAFAEL</t>
  </si>
  <si>
    <t>RODRIGUEZ SURAIMA</t>
  </si>
  <si>
    <t>REY JAVIER</t>
  </si>
  <si>
    <t>MORENO GILMA</t>
  </si>
  <si>
    <t>PORRAS NORAIDYS</t>
  </si>
  <si>
    <t>CARDONA MARTA</t>
  </si>
  <si>
    <t>GONZALEZ MIRIAN</t>
  </si>
  <si>
    <t>ORTEGA GREILIS</t>
  </si>
  <si>
    <t>PAYARES DAISY</t>
  </si>
  <si>
    <t>BAUTISTA LUIS</t>
  </si>
  <si>
    <t>DIAZ KARELYS</t>
  </si>
  <si>
    <t>HUERFANO JOANNA</t>
  </si>
  <si>
    <t>TORRES JORGE</t>
  </si>
  <si>
    <t>SANCHEZ GLADYS</t>
  </si>
  <si>
    <t>MUNOZ RAFAEL</t>
  </si>
  <si>
    <t>LOPEZ CELINA</t>
  </si>
  <si>
    <t>RUEDA ROSA</t>
  </si>
  <si>
    <t>GARCIA ROSELIA</t>
  </si>
  <si>
    <t>REYES JUAN</t>
  </si>
  <si>
    <t>BLANCO JESUS</t>
  </si>
  <si>
    <t>GUTIERREZ ALICIA</t>
  </si>
  <si>
    <t>TOVAR MARIELA</t>
  </si>
  <si>
    <t>DURAN MARIO</t>
  </si>
  <si>
    <t>ALVARADO MOISES</t>
  </si>
  <si>
    <t>VARGAS ANDRES</t>
  </si>
  <si>
    <t>SEMPRUM CLAUDIO</t>
  </si>
  <si>
    <t>FLORES MAURA</t>
  </si>
  <si>
    <t>BARRETO FRANK</t>
  </si>
  <si>
    <t>CORTEZ FELICITA</t>
  </si>
  <si>
    <t>DUQUE ANGEL</t>
  </si>
  <si>
    <t>FLORES CARLOS</t>
  </si>
  <si>
    <t>GARCIA JOSMAR</t>
  </si>
  <si>
    <t>QUINTANA ANTONIO</t>
  </si>
  <si>
    <t>LOPEZ MORELLY</t>
  </si>
  <si>
    <t>SANCHEZ DORIS</t>
  </si>
  <si>
    <t>LARES GLENDA</t>
  </si>
  <si>
    <t>DOMINGUEZ MIGUEL</t>
  </si>
  <si>
    <t>PINEDA YIRLENI</t>
  </si>
  <si>
    <t>RENGEL LUIS</t>
  </si>
  <si>
    <t>UGARTE CARMEN</t>
  </si>
  <si>
    <t>ZAMBRANO JULIO</t>
  </si>
  <si>
    <t>MARTINEZ ADRIANA</t>
  </si>
  <si>
    <t>MANRIQUE MORAIMA</t>
  </si>
  <si>
    <t>SANCHEZ MARIA</t>
  </si>
  <si>
    <t>OSAL ILIANA</t>
  </si>
  <si>
    <t>FIGUERA FABIOLA</t>
  </si>
  <si>
    <t>LORETO RITA</t>
  </si>
  <si>
    <t>PALACIOS CARMEN</t>
  </si>
  <si>
    <t>BASTIDAS ADOLFO</t>
  </si>
  <si>
    <t>CACERES ROSDUARDO</t>
  </si>
  <si>
    <t>AGUILERA AMARILIS</t>
  </si>
  <si>
    <t>SUNIAGA EMILIO</t>
  </si>
  <si>
    <t>SILVA COROMOTO</t>
  </si>
  <si>
    <t>ARRAEZ MEYLIN</t>
  </si>
  <si>
    <t>VASQUEZ CARLOS</t>
  </si>
  <si>
    <t>URDANETA LIRIA</t>
  </si>
  <si>
    <t>FLORES LUIS</t>
  </si>
  <si>
    <t>VEGAS YSELA</t>
  </si>
  <si>
    <t>BRICENO FELICIANO</t>
  </si>
  <si>
    <t>ORTEGA GREIMAR</t>
  </si>
  <si>
    <t>OLIVAR THAYNES</t>
  </si>
  <si>
    <t>VARGAS JACOB</t>
  </si>
  <si>
    <t>OLIVAR YATZURI</t>
  </si>
  <si>
    <t>URBINA MARIA</t>
  </si>
  <si>
    <t>MUJICA EDGAR</t>
  </si>
  <si>
    <t>MORENO EIDHA</t>
  </si>
  <si>
    <t>RIVAS SORBAY</t>
  </si>
  <si>
    <t>VELASQUEZ YELITZA</t>
  </si>
  <si>
    <t>SANCHEZ DONEYLA</t>
  </si>
  <si>
    <t>BOCARANDA JOSE</t>
  </si>
  <si>
    <t>CEBALLOS MARIA</t>
  </si>
  <si>
    <t>GUERRERO LEONARDO</t>
  </si>
  <si>
    <t>CASTILLO MAILYNG</t>
  </si>
  <si>
    <t>NUNEZ MARLIS</t>
  </si>
  <si>
    <t>MANZANILLA CONZUELO</t>
  </si>
  <si>
    <t>CASTRO MAGALY</t>
  </si>
  <si>
    <t>BELLO MAILYN</t>
  </si>
  <si>
    <t>PADRINO MARIANELA</t>
  </si>
  <si>
    <t>RANGEL GLADYS</t>
  </si>
  <si>
    <t>ALVARADO ZORAIDA</t>
  </si>
  <si>
    <t>TORRES GRACIELA</t>
  </si>
  <si>
    <t>RAMIREZ YOLIMAR</t>
  </si>
  <si>
    <t>PARRA YALETSI</t>
  </si>
  <si>
    <t>FERNANDEZ CARMEN</t>
  </si>
  <si>
    <t>AMUNDARAIN YURBI</t>
  </si>
  <si>
    <t>ARVELO MARIBEL</t>
  </si>
  <si>
    <t>LINARES MAURY</t>
  </si>
  <si>
    <t>DOS RAMIREZ</t>
  </si>
  <si>
    <t>SALAS LEILA</t>
  </si>
  <si>
    <t>GUARISMA FELIX</t>
  </si>
  <si>
    <t>MUJICA ROSARIO</t>
  </si>
  <si>
    <t>BREA JUAN</t>
  </si>
  <si>
    <t>AGUILAR MARWAN</t>
  </si>
  <si>
    <t>QUESADA JOEVE</t>
  </si>
  <si>
    <t>CASTILLO CECIVER</t>
  </si>
  <si>
    <t>IBARRA ANDREINA</t>
  </si>
  <si>
    <t>FAVOT BIANCA</t>
  </si>
  <si>
    <t>GONZALEZ EVELYN</t>
  </si>
  <si>
    <t>BLANCO YENIZET</t>
  </si>
  <si>
    <t>GUACARAN FREDY</t>
  </si>
  <si>
    <t>VILLASMIL JEAN</t>
  </si>
  <si>
    <t>REBOLLEDO MARIA</t>
  </si>
  <si>
    <t>HERNANDEZ DANNY</t>
  </si>
  <si>
    <t>REY LORENA</t>
  </si>
  <si>
    <t>NUNEZ ANGIE</t>
  </si>
  <si>
    <t>HERNANDEZ AILE</t>
  </si>
  <si>
    <t>PADRON MABEL</t>
  </si>
  <si>
    <t>HERRERA MICHAEL</t>
  </si>
  <si>
    <t>RODRIGUEZ LUIS</t>
  </si>
  <si>
    <t>LOPEZ BREINER</t>
  </si>
  <si>
    <t>RAMOS BETHZAIDA</t>
  </si>
  <si>
    <t>ABREU JOHANNA</t>
  </si>
  <si>
    <t>MUNOZ GLENDA</t>
  </si>
  <si>
    <t>MARTINEZ ROSSANA</t>
  </si>
  <si>
    <t>BRITO CARMEN</t>
  </si>
  <si>
    <t>MUJICA JEHNNY</t>
  </si>
  <si>
    <t>HERNANDEZ MILAGROS</t>
  </si>
  <si>
    <t>GUZMAN JOSELYN</t>
  </si>
  <si>
    <t>RUIZ SOBELLA</t>
  </si>
  <si>
    <t>RODRIGUEZ JULIO</t>
  </si>
  <si>
    <t>PINTO IDELMAR</t>
  </si>
  <si>
    <t>LORETO IRIS</t>
  </si>
  <si>
    <t>MARRERO ZULEIDY</t>
  </si>
  <si>
    <t>ROSAS VERONICA</t>
  </si>
  <si>
    <t>MARTINEZ SINDY</t>
  </si>
  <si>
    <t>VELASQUEZ MAYERLING</t>
  </si>
  <si>
    <t>ANGULO MARIA</t>
  </si>
  <si>
    <t>RUIZ LISBETH</t>
  </si>
  <si>
    <t>MATOS ZALEYDI</t>
  </si>
  <si>
    <t>TORRES JESUS</t>
  </si>
  <si>
    <t>FRANCO KARINA</t>
  </si>
  <si>
    <t>PATINO EDUARDO</t>
  </si>
  <si>
    <t>MEDINA SAYHORLY</t>
  </si>
  <si>
    <t>ALBORNOZ AMARILIS</t>
  </si>
  <si>
    <t>CASTILLO GENISIS</t>
  </si>
  <si>
    <t>APONTE WILMARY</t>
  </si>
  <si>
    <t>RAMIREZ JESUS</t>
  </si>
  <si>
    <t>RODRIGUEZ OBRAYAN</t>
  </si>
  <si>
    <t>RODRIGUEZ NORVELIS</t>
  </si>
  <si>
    <t>LEON ANHLLY</t>
  </si>
  <si>
    <t>LINARES MEIGNELLY</t>
  </si>
  <si>
    <t>VIVAS JESSICA</t>
  </si>
  <si>
    <t>MONTERO YOHANSIS</t>
  </si>
  <si>
    <t>BOLIVAR FRANCIS</t>
  </si>
  <si>
    <t>GARCIA NORCA</t>
  </si>
  <si>
    <t>ARIAS YURIANNI</t>
  </si>
  <si>
    <t>CARRERO YESSIKA</t>
  </si>
  <si>
    <t>MARQUEZ FRANCELINE</t>
  </si>
  <si>
    <t>RODRIGUEZ TAHILYS</t>
  </si>
  <si>
    <t>VASQUEZ AIXA</t>
  </si>
  <si>
    <t>RIOS NATALY</t>
  </si>
  <si>
    <t>APARICIO MICAELA</t>
  </si>
  <si>
    <t>GOMEZ GABRIELA</t>
  </si>
  <si>
    <t>MARMOLET KENLLY</t>
  </si>
  <si>
    <t>ZAPATA GREICY</t>
  </si>
  <si>
    <t>OLIVARES MELVIS</t>
  </si>
  <si>
    <t>PEROZA RONAYQUEL</t>
  </si>
  <si>
    <t>YEPEZ YURANI</t>
  </si>
  <si>
    <t>FLORES ROSIBEL</t>
  </si>
  <si>
    <t>SERRANO ELEANA</t>
  </si>
  <si>
    <t>SAYAGO YORGEIDY</t>
  </si>
  <si>
    <t>ANDRADE SARAY</t>
  </si>
  <si>
    <t>CUMANA VANDERLIN</t>
  </si>
  <si>
    <t>HERNANDEZ YOLEIDY</t>
  </si>
  <si>
    <t>BLANCO MAYRA</t>
  </si>
  <si>
    <t>ABREU AMANDA</t>
  </si>
  <si>
    <t>PELAY ANA</t>
  </si>
  <si>
    <t>BLANCO FRANCIS</t>
  </si>
  <si>
    <t>SILENA YBARRA</t>
  </si>
  <si>
    <t>HENRIQUEZ KIRSEY</t>
  </si>
  <si>
    <t>URDANETA YENNI</t>
  </si>
  <si>
    <t>GUZMAN JORGE</t>
  </si>
  <si>
    <t>CARDENAS JOSE</t>
  </si>
  <si>
    <t>RODRIGUEZ AQUILES</t>
  </si>
  <si>
    <t>LINARES JOSE</t>
  </si>
  <si>
    <t>ALFARO TOMAS</t>
  </si>
  <si>
    <t>PARRA LUIS</t>
  </si>
  <si>
    <t>PENA ENRIQUE</t>
  </si>
  <si>
    <t>VELASQUEZ RAUL</t>
  </si>
  <si>
    <t>MANRIQUE PABLO</t>
  </si>
  <si>
    <t>ARIAS NELSON</t>
  </si>
  <si>
    <t>CRISTANCHO ALFONSO</t>
  </si>
  <si>
    <t>PARRA MANUEL</t>
  </si>
  <si>
    <t>CARRASQUEL JOSE</t>
  </si>
  <si>
    <t>SUAREZ CARLOS</t>
  </si>
  <si>
    <t>AVILA JAVIER</t>
  </si>
  <si>
    <t>GUARENAS MIRIAN</t>
  </si>
  <si>
    <t>ESPINOZA JOSE</t>
  </si>
  <si>
    <t>SANCHEZ MANUEL</t>
  </si>
  <si>
    <t>GUERRERO FRANKLIN</t>
  </si>
  <si>
    <t>DAVILA MARISOL</t>
  </si>
  <si>
    <t>GARCIA CARLOS</t>
  </si>
  <si>
    <t>TORRES FRANKLIN</t>
  </si>
  <si>
    <t>OCHOA ANTONIO</t>
  </si>
  <si>
    <t>OCHOA LUIS</t>
  </si>
  <si>
    <t>CONA KENNE</t>
  </si>
  <si>
    <t>NIETO JULIAN</t>
  </si>
  <si>
    <t>HERNANDEZ CARLOS</t>
  </si>
  <si>
    <t>SANCHEZ WILFREDO</t>
  </si>
  <si>
    <t>PEREIRA RAMON</t>
  </si>
  <si>
    <t>BRICENO JOSE</t>
  </si>
  <si>
    <t>FONSECA JOSE</t>
  </si>
  <si>
    <t>ALVARADO RICHARD</t>
  </si>
  <si>
    <t>JIMENEZ JOSE</t>
  </si>
  <si>
    <t>GAMBOA LERIDA</t>
  </si>
  <si>
    <t>PARRA MAGALY</t>
  </si>
  <si>
    <t>PEREZ IVAN</t>
  </si>
  <si>
    <t>FAJARDO LUIS</t>
  </si>
  <si>
    <t>OLIVARES MARIA</t>
  </si>
  <si>
    <t>DIAZ MIRIAM</t>
  </si>
  <si>
    <t>BASTARDO COSME</t>
  </si>
  <si>
    <t>GOMEZ RAMON</t>
  </si>
  <si>
    <t>UNDERWOOD JORGE</t>
  </si>
  <si>
    <t>GONZALEZ JUAN</t>
  </si>
  <si>
    <t>HERNANDEZ ELIO</t>
  </si>
  <si>
    <t>FEO LUIS</t>
  </si>
  <si>
    <t>BERMUDEZ NEREIDA</t>
  </si>
  <si>
    <t>ASUAJE THAIS</t>
  </si>
  <si>
    <t>LOPEZ LUIS</t>
  </si>
  <si>
    <t>GARCIA LUCIA</t>
  </si>
  <si>
    <t>CISNEROS MARIA</t>
  </si>
  <si>
    <t>APARICIO ALY</t>
  </si>
  <si>
    <t>HERNANDEZ HECTOR</t>
  </si>
  <si>
    <t>PARRA WUILLIM</t>
  </si>
  <si>
    <t>VILLA JOSE</t>
  </si>
  <si>
    <t>ORTEGA FREDDY</t>
  </si>
  <si>
    <t>REVETE JESUS</t>
  </si>
  <si>
    <t>VILLEGAS NELLY</t>
  </si>
  <si>
    <t>TORREALBA ALIESKA</t>
  </si>
  <si>
    <t>QUINTANA RODRIGO</t>
  </si>
  <si>
    <t>CASTRO JOSEFA</t>
  </si>
  <si>
    <t>VILLEGAS ALEXANDER</t>
  </si>
  <si>
    <t>PALACIOS DOUGLAS</t>
  </si>
  <si>
    <t>CURVELO WILFREDO</t>
  </si>
  <si>
    <t>GRIMAN ZORAIDA</t>
  </si>
  <si>
    <t>VIVAS DOMINGO</t>
  </si>
  <si>
    <t>ORTIZ NEREIDA</t>
  </si>
  <si>
    <t>CARDENAS MARIA</t>
  </si>
  <si>
    <t>CAMPOS MILAGROS</t>
  </si>
  <si>
    <t>HERNANDEZ DILCIA</t>
  </si>
  <si>
    <t>TORREALBA NAUDYS</t>
  </si>
  <si>
    <t>ALVAREZ DENIS</t>
  </si>
  <si>
    <t>DIAZ JORGE</t>
  </si>
  <si>
    <t>MARIN GERSON</t>
  </si>
  <si>
    <t>AQUINO THAISMAR</t>
  </si>
  <si>
    <t>CONTRERAS JOSE</t>
  </si>
  <si>
    <t>SANCHEZ MARLENE</t>
  </si>
  <si>
    <t>MUNOZ ARGENIS</t>
  </si>
  <si>
    <t>SANCHEZ HENRY</t>
  </si>
  <si>
    <t>GALLARDO ALEXANDER</t>
  </si>
  <si>
    <t>SERRANO JOSE</t>
  </si>
  <si>
    <t>RIVERO DOMINGO</t>
  </si>
  <si>
    <t>GOMEZ JOHANA</t>
  </si>
  <si>
    <t>PORRAS CIRO</t>
  </si>
  <si>
    <t>SERRANO GIORGI</t>
  </si>
  <si>
    <t>AULAR JOSE</t>
  </si>
  <si>
    <t>SALAZAR JOSE</t>
  </si>
  <si>
    <t>RODRIGUEZ YUNIOR</t>
  </si>
  <si>
    <t>BASTIDAS FRANKLIN</t>
  </si>
  <si>
    <t>RAMIREZ LUISA</t>
  </si>
  <si>
    <t>ALVARADO CARLOS</t>
  </si>
  <si>
    <t>ANDRADE DIBLAIN</t>
  </si>
  <si>
    <t>JIMENEZ NAIRY</t>
  </si>
  <si>
    <t>GUERRERO WUODERLINGS</t>
  </si>
  <si>
    <t>RONDON MAIKELS</t>
  </si>
  <si>
    <t>ESQUEA LUIS</t>
  </si>
  <si>
    <t>FERNANDEZ CESAR</t>
  </si>
  <si>
    <t>SUAREZ HECTOR</t>
  </si>
  <si>
    <t>CANCHICA FRANCISCA</t>
  </si>
  <si>
    <t>ISTURIZ JOHAN</t>
  </si>
  <si>
    <t>HUIZ JOHN</t>
  </si>
  <si>
    <t>ALBARRAN CESAR</t>
  </si>
  <si>
    <t>TERAN LUIS</t>
  </si>
  <si>
    <t>APARICIO RICHARD</t>
  </si>
  <si>
    <t>LONGA RONNIS</t>
  </si>
  <si>
    <t>CARABALLO RAFAEL</t>
  </si>
  <si>
    <t>REYES JOHAN</t>
  </si>
  <si>
    <t>GONZALEZ JULIO</t>
  </si>
  <si>
    <t>MEDINA ANTONIO</t>
  </si>
  <si>
    <t>PEREZ YAJAIRA</t>
  </si>
  <si>
    <t>BRITO LUIS</t>
  </si>
  <si>
    <t>QUESADA JUAN</t>
  </si>
  <si>
    <t>RONDON PASTOR</t>
  </si>
  <si>
    <t>MORENO LARRY</t>
  </si>
  <si>
    <t>MILLAN ROSA</t>
  </si>
  <si>
    <t>ONTIVEROS KARINA</t>
  </si>
  <si>
    <t>SANCHEZ ALBERTO</t>
  </si>
  <si>
    <t>MOLINA RHONALD</t>
  </si>
  <si>
    <t>LAGUNA OSWALDO</t>
  </si>
  <si>
    <t>OBERTO ANGELICA</t>
  </si>
  <si>
    <t xml:space="preserve">FRANKLIN MORALES </t>
  </si>
  <si>
    <t>EDWING CARABALLO</t>
  </si>
  <si>
    <t>COMISION DE SERVICIO EXT.</t>
  </si>
  <si>
    <t>APELLIDO Y NOMBRE</t>
  </si>
  <si>
    <t>LUCY MUNOZ</t>
  </si>
  <si>
    <t>TOTAL TRABAJADORES:</t>
  </si>
  <si>
    <t xml:space="preserve">TOTAL GUARDIAS A PAGAR: </t>
  </si>
  <si>
    <t xml:space="preserve">al </t>
  </si>
  <si>
    <t>SEMANA</t>
  </si>
  <si>
    <t>INICIO</t>
  </si>
  <si>
    <t>FINAL</t>
  </si>
  <si>
    <t>ALTO NIVEL</t>
  </si>
  <si>
    <t>COMISION DE SERV EXT.</t>
  </si>
  <si>
    <t>COMISION DE SERV.</t>
  </si>
  <si>
    <t xml:space="preserve">COMISION DE SERVICIOS </t>
  </si>
  <si>
    <t>CONTRATADA</t>
  </si>
  <si>
    <t>CONTRATADOS</t>
  </si>
  <si>
    <t>EMPLEADOS</t>
  </si>
  <si>
    <t>MEDICOS</t>
  </si>
  <si>
    <t>COMISION DE SERV</t>
  </si>
  <si>
    <t xml:space="preserve">ALTUVE KEIMMER </t>
  </si>
  <si>
    <t xml:space="preserve">SERRANO LEONEL </t>
  </si>
  <si>
    <t xml:space="preserve">PACHECO RICHARD </t>
  </si>
  <si>
    <t xml:space="preserve">RODRIGUEZ YENISE </t>
  </si>
  <si>
    <t xml:space="preserve">PINTO BELQUIS </t>
  </si>
  <si>
    <t xml:space="preserve">ORTA LUISANA   </t>
  </si>
  <si>
    <t xml:space="preserve">TORREALBA ALIESKA  </t>
  </si>
  <si>
    <t>SANCHEZ  MARLENE</t>
  </si>
  <si>
    <t xml:space="preserve">ESTRANO ANA </t>
  </si>
  <si>
    <t>RODRIGUEZ  MADAILY</t>
  </si>
  <si>
    <t xml:space="preserve">AFANADOR  MARIA </t>
  </si>
  <si>
    <t xml:space="preserve">LUIS MARISOL </t>
  </si>
  <si>
    <t xml:space="preserve">HERRERA MICHAEL </t>
  </si>
  <si>
    <t>MIGUEL REQUENA</t>
  </si>
  <si>
    <t>YENISE RODRIGUEZ</t>
  </si>
  <si>
    <t>KOGEN CARMEN</t>
  </si>
  <si>
    <t>CARABALLO GENESIS</t>
  </si>
  <si>
    <t>JENNY PERNIA</t>
  </si>
  <si>
    <t>NRO DE CUENTA</t>
  </si>
  <si>
    <t>TIPO DE CUENTA</t>
  </si>
  <si>
    <t>L</t>
  </si>
  <si>
    <t>M</t>
  </si>
  <si>
    <t>MI</t>
  </si>
  <si>
    <t>J</t>
  </si>
  <si>
    <t>V</t>
  </si>
  <si>
    <t>S</t>
  </si>
  <si>
    <t>D</t>
  </si>
  <si>
    <t>F</t>
  </si>
  <si>
    <t>JUNTA REVISORA</t>
  </si>
  <si>
    <t>INHRR</t>
  </si>
  <si>
    <t>CALIDAD</t>
  </si>
  <si>
    <t>CONSULTORIA JURIDICA</t>
  </si>
  <si>
    <t xml:space="preserve">ADMINISTRACION </t>
  </si>
  <si>
    <t xml:space="preserve">ATENCION DE CIUDADANO </t>
  </si>
  <si>
    <t xml:space="preserve">AUDITORIA </t>
  </si>
  <si>
    <t xml:space="preserve">DIAGNOSTICO </t>
  </si>
  <si>
    <t xml:space="preserve">DOCENCIA E INVESTIGACION </t>
  </si>
  <si>
    <t xml:space="preserve">INFRAESTRUCTURA Y PROYECTO </t>
  </si>
  <si>
    <t xml:space="preserve">PLANIFICACION Y PRESUPUESTO </t>
  </si>
  <si>
    <t xml:space="preserve">PRESIDENCIA </t>
  </si>
  <si>
    <t xml:space="preserve">PRODUCCION </t>
  </si>
  <si>
    <t xml:space="preserve">REGULACION </t>
  </si>
  <si>
    <t>RELACIONES INTERINSTITUCIONALES</t>
  </si>
  <si>
    <t xml:space="preserve">SEGURIDAD Y TRANSPORTE </t>
  </si>
  <si>
    <t xml:space="preserve">TALENTO HUMANO </t>
  </si>
  <si>
    <t xml:space="preserve">TECNOLOGIA </t>
  </si>
  <si>
    <t>LUCES JUDITH</t>
  </si>
  <si>
    <t>HERNANDEZ JOSEFINA</t>
  </si>
  <si>
    <t xml:space="preserve">SEGURIDAD INDUSTRIAL </t>
  </si>
  <si>
    <t>GONZALEZ GLADYS</t>
  </si>
  <si>
    <t>HONORARIOS PROFESIONALES</t>
  </si>
  <si>
    <t>ARRIA MELISSA</t>
  </si>
  <si>
    <t>RIVAS FREYDIS</t>
  </si>
  <si>
    <t>ALMAO MERCEDES</t>
  </si>
  <si>
    <t>ALVAREZ YDALID</t>
  </si>
  <si>
    <t>ESPECIAL</t>
  </si>
  <si>
    <t>MORELLA MARISTANY</t>
  </si>
  <si>
    <t>DOS RAMOS LIZ</t>
  </si>
  <si>
    <t>NIVEL</t>
  </si>
  <si>
    <t>SUPERVISORIO</t>
  </si>
  <si>
    <t>ADMINISTRATIVO</t>
  </si>
  <si>
    <t>TECNICO</t>
  </si>
  <si>
    <t>PROFESIONAL</t>
  </si>
  <si>
    <t>OBRERO</t>
  </si>
  <si>
    <t>ARAOZ FRANCISCO</t>
  </si>
  <si>
    <t>AYUDANTE DE SERVICIOS DE COCINA</t>
  </si>
  <si>
    <t>ASEADOR</t>
  </si>
  <si>
    <t>VIGILANTE</t>
  </si>
  <si>
    <t>ASISTENTE DE OFICINA III</t>
  </si>
  <si>
    <t>PROFESIONAL DE ADMINISTRACION II</t>
  </si>
  <si>
    <t>TECNICO DE ADMINISTRACION II</t>
  </si>
  <si>
    <t>PROFESIONAL DE ADMINISTRACION I</t>
  </si>
  <si>
    <t>PROFESIONAL DE ADMINISTRACION III</t>
  </si>
  <si>
    <t xml:space="preserve">PROFESIONAL DE ADMINISTRACIÓN III </t>
  </si>
  <si>
    <t xml:space="preserve">TÉCNICO DE ADMINISTRACIÓN II </t>
  </si>
  <si>
    <t>GESTOR DE SALUD PUBLICA I</t>
  </si>
  <si>
    <t>TECNICO DE ADMINISTRACION I</t>
  </si>
  <si>
    <t>PROFESIONAL DE AUDITORIA II</t>
  </si>
  <si>
    <t>PROFESIONAL DE MICROBIOLOGIA II</t>
  </si>
  <si>
    <t>PROFESIONAL DE VIGILANCIA EPIDEMIOLOGICA II</t>
  </si>
  <si>
    <t>PROFESIONAL DE BIOANALISIS III</t>
  </si>
  <si>
    <t>ASISTENTE DE LABORATORIO III</t>
  </si>
  <si>
    <t>ASISTENTE DE OFICINA I</t>
  </si>
  <si>
    <t>TECNICO DE QUIMICA II</t>
  </si>
  <si>
    <t>PROFESIONAL DE PLANIFICACION II</t>
  </si>
  <si>
    <t>TECNICO DE VIGILANCIA EPIDEMIOLOGICA I</t>
  </si>
  <si>
    <t>PROFESIONAL DE TELEMATICA I</t>
  </si>
  <si>
    <t>PROFESIONAL DE MICROBIOLOGIA III</t>
  </si>
  <si>
    <t>PROFESIONAL DE VIGILANCIA EPIDEMIOLOGICA I</t>
  </si>
  <si>
    <t>PROFESIONAL DE BIOLOGIA I</t>
  </si>
  <si>
    <t>SUPERVISOR DE SEGURIDAD</t>
  </si>
  <si>
    <t>AUXILIAR DE LABORATORIO</t>
  </si>
  <si>
    <t>CHOFER</t>
  </si>
  <si>
    <t>AYUDANTE DE SERVICIOS GENERALES</t>
  </si>
  <si>
    <t>AUXILIAR DE SERVICIOS DE OFICINA</t>
  </si>
  <si>
    <t>MENSAJERO</t>
  </si>
  <si>
    <t>CHOFER DE TRANSPORTE</t>
  </si>
  <si>
    <t>HERRERO</t>
  </si>
  <si>
    <t>MECANICO AUTOMOTRIZ</t>
  </si>
  <si>
    <t>AYUDANTE DE MECANICO</t>
  </si>
  <si>
    <t>AUXILIAR DE VETERINARIO</t>
  </si>
  <si>
    <t>SUPERVISOR DE SERVICIOS INTERNOS</t>
  </si>
  <si>
    <t>COCINERA</t>
  </si>
  <si>
    <t>MENSAJERO MOTORIZADO</t>
  </si>
  <si>
    <t>JARDINERO</t>
  </si>
  <si>
    <t>AUXILIAR DE TERAPIA</t>
  </si>
  <si>
    <t>AYUDANTE DE ALMACEN</t>
  </si>
  <si>
    <t>PINTOR</t>
  </si>
  <si>
    <t>MEDICO JEFE IV</t>
  </si>
  <si>
    <t>DIRECTOR DE SEGURIDAD Y TRANSPORTE</t>
  </si>
  <si>
    <t>JEFE DE SECCION DE TALLER MECANICO</t>
  </si>
  <si>
    <t>CONSULTOR JURIDICO</t>
  </si>
  <si>
    <t>DIRECTORA DE LINEA DE CULTIVO CELULAR</t>
  </si>
  <si>
    <t>AUDITOR INTERNO</t>
  </si>
  <si>
    <t>JEFE DE DEPARTAMENTO DE REDES Y SERVIDORES</t>
  </si>
  <si>
    <t>PROFESIONAL DE BIBLIOTECA III</t>
  </si>
  <si>
    <t>PROFESIONAL DE PRESUPUESTO III</t>
  </si>
  <si>
    <t xml:space="preserve">PROFESIONAL DE FARMACIA III </t>
  </si>
  <si>
    <t>PROFESIONAL DE FARMACIA I</t>
  </si>
  <si>
    <t>PROFESIONAL DE FARMACIA III</t>
  </si>
  <si>
    <t xml:space="preserve">PROFESIONAL DE ADMINISTRACIÓN II </t>
  </si>
  <si>
    <t>PROFESIONAL DE AUDITORIA III</t>
  </si>
  <si>
    <t>TECNICO GESTION DE SALUD PUBLICA I</t>
  </si>
  <si>
    <t xml:space="preserve">PROFESIONAL DE TELEMÁTICA III </t>
  </si>
  <si>
    <t xml:space="preserve">PROFESIONAL DE MICROBIOLOGIA III </t>
  </si>
  <si>
    <t xml:space="preserve">PROFESIONAL DE TALENTO HUMANO III </t>
  </si>
  <si>
    <t xml:space="preserve">PROFESIONAL DE QUIMICA III </t>
  </si>
  <si>
    <t>PROFESIONAL DE ORGANIZACION Y SISTEMAS III</t>
  </si>
  <si>
    <t xml:space="preserve">PROFESIONAL DE INGENIERIA III </t>
  </si>
  <si>
    <t>PROFESIONAL DE TALENTO HUMANO I</t>
  </si>
  <si>
    <t>PROFESIONAL DE COMUNICACION Y RELACIONES PUBLICAS II</t>
  </si>
  <si>
    <t>PROFESIONAL DE TALENTO HUMANO III</t>
  </si>
  <si>
    <t>PROFESIONAL DE INVESTIGACION VETERINARIA III</t>
  </si>
  <si>
    <t>TECNICO DE TALENTO HUMANO II</t>
  </si>
  <si>
    <t>PROFESIONAL DE QUIMICA I</t>
  </si>
  <si>
    <t>PROFESIONAL DE TALENTO HUMANO II</t>
  </si>
  <si>
    <t>PROFESIONAL DE INGENIERIA II</t>
  </si>
  <si>
    <t>ASISTENTE DE OFICINA II</t>
  </si>
  <si>
    <t xml:space="preserve">PROFESIONAL DE QUIMICA II </t>
  </si>
  <si>
    <t>TECNICO DE SERVICIOS GENERALES I</t>
  </si>
  <si>
    <t>PROFESIONAL DE INGENIERIA I</t>
  </si>
  <si>
    <t>TECNICO DE SERVICIOS GENERALES II</t>
  </si>
  <si>
    <t>PROFESIONAL DE BIOANALISIS II</t>
  </si>
  <si>
    <t>PROFESIONAL DE PLANIFICACION I</t>
  </si>
  <si>
    <t>PROFESIONAL DE QUIMICA II</t>
  </si>
  <si>
    <t xml:space="preserve">PROFESIONAL DE FARMACIA II </t>
  </si>
  <si>
    <t>TÉCNICO DE TELEMÁTICA II</t>
  </si>
  <si>
    <t>PROFESIONAL DE DERECHO I</t>
  </si>
  <si>
    <t>ASISTENTE DE LABORATORIO II</t>
  </si>
  <si>
    <t>PROFESIONAL DE SEGURIDAD, HIGIENE Y AMBIENTE II</t>
  </si>
  <si>
    <t xml:space="preserve">PROFESIONAL DE PRESUPUESTO III </t>
  </si>
  <si>
    <t>PROFESIONAL DE FARMACIA II</t>
  </si>
  <si>
    <t>PROFESIONAL DE SEGURIDAD, HIGIENE Y AMBIENTE I</t>
  </si>
  <si>
    <t>MEDICO JEFE III</t>
  </si>
  <si>
    <t>MEDICO JEFE II</t>
  </si>
  <si>
    <t>MEDICO II</t>
  </si>
  <si>
    <t>MEDICO ESPECIALISTA I</t>
  </si>
  <si>
    <t>CHAURIO ALEIRAM</t>
  </si>
  <si>
    <t>ATENCIO MARIA</t>
  </si>
  <si>
    <t>ALAYON FRANCIS</t>
  </si>
  <si>
    <t>BOMBART IVY</t>
  </si>
  <si>
    <t>SILVA ARAMIS</t>
  </si>
  <si>
    <t>ANTONELLI GIULIANNA</t>
  </si>
  <si>
    <t>NIEVES ANGELY</t>
  </si>
  <si>
    <t>DE LA ROSA ELSA</t>
  </si>
  <si>
    <t>PINTO BELQUIS</t>
  </si>
  <si>
    <t>ALTUVE KEIMMER</t>
  </si>
  <si>
    <t>SERRANO LEONEL</t>
  </si>
  <si>
    <t>RODRIGUEZ YENISE</t>
  </si>
  <si>
    <t>D ANGELO PIERINA</t>
  </si>
  <si>
    <t>ESTRANO ANA</t>
  </si>
  <si>
    <t>AFANADOR MARIA</t>
  </si>
  <si>
    <t>LUIS MARISOL</t>
  </si>
  <si>
    <t>PACHECO RICHARD</t>
  </si>
  <si>
    <t>CENTENO MARIA</t>
  </si>
  <si>
    <t>LUNES</t>
  </si>
  <si>
    <t>MARTES</t>
  </si>
  <si>
    <t>MIERCOLES</t>
  </si>
  <si>
    <t>JUEVES</t>
  </si>
  <si>
    <t>VIERNES</t>
  </si>
  <si>
    <t>SABADO</t>
  </si>
  <si>
    <t>DOMINGO</t>
  </si>
  <si>
    <t xml:space="preserve">NOMBRES Y APELLIDOS </t>
  </si>
  <si>
    <t xml:space="preserve">Entrada </t>
  </si>
  <si>
    <t>Salida</t>
  </si>
  <si>
    <t>SUPERVISOR DE TRANSPORTE</t>
  </si>
  <si>
    <t>ASISTENTE DE LABORATORIO I</t>
  </si>
  <si>
    <t>PROFESIONAL DE BIOANALISIS I</t>
  </si>
  <si>
    <t>LARES VICTOR</t>
  </si>
  <si>
    <t>BASTIDAS ALEJANDRO</t>
  </si>
  <si>
    <t>GARABAN FRANKLIN</t>
  </si>
  <si>
    <t>ROMERO ROMER</t>
  </si>
  <si>
    <t>CARTAYA ISABEL</t>
  </si>
  <si>
    <t>MARTINEZ ABIHAIL</t>
  </si>
  <si>
    <t>MARTINEZ MARIA</t>
  </si>
  <si>
    <t>DOLANDE MARIBEL</t>
  </si>
  <si>
    <t xml:space="preserve">LUGO CRISTINA </t>
  </si>
  <si>
    <t xml:space="preserve">ROMERO KAREN </t>
  </si>
  <si>
    <t>RIVERO GABRIEL</t>
  </si>
  <si>
    <t>ROJAS MEIBERLIN</t>
  </si>
  <si>
    <t>DIAZ MARIA EUGENIA</t>
  </si>
  <si>
    <t>MONSALVE LEOMAR</t>
  </si>
  <si>
    <t>BOND ESTEVES EDMUNDO</t>
  </si>
  <si>
    <t xml:space="preserve">NIEVES KAREN </t>
  </si>
  <si>
    <t>RAUSEO  JOAQUIN</t>
  </si>
  <si>
    <t xml:space="preserve">ROMANTINI CONSUELO </t>
  </si>
  <si>
    <t xml:space="preserve">CORREA GLORIA </t>
  </si>
  <si>
    <t>BUVAT DANIEL</t>
  </si>
  <si>
    <t>MEDINA JOSE</t>
  </si>
  <si>
    <t>YASMIRA RAMIREZ</t>
  </si>
  <si>
    <t>ELBIGLYNNIS MOLINA</t>
  </si>
  <si>
    <t>GESTOR DE SALUD PUBLICA II</t>
  </si>
  <si>
    <t>TECNICO GESTION DE SALUD PUBLICA II</t>
  </si>
  <si>
    <t>CRISTANCHO CIRO</t>
  </si>
  <si>
    <t>METAS PROGRAMADAS</t>
  </si>
  <si>
    <t>QUIJADA RICHARD</t>
  </si>
  <si>
    <t>CONTRATADO BI</t>
  </si>
  <si>
    <t>GERENCIA DE INFORMATICA</t>
  </si>
  <si>
    <t xml:space="preserve">PEREZ YEISKA </t>
  </si>
  <si>
    <t>ANGARITA YEISON</t>
  </si>
  <si>
    <t>GOMEZ DIEGO</t>
  </si>
  <si>
    <t>RODRIGUEZ RAFAEL</t>
  </si>
  <si>
    <t>GERENCIA SECTORIAL DE PRODUCCION</t>
  </si>
  <si>
    <t>GERENCIA SECTORIAL DE REGISTRO Y CONTROL</t>
  </si>
  <si>
    <t>GERENCIA GESTION DE LA CALIDAD</t>
  </si>
  <si>
    <t>TOTAL TRABAJADORES</t>
  </si>
  <si>
    <t>TOTALES</t>
  </si>
  <si>
    <t>UNIDAD DE ADSCRIPCION</t>
  </si>
  <si>
    <t>GOMEZ SILFREDO</t>
  </si>
  <si>
    <t>AGUILAR MARIA</t>
  </si>
  <si>
    <t>CARABALLO GREGORIS</t>
  </si>
  <si>
    <t>MIÉRCOLES</t>
  </si>
  <si>
    <t>UNIDAD DE ADSCRPCION</t>
  </si>
  <si>
    <t>ENTRADA</t>
  </si>
  <si>
    <t>SALIDA</t>
  </si>
  <si>
    <t>JORNADA LABORAL</t>
  </si>
  <si>
    <t>JORNADAS METAS</t>
  </si>
  <si>
    <t>G2</t>
  </si>
  <si>
    <t>ENTRADA2</t>
  </si>
  <si>
    <t>SALIDA2</t>
  </si>
  <si>
    <t>JORNADA LABORAL2</t>
  </si>
  <si>
    <t>JORNADAS METAS3</t>
  </si>
  <si>
    <t>G3</t>
  </si>
  <si>
    <t>ENTRADA3</t>
  </si>
  <si>
    <t>SALIDA4</t>
  </si>
  <si>
    <t>JORNADA LABORAL3</t>
  </si>
  <si>
    <t>JORNADAS METAS4</t>
  </si>
  <si>
    <t>G4</t>
  </si>
  <si>
    <t>ENTRADA4</t>
  </si>
  <si>
    <t>SALIDA5</t>
  </si>
  <si>
    <t>JORNADA LABORAL4</t>
  </si>
  <si>
    <t>JORNADAS METAS5</t>
  </si>
  <si>
    <t>G5</t>
  </si>
  <si>
    <t>ENTRADA5</t>
  </si>
  <si>
    <t>SALIDA6</t>
  </si>
  <si>
    <t>JORNADA LABORAL5</t>
  </si>
  <si>
    <t>JORNADAS METAS6</t>
  </si>
  <si>
    <t>RELACION BIOMETRICO - METAS</t>
  </si>
  <si>
    <t>G6</t>
  </si>
  <si>
    <t>JORNADAS METAS7</t>
  </si>
  <si>
    <t>JORNADA LABORAL7</t>
  </si>
  <si>
    <t>SALIDA7</t>
  </si>
  <si>
    <t>ENTRADA7</t>
  </si>
  <si>
    <t>G7</t>
  </si>
  <si>
    <t>ENTRADA8</t>
  </si>
  <si>
    <t>SALIDA8</t>
  </si>
  <si>
    <t>JORNADA LABORAL8</t>
  </si>
  <si>
    <t>JORNADAS METAS8</t>
  </si>
  <si>
    <t>Nro</t>
  </si>
  <si>
    <t xml:space="preserve">CARGO </t>
  </si>
  <si>
    <t>PRESIDENTE</t>
  </si>
  <si>
    <t>PRESIDENCIA</t>
  </si>
  <si>
    <t>DIRECTOR DE DESPACHO</t>
  </si>
  <si>
    <t>DIRECTOR DE TALENTO HUMANO</t>
  </si>
  <si>
    <t>GERENCIA DE RECURSOS HUMANOS</t>
  </si>
  <si>
    <t>AUDITORIA INTERNA</t>
  </si>
  <si>
    <t>DIRECTOR DE CAMPUS VIRTUAL</t>
  </si>
  <si>
    <t>GERENCIA DE DOCENCIA E INVESTIGACION</t>
  </si>
  <si>
    <t>GERENCIA SECTORIAL DE ADMINISTRACION</t>
  </si>
  <si>
    <t>COORDINADOR DE MANTENIMIENTO</t>
  </si>
  <si>
    <t>GERENTE SECTORIAL DE REGISTRO Y CONTROL</t>
  </si>
  <si>
    <t>GERENCIA SECTORIAL DE DIAGNOSTICO/EPIDEMIOLOGIA</t>
  </si>
  <si>
    <t>GERENCIA DE PLANIFICACION Y PRESUPUESTO</t>
  </si>
  <si>
    <t>TECNICO DE GESTION DE SALUD PUBLICA II</t>
  </si>
  <si>
    <t>CONTRATADO OBRERO (GRADO 4)</t>
  </si>
  <si>
    <t>CONTRATADO PIII</t>
  </si>
  <si>
    <t>CONTRATADO TII</t>
  </si>
  <si>
    <t>CONTRATADO BIII</t>
  </si>
  <si>
    <t>CONTRATADO PI</t>
  </si>
  <si>
    <t>CONTRATADO TI</t>
  </si>
  <si>
    <t>CONTRATADO (GRADO 6)</t>
  </si>
  <si>
    <t>CONTRATADO MEDICO JEFE II</t>
  </si>
  <si>
    <t>CONTRATADO (GRADO 3)</t>
  </si>
  <si>
    <t>ROJAS MARIA</t>
  </si>
  <si>
    <t>CORREA MARIA</t>
  </si>
  <si>
    <t>HONORARIO PROFESIONAL</t>
  </si>
  <si>
    <t>CAIRES WANDER</t>
  </si>
  <si>
    <t>APONCIO SONIA</t>
  </si>
  <si>
    <t>MOLINA WILMER</t>
  </si>
  <si>
    <t>CRUZ CARMEN</t>
  </si>
  <si>
    <t>REQUENA MIGUEL</t>
  </si>
  <si>
    <t>RAMOS NIDIAN</t>
  </si>
  <si>
    <t>ROJAS LUIS</t>
  </si>
  <si>
    <t>SELGRAD SOFIA</t>
  </si>
  <si>
    <t>PASQUALATTO BIGNOZZI</t>
  </si>
  <si>
    <t>ABBINANTE ANA</t>
  </si>
  <si>
    <t>HP</t>
  </si>
  <si>
    <t>OPERATIVO</t>
  </si>
  <si>
    <t>OTRO PAGO</t>
  </si>
  <si>
    <t>TOTAL A PAGAR</t>
  </si>
  <si>
    <t>TIPO</t>
  </si>
  <si>
    <t xml:space="preserve">MONTO DIARIO </t>
  </si>
  <si>
    <t>SAB - DOM - FER</t>
  </si>
  <si>
    <t>NIVEL Y CARGO</t>
  </si>
  <si>
    <t>DIRECCION</t>
  </si>
  <si>
    <t>MODIFICACION</t>
  </si>
  <si>
    <t>V/E</t>
  </si>
  <si>
    <t>Total general</t>
  </si>
  <si>
    <t xml:space="preserve"> TOTAL A PAGAR</t>
  </si>
  <si>
    <t>CUADRO RESUMEN SEM</t>
  </si>
  <si>
    <t xml:space="preserve">RESUMEN DE PAGO </t>
  </si>
  <si>
    <t xml:space="preserve">TOTAL Bs. A PAGAR </t>
  </si>
  <si>
    <t>TOTAL METAS L-V</t>
  </si>
  <si>
    <t>TOTAL METAS</t>
  </si>
  <si>
    <t>TOTAL METAS S-D-F</t>
  </si>
  <si>
    <t>MARTINEZ RODOLFO</t>
  </si>
  <si>
    <t>CHIRINOS CARLOS</t>
  </si>
  <si>
    <t>GOICOCHEA CARMEN</t>
  </si>
  <si>
    <t xml:space="preserve">HERNANDEZ ALEXANDRA </t>
  </si>
  <si>
    <t>MARQUEZ BLANCA</t>
  </si>
  <si>
    <t>RENGEL MARIBEL</t>
  </si>
  <si>
    <t>RONDON GREGORIO</t>
  </si>
  <si>
    <t>RODRIGUEZ YESIS</t>
  </si>
  <si>
    <t>RODRIGUEZ NUBIA</t>
  </si>
  <si>
    <t>RUTAS</t>
  </si>
  <si>
    <t>GUARENAS</t>
  </si>
  <si>
    <t>TORRICO FATIMA</t>
  </si>
  <si>
    <t>PEREZ NERY</t>
  </si>
  <si>
    <t>CARICUAO</t>
  </si>
  <si>
    <t>CATIA</t>
  </si>
  <si>
    <t>ORTEGA JESUS</t>
  </si>
  <si>
    <t>VALLES DEL TUY</t>
  </si>
  <si>
    <t xml:space="preserve"> </t>
  </si>
  <si>
    <t>LA GUAIRA</t>
  </si>
  <si>
    <t xml:space="preserve">INHRR_AUDITORIA </t>
  </si>
  <si>
    <t xml:space="preserve">INHRR_ADMINISTRACION </t>
  </si>
  <si>
    <t>INHRR_RELACIONES INTERINSTITUCIONALES</t>
  </si>
  <si>
    <t>META</t>
  </si>
  <si>
    <t>META2</t>
  </si>
  <si>
    <t>META3</t>
  </si>
  <si>
    <t>RUTA</t>
  </si>
  <si>
    <t>No cumple horario</t>
  </si>
  <si>
    <t>NCH</t>
  </si>
  <si>
    <t>COCHE</t>
  </si>
  <si>
    <t>META4</t>
  </si>
  <si>
    <t>META5</t>
  </si>
  <si>
    <t xml:space="preserve">RUTAS </t>
  </si>
  <si>
    <t>HORA DE LLEGADA</t>
  </si>
  <si>
    <t>ESPERA</t>
  </si>
  <si>
    <t>VALLE-COCHE</t>
  </si>
  <si>
    <t>GUATIRE-GUARENAS</t>
  </si>
  <si>
    <t>3. CARICUAO</t>
  </si>
  <si>
    <t>5. GUARENAS</t>
  </si>
  <si>
    <t>1. COCHE</t>
  </si>
  <si>
    <t>2. CATIA</t>
  </si>
  <si>
    <t>4. VALLES DEL TUY</t>
  </si>
  <si>
    <t>6. LA GUAIRA</t>
  </si>
  <si>
    <t>DIA POR PAGAR</t>
  </si>
  <si>
    <t xml:space="preserve">DIA PEN. </t>
  </si>
  <si>
    <t>Entrada 2</t>
  </si>
  <si>
    <t>Salida3</t>
  </si>
  <si>
    <t>Entrada 4</t>
  </si>
  <si>
    <t>Salida5</t>
  </si>
  <si>
    <t>Entrada 6</t>
  </si>
  <si>
    <t>Salida7</t>
  </si>
  <si>
    <t>Entrada 8</t>
  </si>
  <si>
    <t>Salida9</t>
  </si>
  <si>
    <t>Entrada 10</t>
  </si>
  <si>
    <t>Salida11</t>
  </si>
  <si>
    <t>Entrada 12</t>
  </si>
  <si>
    <t>Salida13</t>
  </si>
  <si>
    <t>META6</t>
  </si>
  <si>
    <t>META7</t>
  </si>
  <si>
    <t xml:space="preserve">DIA PENDIENTE </t>
  </si>
  <si>
    <t xml:space="preserve">TOTAL PEND. POR PAGAR </t>
  </si>
  <si>
    <t xml:space="preserve">INHRR_PLANIFICACION Y PRESUPUESTO </t>
  </si>
  <si>
    <t>INHRR_CONSULTORIA JURIDICA</t>
  </si>
  <si>
    <t xml:space="preserve">INHRR_INFRAESTRUCTURA Y PROYECTO </t>
  </si>
  <si>
    <t xml:space="preserve">INHRR_SEGURIDAD Y TRANSPORTE </t>
  </si>
  <si>
    <t>INHRR_JUNTA REVISORA</t>
  </si>
  <si>
    <t xml:space="preserve">INHRR_TECNOLOGIA </t>
  </si>
  <si>
    <t xml:space="preserve">INHRR_TALENTO HUMANO </t>
  </si>
  <si>
    <t xml:space="preserve">INHRR_ATENCION DE CIUDADANO </t>
  </si>
  <si>
    <t xml:space="preserve">INHRR_DIAGNOSTICO </t>
  </si>
  <si>
    <t xml:space="preserve">INHRR_PRODUCCION </t>
  </si>
  <si>
    <t xml:space="preserve">INHRR_PRESIDENCIA </t>
  </si>
  <si>
    <t xml:space="preserve">INHRR_SEGURIDAD INDUSTRIAL </t>
  </si>
  <si>
    <t xml:space="preserve">INHRR_REGULACION </t>
  </si>
  <si>
    <t>INHRR_CALIDAD</t>
  </si>
  <si>
    <t>INHRR_ESPECIAL</t>
  </si>
  <si>
    <t xml:space="preserve">INHRR_DOCENCIA E INVESTIGACION </t>
  </si>
  <si>
    <t>Total</t>
  </si>
  <si>
    <t>TOTAL L-V</t>
  </si>
  <si>
    <t>TOTAL S-D</t>
  </si>
  <si>
    <t>TOTAL GUARDIAS A PAGAR</t>
  </si>
  <si>
    <t>HOLZHAUSER ERIKA</t>
  </si>
  <si>
    <t>CHACON ELSA</t>
  </si>
  <si>
    <t>CLAVO RAFAEL</t>
  </si>
  <si>
    <t xml:space="preserve">TOTAL METAS </t>
  </si>
  <si>
    <t>TRABAJADORES</t>
  </si>
  <si>
    <t>VALBUENA WILBER</t>
  </si>
  <si>
    <t>ONTIVEROS IVANNA</t>
  </si>
  <si>
    <t>4. SANTA TERESA DEL TUY</t>
  </si>
  <si>
    <t>VELASQUEZ OMAIRA</t>
  </si>
  <si>
    <t>ALBANIL</t>
  </si>
  <si>
    <t>BRICENO ZULEIDA</t>
  </si>
  <si>
    <t>TORO MARLEIDYS</t>
  </si>
  <si>
    <t>ALBORNOZ LILIA</t>
  </si>
  <si>
    <t>VARGAS JOHAN</t>
  </si>
  <si>
    <t>PEREZ DORA</t>
  </si>
  <si>
    <t>FIGUEROA FERNANDO</t>
  </si>
  <si>
    <t xml:space="preserve">AUXILIAR DE LABORATORIO </t>
  </si>
  <si>
    <t>ALEJOS MIGDELYS</t>
  </si>
  <si>
    <t>G</t>
  </si>
  <si>
    <t>0. ALTO NIVEL</t>
  </si>
  <si>
    <t>0</t>
  </si>
  <si>
    <t>ROJAS DEYANIRA</t>
  </si>
  <si>
    <t>ARAQUE INGRID</t>
  </si>
  <si>
    <t>ZAMBRANO ALICIA</t>
  </si>
  <si>
    <t>UROSA HEISEL</t>
  </si>
  <si>
    <t>ARAQUE EIMY</t>
  </si>
  <si>
    <t xml:space="preserve">N° CUENTA </t>
  </si>
  <si>
    <t xml:space="preserve">TIPO CUENTA </t>
  </si>
  <si>
    <t>0. GRANJA</t>
  </si>
  <si>
    <t>ALTO NIVEL/GRANJA/ESPECIAL</t>
  </si>
  <si>
    <t>PEROZO ALFREDO</t>
  </si>
  <si>
    <t>METAS CUMPLIDAS
L - M - MI - J - V</t>
  </si>
  <si>
    <t>METAS CUMPLIDAS
SABADO - DOMINGO - FERIADO</t>
  </si>
  <si>
    <t>META FIN DE SEMANA</t>
  </si>
  <si>
    <t>PINATE MIREYA</t>
  </si>
  <si>
    <t>MOSQUERA BEATRIZ</t>
  </si>
  <si>
    <t>CANTILLO PAOLA</t>
  </si>
  <si>
    <t>SUAREZ OMARYS</t>
  </si>
  <si>
    <t>VALERA BRYAN</t>
  </si>
  <si>
    <t>OSORIO INGRID</t>
  </si>
  <si>
    <t>GONZALEZ REINALY</t>
  </si>
  <si>
    <t>BETANCOOURT DAILYN</t>
  </si>
  <si>
    <t>JASPE CARMEN</t>
  </si>
  <si>
    <t>RIVAS ABDIAS</t>
  </si>
  <si>
    <t>RIVAS ANGEL</t>
  </si>
  <si>
    <t>CANTIDAD DE DIGITO DE LA CUENTA</t>
  </si>
  <si>
    <t>RUIZ YORLENYS</t>
  </si>
  <si>
    <t>GUEVARA ROSARIA</t>
  </si>
  <si>
    <t>CARDOZA JORGE</t>
  </si>
  <si>
    <t>CASTANEDA LUIS</t>
  </si>
  <si>
    <t>SANCHEZ GABRIEL</t>
  </si>
  <si>
    <t>ACTV</t>
  </si>
  <si>
    <t>A</t>
  </si>
  <si>
    <t>C</t>
  </si>
  <si>
    <t>DIRECTOR DE LINEA ( E ) TECNOLOGIA E INFORMATICA</t>
  </si>
  <si>
    <t xml:space="preserve">EMPLEADOS </t>
  </si>
  <si>
    <t xml:space="preserve">TECNICO </t>
  </si>
  <si>
    <t>RANGEL DELIDA</t>
  </si>
  <si>
    <t>CONTRATADO MEDICO I</t>
  </si>
  <si>
    <t>CONTRATADO MEDICO SALUD PUBLICA JEFE III</t>
  </si>
  <si>
    <t>CONTRATADO MEDICO JEFE IV</t>
  </si>
  <si>
    <t>OFICINA DE CONSULTORIA JURIDICA</t>
  </si>
  <si>
    <t>FEO OSCAR</t>
  </si>
  <si>
    <t>DIAZ REINALDO</t>
  </si>
  <si>
    <t>RODRIGUEZ EDUARDO</t>
  </si>
  <si>
    <t>RIGARDIZ SANDRA</t>
  </si>
  <si>
    <t>CONTRATADO (GRADO 5)</t>
  </si>
  <si>
    <t>CONTRATADO (GRADO 1)</t>
  </si>
  <si>
    <t>CONTRATADO (GRADO 2)</t>
  </si>
  <si>
    <t>CONTRATADO MEDICO</t>
  </si>
  <si>
    <t>FIGUEROA CARMEN</t>
  </si>
  <si>
    <t>NAVARRO EDUARDO</t>
  </si>
  <si>
    <t>PENA YERNALIN</t>
  </si>
  <si>
    <t>ACOSTA MARIANGEL</t>
  </si>
  <si>
    <t>DELGADO GILBERTO</t>
  </si>
  <si>
    <t>AZUAJE LENNY</t>
  </si>
  <si>
    <t>NIEVES GEORGINA</t>
  </si>
  <si>
    <t>LISBETH SUAREZ A</t>
  </si>
  <si>
    <t>VERA ROBERTH</t>
  </si>
  <si>
    <t>VIVAS MARIA</t>
  </si>
  <si>
    <t>MARTINEZ ISABEL</t>
  </si>
  <si>
    <t>RIVAS LISBETH</t>
  </si>
  <si>
    <t>Procesamiento de muestras</t>
  </si>
  <si>
    <t>ELABORACION DE EXPEDIENTE Y ANALISIS</t>
  </si>
  <si>
    <t xml:space="preserve">JARDINERIA EN GENERAL </t>
  </si>
  <si>
    <t xml:space="preserve">MANTENIMIENTO </t>
  </si>
  <si>
    <t>LIMPIEZA PROFUNDA DE TROMA DE MUESTRA INCLUYENDO LAS ESCALERAS, DIAGNOSTICO, LIMPIEZA PROFUNDA DE BAÑOS DE PLANTA, SACORN BASURA LIMPIEZA DE RECEPCION Y ESCALERAS PRINCIPALES</t>
  </si>
  <si>
    <t>MANTENIMIENTO</t>
  </si>
  <si>
    <t xml:space="preserve">LIMPIEZA PROFUNDA DE LOS B AÑOS DESDE EL PISO TRES HASTA PISO 1,LIMPIEZA PROFUNDA EN RECEPCION DE MUESTRA, MICROONDAS Y NEVERAS, </t>
  </si>
  <si>
    <t>FOMATEO DE EQUIPOS,SOPORTE TECNICO A USUARIOS ACONDICIONAMIENTO DE LAS AULAS</t>
  </si>
  <si>
    <t>SUPERVISION DE PERSONAL Y CHEQUEO DE PUNTOS DE RED</t>
  </si>
  <si>
    <t xml:space="preserve">SUPERVICION AL PERSONAL </t>
  </si>
  <si>
    <t>MONITOREO DE SERVICIOS WEB</t>
  </si>
  <si>
    <t>bUSCAR Y LLEVAR AL PERSONAL DE GUARDIA  DE LUNES A SABADO EN LOS AUTOBUSES Y  EN LAS CAMIONETAS, PRESTAR APOYO EN TODAS LAS OPERACIONES QUE REQUIERE LA INSTITUCION DE LUNES A DOMINGO. LAS ACTIVIDADES SON RECURRENTE</t>
  </si>
  <si>
    <t>MONTAR GUARDIASDIURNAS Y NOCTURNAS, TODO LOS DIAS EN SUS RESPECTIVOS PUESTOS Y ESTAN DISTRIBUIDOS EN 4 GRUPOS , LAS ACTIVIDADES SON RECURRENTE</t>
  </si>
  <si>
    <t>MONTAR GUARDIAS DIURNAS, TODO LOS DIAS EN SUS RESPECTIVOS PUESTOS Y ESTAN DISTRIBUIDOS EN 4 GRUPOS , LAS ACTIVIDADES SON RECURRENTE</t>
  </si>
  <si>
    <t>MONTAR GUARDIA DIRNAS TODO LOS DÍAS Y EN OCACIONES Y SI ES NECESARIO 24 HORAS, EN SUS RESPECTIVOS PUESTOS Y ESTAN DISTRIBUIDOS EN 4 GRUPOS, LAS ACTIVIDADES SON RECURRENTES</t>
  </si>
  <si>
    <t>MECANICO: HACER EL CHEQUEO  DE TODOS LOS  VEHICULOS OPERATIVOS AL CIERRE DE LA JORNADA DE LUNES A VIERNES. LAS ACTIVIDADES SON RECURRENTE</t>
  </si>
  <si>
    <t>BUSCAR Y LLEVAR AL PERSONAL DE GUARDIA  DE LUNES A SABADO EN LOS AUTOBUSES Y  EN LAS CAMIONETAS, PRESTAR APOYO EN TODAS LAS OPERACIONES QUE REQUIERE LA INSTITUCION DE LUNES A DOMINGO. LAS ACTIVIDADES SON RECURRENTE</t>
  </si>
  <si>
    <t xml:space="preserve">COORDINAR Y SUPERVISAR EL PERSONAL DE SEGURIDAD Y TRANSPORTE Y VELAR QUE TODOS LOS PROCESOS SE DESARROLLEN DE MANERA CORRECTA.                                                                                                                                 </t>
  </si>
  <si>
    <t xml:space="preserve">MONITOREO DE LAS AREAS ; VELAR  POR EL BUEN FUNCIONAMIENTO DEL SISTEMA DE LAS CAMARAS;  COORDINAR Y CHEQUEAR LA INSTALACION DE LAS CAMARAS , . </t>
  </si>
  <si>
    <t>SUPERVISAR, PERSONAL DE VIGILANCIA, QUE TODOS ESTEN EN SUS RESPECTIVOS PUESTOS DE TRABAJO REALIZAR RECORRIDOS CONSTANTES.</t>
  </si>
  <si>
    <t>SUPERVISAR LOS CONDUCTORES Y VELAR QUE LOS VEHICULOS ESTEN EN BUEN FUNCIONAMIENTO, LAS ACTIVIDADES SON RECURRENTES</t>
  </si>
  <si>
    <t>REPARTIR LA CORRESPONDENCIA DEL INSTITUTO A LAS DEPENDENCIAS DE LA GRAN CARACAS. LAS ACTIVIDADES SON RECURRENTE</t>
  </si>
  <si>
    <t>1)Supervisión en Materia de Prevención de Riesgos trabajos internos y trabajos realizados por empresas contratistas .2) Revision y actualizacion  Modulo de campus virtual. 3) Revision y actualizacion  de documentacion de la calidad. 4)Guardia Preventiva Brigada Control de Emergencia ante eventos emergentes. 5)Cualquier otra actividad inherente en materia de prevención de riesgo.</t>
  </si>
  <si>
    <t>PRESIDENTA</t>
  </si>
  <si>
    <t>ASESOR</t>
  </si>
  <si>
    <t xml:space="preserve">Coordinador de la cocina </t>
  </si>
  <si>
    <t>VELAZQUEZ DE CAMPOS OMAIRA</t>
  </si>
  <si>
    <t>No Registró</t>
  </si>
  <si>
    <t>No registró</t>
  </si>
  <si>
    <t>CLAVO HIDALGO RAFAEL ALFREDO</t>
  </si>
  <si>
    <t>BASTIDAS JOSE SANTOS</t>
  </si>
  <si>
    <t>HOLZHAUSER DE UZCATEGUI ERIKA OL</t>
  </si>
  <si>
    <t>PEREZ HERNANDEZ DORA MARGARITA</t>
  </si>
  <si>
    <t>LINARES JOSE REGINO</t>
  </si>
  <si>
    <t>KOGEN DE BREA CARMEN TERESA</t>
  </si>
  <si>
    <t>DE LA ROSA FEDERICO ELSA MARGARI</t>
  </si>
  <si>
    <t>GOICOCHEA DELGADO CARMEN TERESA</t>
  </si>
  <si>
    <t>ZAMBRANO DE ZAMBRANO ALICIA DIVI</t>
  </si>
  <si>
    <t>LOPEZ URRIBARRI CELINA AMIRA</t>
  </si>
  <si>
    <t>RUEDA ACOSTA ROSA ISABEL</t>
  </si>
  <si>
    <t>TORRICO MEDINA FATIMA BOLIVIA</t>
  </si>
  <si>
    <t>LUCES TENIA JUDITH DE VALLE</t>
  </si>
  <si>
    <t>RAMOS GONZALEZ NIDIAN AURORA</t>
  </si>
  <si>
    <t>BLANCO CRESPO MIGUEL ANTONIO</t>
  </si>
  <si>
    <t>PARRA BERMUDEZ LUIS ENRIQUE</t>
  </si>
  <si>
    <t>PEÑA ROJAS ENRIQUE</t>
  </si>
  <si>
    <t>BLANCO ALVAREZ MAYRA COROMOTO</t>
  </si>
  <si>
    <t>MARTINEZ RODRIGUEZ CARMEN CIRA</t>
  </si>
  <si>
    <t>PARADA DE DENIS MARIA EUGENIA</t>
  </si>
  <si>
    <t>CARTAYA DE LA CRUZ ISABEL CRISTINA</t>
  </si>
  <si>
    <t>RODRIGUEZ NUBIA GRACIELA</t>
  </si>
  <si>
    <t>BRITO MORENO LYSBETH EPIFANIA</t>
  </si>
  <si>
    <t>RODRIGUEZ DE RAVELO SURAIMA DEL</t>
  </si>
  <si>
    <t>MANRIQUE RADA PABLO MIGUEL</t>
  </si>
  <si>
    <t>ALMAO LOZANO MERCEDES IGNACIA</t>
  </si>
  <si>
    <t>SANCHEZ SANCHEZ BLAS ENRIQUE</t>
  </si>
  <si>
    <t>RODRIGUEZ FERNANDEZ YENISE CONCE</t>
  </si>
  <si>
    <t>OCHOA RENE EVARISTO</t>
  </si>
  <si>
    <t>CRISTANCHO CIRO ALFONSO</t>
  </si>
  <si>
    <t>PARRA ÑAÑEZ MANUEL ALFREDO</t>
  </si>
  <si>
    <t>GONZALEZ CAO HILDA MARGARITA</t>
  </si>
  <si>
    <t>BLANCA ZULAY MARQUEZ ESPINOSA</t>
  </si>
  <si>
    <t>GUILLEN MONSALVE DEYANIRA MERCED</t>
  </si>
  <si>
    <t>CASTRO PALACIO ALBERTO MARIO</t>
  </si>
  <si>
    <t>DURAN GERARDO ANTONIO</t>
  </si>
  <si>
    <t>CARDENAS RODRIGUEZ JOSE EULOGIO</t>
  </si>
  <si>
    <t>ARAOZ ROCHA FRANCISCO JACINTO</t>
  </si>
  <si>
    <t>AVILA VUELVAS JAVIER ENRIQUE</t>
  </si>
  <si>
    <t>ESPINOZA CEBALLOS JOSE ALBERTO</t>
  </si>
  <si>
    <t>SANCHEZ CADENAS MANUEL DE JESUS</t>
  </si>
  <si>
    <t>ALVAREZ PEÑALOZA YDALID ISABEL</t>
  </si>
  <si>
    <t>GUERRERO BARRIOS FRANKLIN JOSE</t>
  </si>
  <si>
    <t>MORENO PALENCIA JULIO ROBERTO</t>
  </si>
  <si>
    <t>TOVAR PRADO MARIELA PATRICIA</t>
  </si>
  <si>
    <t>DURAN PEREZ MARIO DE JESUS</t>
  </si>
  <si>
    <t>ALVARADO RODRIGUEZ MOISES GREGOR</t>
  </si>
  <si>
    <t>AMELI MARCOZZI GLADYS INOCENCIA</t>
  </si>
  <si>
    <t>GARCIA MARQUEZ CARLOS RIGOBERTO</t>
  </si>
  <si>
    <t>MEJIAS GONZALEZ EDGAR JOSE</t>
  </si>
  <si>
    <t>GREILIS OFELIA ORTEGA</t>
  </si>
  <si>
    <t>GONZALEZ SALCEDO MIRIAN JOSEFINA</t>
  </si>
  <si>
    <t>LISBETH M SUAREZ A</t>
  </si>
  <si>
    <t>TORRES TORRES FRANKLIN EDUARDO</t>
  </si>
  <si>
    <t>GRATEROL TORO MARLENE COROMOTO</t>
  </si>
  <si>
    <t>OCHOA RIVAS ANTONIO JOSE</t>
  </si>
  <si>
    <t>ORTEGA ROMERO JESUS ORLANDO</t>
  </si>
  <si>
    <t>RANGEL VILLEGAS LILIA TERESA</t>
  </si>
  <si>
    <t>CONA RUIZ KENNE UBALDO</t>
  </si>
  <si>
    <t>BURGOS QUIJADA MARITZA JOSEFINA</t>
  </si>
  <si>
    <t>PELAY CHACON ANA CECILIA</t>
  </si>
  <si>
    <t>NIETO CACERES JULIAN GONZALO</t>
  </si>
  <si>
    <t>FLORES MAURA JOSEFINA</t>
  </si>
  <si>
    <t>BARRETO ECHARRY CESAR AUGUSTO</t>
  </si>
  <si>
    <t>BARRETO ECHARRY FRANK REINALDO</t>
  </si>
  <si>
    <t>GONZALEZ CARLOS ERNESTO</t>
  </si>
  <si>
    <t>ARAQUE FRANQUIZ INGRID CAROLINA</t>
  </si>
  <si>
    <t>HERNANDEZ CARLOS ARTURO</t>
  </si>
  <si>
    <t>SANCHEZ LOPEZ WILFREDO JOSE</t>
  </si>
  <si>
    <t>PEREIRA RAMON ALBERTO</t>
  </si>
  <si>
    <t>PUENTE DE VARELA MIRTA</t>
  </si>
  <si>
    <t>GODOY GONZALEZ RAFAEL ALEJO</t>
  </si>
  <si>
    <t>SAYAGO GARCIA JESMIN</t>
  </si>
  <si>
    <t>CORTEZ FELICITA COROMOTO</t>
  </si>
  <si>
    <t>TORRES MARIN JORGE IGNACIO</t>
  </si>
  <si>
    <t>ALVARADO RAMIREZ RICHARD JOSE</t>
  </si>
  <si>
    <t>FRANKLIN JOSE GARABAN MEDINA</t>
  </si>
  <si>
    <t>PADRON ALIX TERESA</t>
  </si>
  <si>
    <t>PARCERO MENDEZ HECTOR</t>
  </si>
  <si>
    <t>OROPEZA VEGA PATRICIA INES</t>
  </si>
  <si>
    <t>FLORES LEON CARLOS ANTONIO</t>
  </si>
  <si>
    <t>GARCIA VELASQUEZ JOSMAR JOSEFINA</t>
  </si>
  <si>
    <t>LOPEZ TORRES MORELLY BIXIDY</t>
  </si>
  <si>
    <t>PARRA IZQUIERDO MAGALY COROMOTO</t>
  </si>
  <si>
    <t>PEREZ MENDOZA IVAN JUNIOR</t>
  </si>
  <si>
    <t>RIZZI CRUSENAIRE NATHALIE ALEXAN</t>
  </si>
  <si>
    <t>OROPEZA VIDAL EUCLIDES JOSE</t>
  </si>
  <si>
    <t>CHACON TOVAR ELSA PATRICIA</t>
  </si>
  <si>
    <t>DOLANDE FRANCO MARIBEL ESPERANZA</t>
  </si>
  <si>
    <t>GONZALEZ GIMENEZ RITO ANTONIO</t>
  </si>
  <si>
    <t>FAJARDO RIERA LUIS EMIRO</t>
  </si>
  <si>
    <t>NUÑEZ GARCIA ANGEL JOSE</t>
  </si>
  <si>
    <t>SANCHEZ GUZMAN DORIS COROMOTO</t>
  </si>
  <si>
    <t>OLIVARES MUÑOZ MARIA ANTONIETA</t>
  </si>
  <si>
    <t>VICTOR AUGUSTO LARES CARRILLO</t>
  </si>
  <si>
    <t>LARES CARRILLO GLENDA YACLIN</t>
  </si>
  <si>
    <t>MORIN GLENDA COROMOTO</t>
  </si>
  <si>
    <t>DIAZ DE MORFEE MIRIAM DEL CARMEN</t>
  </si>
  <si>
    <t>GUEDEZ ELITA RAMONA</t>
  </si>
  <si>
    <t>GOMEZ ZAMBRANO IRMA ZULAY</t>
  </si>
  <si>
    <t>PINEDA MILANO YIRLENI COROMOTO</t>
  </si>
  <si>
    <t>ROJAS COA DEYANIRA ELENA</t>
  </si>
  <si>
    <t>RENGEL LUIS MANUEL</t>
  </si>
  <si>
    <t>UGARTE NOGUERA CARMEN ISAURA</t>
  </si>
  <si>
    <t>BASTARDO CATALAN COSME LORENZO</t>
  </si>
  <si>
    <t>ZAMBRANO ALVIAREZ JULIO CESAR</t>
  </si>
  <si>
    <t>ESTEVES GUERRA CARMEN ELENA</t>
  </si>
  <si>
    <t>GOMEZ SILFREDO RAMON</t>
  </si>
  <si>
    <t>SANCHEZ DE MELENDEZ MARIA JOSEFI</t>
  </si>
  <si>
    <t>GONZALEZ CORDERO GLADYS DEL VALL</t>
  </si>
  <si>
    <t>GONZALEZ CALDERIN JUAN IGNACIO</t>
  </si>
  <si>
    <t>MOYA ACOSTA MANUEL JESUS</t>
  </si>
  <si>
    <t>HERNANDEZ FLORES ELIO</t>
  </si>
  <si>
    <t>ARTEAGA LOPEZ CORALIA MARIA</t>
  </si>
  <si>
    <t>CAIRES RUBIO WANDER JOSE</t>
  </si>
  <si>
    <t>FIGUERA ARISMENDI FABIOLA MARIA</t>
  </si>
  <si>
    <t>TROMBINO ANSALDI VINCENZA</t>
  </si>
  <si>
    <t>CARDONA ESCOBAR MARTA NOELIA</t>
  </si>
  <si>
    <t>JASPE PITTOL CARMEN VRVILIA</t>
  </si>
  <si>
    <t>PAYARES BELLORIN DAISY JACQUELIN</t>
  </si>
  <si>
    <t>BASTIDAS SANTANDER ADOLFO ANTONI</t>
  </si>
  <si>
    <t>AGUILERA AMUNDARAIN AMARILIS SOL</t>
  </si>
  <si>
    <t>CISNEROS HERRERA MARIA DEL CARME</t>
  </si>
  <si>
    <t>RANGEL MAYORGA DELIDA ALEJANDRA</t>
  </si>
  <si>
    <t>SILVA ARAMIS COROMOTO</t>
  </si>
  <si>
    <t>ESPINOZA CEBALLOS MARITZA JOSEFI</t>
  </si>
  <si>
    <t>GOMEZ CABRERA GABRIEL ALONZO</t>
  </si>
  <si>
    <t>GRATEROL REYES OSWALDO ANTONIO</t>
  </si>
  <si>
    <t>MONSALVE BELISARIO ZENIA MILAGRO</t>
  </si>
  <si>
    <t>HERNANDEZ RIVAS HECTOR AURELIO</t>
  </si>
  <si>
    <t>URDANETA DELGADO LIRIA ELENA</t>
  </si>
  <si>
    <t>DE ABREU DE FARIA LISBETH</t>
  </si>
  <si>
    <t>ROMERO RODRIGUEZ ESTEBAN ALEXANDER</t>
  </si>
  <si>
    <t>PARRA COLMENARES WUILLIM ALEXIS</t>
  </si>
  <si>
    <t>MATERAN MATUTE YURAIMA EMILIA</t>
  </si>
  <si>
    <t>ANGARITA USQUIOLA YEISON ENRIQUE</t>
  </si>
  <si>
    <t>GONZALEZ CARLOS ENRIQUE</t>
  </si>
  <si>
    <t>VILLA VEGAS JOSE ENRIQUE</t>
  </si>
  <si>
    <t>ORTEGA MARTINEZ FREDDY ORLANDO</t>
  </si>
  <si>
    <t>OLIVAR SANCHEZ THAYNES LISBETH</t>
  </si>
  <si>
    <t>AZUAJE RAMIREZ LENNY MARIBEL</t>
  </si>
  <si>
    <t>VARGAS PULIDO JACOB ALEXANDER</t>
  </si>
  <si>
    <t>OLIVAR SANCHEZ YATZURI ELIZABETH</t>
  </si>
  <si>
    <t>DELGADO CARREÑO JUDITH TIBISAY</t>
  </si>
  <si>
    <t>URBINA ZAMBRANO MARIA ANTONIA</t>
  </si>
  <si>
    <t>VILLEGAS NELLY SILVINA</t>
  </si>
  <si>
    <t>RODRIGUEZ TOTESAUTT LIESKA DEIDR</t>
  </si>
  <si>
    <t>QUINTANA FERNANDEZ RODRIGO SALOM</t>
  </si>
  <si>
    <t>CURVELO CAMACHO WILFREDO</t>
  </si>
  <si>
    <t>VIVAS PEREZ DOMINGO JAVIER</t>
  </si>
  <si>
    <t>MUJICA MARCANO EDGAR ALEXANDER</t>
  </si>
  <si>
    <t>HIDALGO ZERPA PEDRO EMILIO</t>
  </si>
  <si>
    <t>ALARCON FERNANDEZ VICTOR JOSE</t>
  </si>
  <si>
    <t>DIAZ FLORES FELIPE DE JESUS</t>
  </si>
  <si>
    <t>MONSALVE CUBILLAN RUBEN ENRIQUE</t>
  </si>
  <si>
    <t>DIAZ LOPEZ KARELYS ALEXANDRA</t>
  </si>
  <si>
    <t>ORTIZ UZCATEGUI NEREIDA DEL CARM</t>
  </si>
  <si>
    <t>CARDENAS PASTRAN MARIA YRAIDA</t>
  </si>
  <si>
    <t>HERNANDEZ TAFUR ROBERTO CARLOS</t>
  </si>
  <si>
    <t>AGATON GAVAZUT ANA IVONNE</t>
  </si>
  <si>
    <t>MONSALVE PAEZ WILMER AFREDO</t>
  </si>
  <si>
    <t>MONSALVE RODRIGUEZ IRAIMA BERENI</t>
  </si>
  <si>
    <t>HUERFANO CASTRO JOANNA MIREYA</t>
  </si>
  <si>
    <t>SANCHEZ PARTIDAS DONEYLA ALEJAND</t>
  </si>
  <si>
    <t>BOCARANDA VILLARROEL JOSE ESTEBA</t>
  </si>
  <si>
    <t>BRAVO URQUIOLA MARTHA ROSA</t>
  </si>
  <si>
    <t>GUERRERO ORAMAS LEONARDO JOSE</t>
  </si>
  <si>
    <t>ORTA VERENZUELA LUISANA JOSEFINA</t>
  </si>
  <si>
    <t>SANTOS BARRENA MIREYA COROMOTO</t>
  </si>
  <si>
    <t>MARTINEZ CHACON JAVIER ORIELSON</t>
  </si>
  <si>
    <t>MARCANO DIAZ ALEXANDER JOSE MIGU</t>
  </si>
  <si>
    <t>CASTILLO MANZANO MAILYNG NATHALI</t>
  </si>
  <si>
    <t>NUÑEZ QUINTERO MARLIS ISABEL</t>
  </si>
  <si>
    <t>MANZANILLA PAREDES CONZUELO DEL</t>
  </si>
  <si>
    <t>TORREALBA SIRA NAUDYS YOSMILT</t>
  </si>
  <si>
    <t>CASTRO ROA MAGALY JOSEFINA</t>
  </si>
  <si>
    <t>DIAZ RODRIGUEZ JORGE FAUTINO</t>
  </si>
  <si>
    <t>YASMIRA YADREDTH RAMIREZ BASTIDAS</t>
  </si>
  <si>
    <t>BELLO VELASCO MAILYN TERESA</t>
  </si>
  <si>
    <t>BASTIDAS SANTANDER ALEJANDRO DAN</t>
  </si>
  <si>
    <t>ALVARADO CENTENO ZORAIDA RAMONA</t>
  </si>
  <si>
    <t>GOMEZ CEDEÑO DAISY ELENA</t>
  </si>
  <si>
    <t>TORRES DE SUAREZ GRACIELA DEL VA</t>
  </si>
  <si>
    <t>PARRA COLMENARES YALETSI COROMOT</t>
  </si>
  <si>
    <t>AMUNDARAIN FRIAS YURBI CAROLINA</t>
  </si>
  <si>
    <t>AQUINO ROMERO THAISMAR JOSEFINA</t>
  </si>
  <si>
    <t>ARVELO SOLORZANO MARIBEL</t>
  </si>
  <si>
    <t>LINARES DIAZ MAURY ELISA</t>
  </si>
  <si>
    <t>DOS RAMOS RAMIREZ LIZ VENEZUELA</t>
  </si>
  <si>
    <t>ARRIA BOHORQUEZ MELISSA LORENA</t>
  </si>
  <si>
    <t>DIAZ MONZON TOMAS ENRIQUE</t>
  </si>
  <si>
    <t>UROSA SANCHEZ HEISEL VIRGINIA</t>
  </si>
  <si>
    <t>SALAS DIAZ LEILA JOSE</t>
  </si>
  <si>
    <t>SANCHEZ YANEZ MARLENE DESIREE</t>
  </si>
  <si>
    <t>GUARISMA CARIAS FELIX NOEL</t>
  </si>
  <si>
    <t>MUÑOZ ARAGON ARGENIS RAFAEL</t>
  </si>
  <si>
    <t>MUJICA ORAN ROSARIO DEL CARMEN</t>
  </si>
  <si>
    <t>PEROZO GOMEZ ALFREDO JOSE</t>
  </si>
  <si>
    <t>AGUILAR MEJIA MARWAN SAID</t>
  </si>
  <si>
    <t>ACEVEDO SOTO MOISES JOSE</t>
  </si>
  <si>
    <t>QUESADA SANCHEZ JOEVE SARAY</t>
  </si>
  <si>
    <t>SERRANO TERAN JOSE ALEJANDRO</t>
  </si>
  <si>
    <t>URDANETA RUIZ YENNI CAROLINA</t>
  </si>
  <si>
    <t>CASTILLO RODRIGUEZ CECIVER DANIE</t>
  </si>
  <si>
    <t>IBARRA DE APARICIO ANDREINA</t>
  </si>
  <si>
    <t>BLANCO PEREZ YENIZET VERONICA</t>
  </si>
  <si>
    <t>RIVERO AVILA DOMINGO LUCIANO</t>
  </si>
  <si>
    <t>GOMEZ TORO JOHANA NATHALY</t>
  </si>
  <si>
    <t>MONJES ABREU YESICA LOLIMAR</t>
  </si>
  <si>
    <t>MARIA VICTORIA ROJAS DE DALY</t>
  </si>
  <si>
    <t>PORRAS SUBERO CIRO ALBERTO</t>
  </si>
  <si>
    <t>GUACARAN ROJAS FREDY ANTONIO</t>
  </si>
  <si>
    <t>SERRANO BARRETO GIORGI EDUARDO</t>
  </si>
  <si>
    <t>SALAZAR MARTINEZ JOSE GUILLERMO</t>
  </si>
  <si>
    <t>FEO ACEVEDO OSCAR ERNESTO</t>
  </si>
  <si>
    <t>CASTILLO COROY BLANCA ROSA</t>
  </si>
  <si>
    <t>BASTIDAS SERRANO FRANKLIN JOSE</t>
  </si>
  <si>
    <t>RAMIREZ DIAZ LUISA ANGELINA</t>
  </si>
  <si>
    <t>AREVALO PLAZOLA YASMIN MILEYDIS</t>
  </si>
  <si>
    <t>CARUCI MENDOZA WILMER RAMON</t>
  </si>
  <si>
    <t>ANDRADE GERDEL DIBLAIN REINALDO</t>
  </si>
  <si>
    <t>BARRETO ECHARRY MICHEL EDUARDO</t>
  </si>
  <si>
    <t>JIMENEZ DE MEJIAS NAIRY JAZMIN</t>
  </si>
  <si>
    <t>D ANGELO SAMARIN PIERINA</t>
  </si>
  <si>
    <t>OSORIO LUNA INGRID DALILA</t>
  </si>
  <si>
    <t>HERNANDEZ  VERA DANNY MANUEL</t>
  </si>
  <si>
    <t>HERNANDEZ ZAMBRANO AILE JOSEFINA</t>
  </si>
  <si>
    <t>MARQUEZ MANRIQUE ANA MARILENA</t>
  </si>
  <si>
    <t>PADRON MEDINA MABEL CARINA</t>
  </si>
  <si>
    <t>ALAYON DE RENGIFO FRANCIS LISBET</t>
  </si>
  <si>
    <t>ESQUEA BRICEÑO LUIS GUSTAVO</t>
  </si>
  <si>
    <t>PEÑA ARDILA ELIZABETH</t>
  </si>
  <si>
    <t>HERRERA FERNANDEZ MICHAEL ZANONI</t>
  </si>
  <si>
    <t>RODRÍGUEZ VARELA LUIS ALBERTO</t>
  </si>
  <si>
    <t>ESTRAÑO CASTRO ANA LUISA</t>
  </si>
  <si>
    <t>CHAVARRI ACOSTA ESLER ANTONIO</t>
  </si>
  <si>
    <t>MARTINEZ HERRERA MARIA ANGELICA</t>
  </si>
  <si>
    <t>LOPEZ PEREZ BREINER</t>
  </si>
  <si>
    <t>RAMOS MOY BETHZAIDA GRETHELL</t>
  </si>
  <si>
    <t>TORRES PARRA JAVIER JOSE</t>
  </si>
  <si>
    <t>ELBIGLYNNIS KRISTEL MOLINA SALAZAR</t>
  </si>
  <si>
    <t>COLINA GARCIA MILAGROS DEL VALLE</t>
  </si>
  <si>
    <t>MUÑOZ SIERRA GLENDA MARIA</t>
  </si>
  <si>
    <t>MARTINEZ RIVERA ROSSANA AMELIA</t>
  </si>
  <si>
    <t>REYES LEON NELITZA JOHANA</t>
  </si>
  <si>
    <t>RIGARDIZ ROSALES SANDRA DEL CARMEN</t>
  </si>
  <si>
    <t>MUJICA JAIMES JEHNNY DEL MAR</t>
  </si>
  <si>
    <t>SUAREZ TOLEDO HECTOR JOSE</t>
  </si>
  <si>
    <t>HERNANDEZ FLORES MILAGROS DESIRE</t>
  </si>
  <si>
    <t>GUZMAN SALCEDO JOSELYN NAZARETH</t>
  </si>
  <si>
    <t>RUIZ NERIBETH SOBELLA</t>
  </si>
  <si>
    <t>RODRIGUEZ MARTINEZ JULIO CESAR</t>
  </si>
  <si>
    <t>CANCHICA DE HERNANDEZ FRANCISCA</t>
  </si>
  <si>
    <t>PINTO PERDOMO IDELMAR DEL CARMEN</t>
  </si>
  <si>
    <t>SANCHEZ FORSAIN GLADYS JOSEFINA</t>
  </si>
  <si>
    <t>HUIZ CARABALI JOHN JAIRO</t>
  </si>
  <si>
    <t>LORETO MENDOZA IRIS MARIA</t>
  </si>
  <si>
    <t>MARRERO MANAURE ZULEIDY COROMOTO</t>
  </si>
  <si>
    <t>PLUA TALLEDO MARCOS EDUARDO</t>
  </si>
  <si>
    <t>FIGUEROA FIGUEROA CARMEN MERCEDES</t>
  </si>
  <si>
    <t>MONSALVE MONSALVE LEOMAR BRANIMIR</t>
  </si>
  <si>
    <t>ALBARRAN DE PABLOS CESAR HUMBERT</t>
  </si>
  <si>
    <t>TERAN SEGOVIA LUIS ENRIQUE</t>
  </si>
  <si>
    <t>LONGA TORRES RONNIS ANDERSON</t>
  </si>
  <si>
    <t>ROSAS DE VILLARROEL VERONICA ALE</t>
  </si>
  <si>
    <t>NAVARRO SANCHEZ EDUARDO ANIBAL</t>
  </si>
  <si>
    <t>MARTINEZ SINDY YOSELIN</t>
  </si>
  <si>
    <t>MARTINEZ RODRIGUEZ RODOLFO JOAQU</t>
  </si>
  <si>
    <t>CARABALLO GREGORIS RAFAEL</t>
  </si>
  <si>
    <t>PETIT QUINTERO EDILIDA ROSALYN</t>
  </si>
  <si>
    <t>RAUSSEO ROJAS LAIRET DEL VALLE</t>
  </si>
  <si>
    <t>REYES ROJAS JOHAN</t>
  </si>
  <si>
    <t>GONZALEZ PINEDA JULIO JOSE</t>
  </si>
  <si>
    <t>GUEVARA DI CRESCENZO ROSARIA ELISA</t>
  </si>
  <si>
    <t>ANGULO SALAZAR MARIA GABRIELA</t>
  </si>
  <si>
    <t>RUIZ GALLEGOS LISBETH CAROLINA</t>
  </si>
  <si>
    <t>MORENO MATA GILMA CAROLINA</t>
  </si>
  <si>
    <t>RIVERO MATA YANNY JOSE</t>
  </si>
  <si>
    <t>SANCHEZ FLORES ALBERTO JOSE</t>
  </si>
  <si>
    <t>NAVARRO MARCANO DULCY ALEXANDRA</t>
  </si>
  <si>
    <t>MEDINA  WILLIAN ANTONIO</t>
  </si>
  <si>
    <t>RIVAS HERNANDEZ LISBETH</t>
  </si>
  <si>
    <t>CHIRINOS MEDINA CARLOS JOSE</t>
  </si>
  <si>
    <t>CANTILLO HERRERA JENIFFER PAOLA</t>
  </si>
  <si>
    <t>GARCIA HERNÁNDEZ YEDISON ANTONI</t>
  </si>
  <si>
    <t>MATOS MENDOZA ZALEIDY ALEJANDRA</t>
  </si>
  <si>
    <t>LEOTTAU JUNKO LILIBETH</t>
  </si>
  <si>
    <t>VEGAS DURAN GABRIEL ORLANDO</t>
  </si>
  <si>
    <t>OCHOA MADERA ZOILA RAMONA</t>
  </si>
  <si>
    <t>BOMPART SANCHEZ IVY ALEJANDRA</t>
  </si>
  <si>
    <t>TORRES COY JESUS ABRAHAMS</t>
  </si>
  <si>
    <t>CARDOZA VILLAMINI  JORGE LUIS</t>
  </si>
  <si>
    <t>CASTANEDA CORDOVA LUIS EDUARDO</t>
  </si>
  <si>
    <t>RODRIGUEZ RIOS YESIS MARIA</t>
  </si>
  <si>
    <t>PEREZ DE MARTINEZ YAJAIRA CAROLI</t>
  </si>
  <si>
    <t>RODRIGUEZ ROMAN EDUARDO JOSE</t>
  </si>
  <si>
    <t>PATIÑO DIAZ EDUARDO JOSE</t>
  </si>
  <si>
    <t>MEDINA MEJIAS SAYHORLY JUSET</t>
  </si>
  <si>
    <t>ALBORNOZ DAVILA AMARILIS TERESA</t>
  </si>
  <si>
    <t>MORENO PALMA ROBERT ALAIN</t>
  </si>
  <si>
    <t>ALEJOS FERNANDEZ MIGDELYS ANDREINA</t>
  </si>
  <si>
    <t>PADRON POLANCO YELITZA MARIBEL</t>
  </si>
  <si>
    <t>LUGO OJEDA CRISTINA ALEXANDRA</t>
  </si>
  <si>
    <t>MORENO MORENO LARRY RAFAEL</t>
  </si>
  <si>
    <t>CASTILLO OROPEZA GENISIS GABRIEL</t>
  </si>
  <si>
    <t>BOTERO QUINTERO ADRIANA MARIA</t>
  </si>
  <si>
    <t>APONTE CISNEROS WILMARY DE LOS A</t>
  </si>
  <si>
    <t>RONDON INFANTE ANDREA DORIA</t>
  </si>
  <si>
    <t>RAMIREZ ORDUZ JESUS DAVID</t>
  </si>
  <si>
    <t>RODRIGUEZ RUJANO NORVELIS DELINE</t>
  </si>
  <si>
    <t>LINARES DIAZ MEIGNELLY LORENA</t>
  </si>
  <si>
    <t>MILLAN PARRA ROSA VIRGINIA</t>
  </si>
  <si>
    <t>VIVAS VELIZ JESSICA ELENA</t>
  </si>
  <si>
    <t>MONTERO AZUAJE YOHANSIS YLDEMARY</t>
  </si>
  <si>
    <t>ONTIVEROS IVANA KARINA</t>
  </si>
  <si>
    <t>BOLIVAR COLITSIS FRANCIS AFRODIT</t>
  </si>
  <si>
    <t>MOLINA ZAMBRANO RHONALD JOSE</t>
  </si>
  <si>
    <t>MARIA MAGDALENA CENTENO SANCHEZ</t>
  </si>
  <si>
    <t>NIEVES GODOY KAREN VANESSA</t>
  </si>
  <si>
    <t>ARIAS MIRANDA YURIANNI ESTER</t>
  </si>
  <si>
    <t>NIEVES QUINTANA GEORGINA YAMILETH</t>
  </si>
  <si>
    <t>MARQUEZ BLANCO FRANCELINE ELIZAB</t>
  </si>
  <si>
    <t>RIOS QUISPE NATALY CAROLINA</t>
  </si>
  <si>
    <t>VALBUENA SANCHEZ WILBER JOMERISIDORO</t>
  </si>
  <si>
    <t>PACHECO FONSECA DAYMAR COROMOTO</t>
  </si>
  <si>
    <t>PARRA JAIMES GERARDO JOSE</t>
  </si>
  <si>
    <t>PEÑA BOGADO YERNALIN ANDREINA</t>
  </si>
  <si>
    <t>APARICIO LEAL MICAELA JOHANA</t>
  </si>
  <si>
    <t>RAUSEO MARTINEZ  JOAQUIN ALEJANDRO</t>
  </si>
  <si>
    <t>FREY CARRILLO JUAN FRANCISCO</t>
  </si>
  <si>
    <t>RIVAS DOMINGUEZ ANGEL JOHAN</t>
  </si>
  <si>
    <t>FERNANDO FIGUEROA SUAREZ</t>
  </si>
  <si>
    <t>GOMEZ SAJAYO GABRIELA MARINA</t>
  </si>
  <si>
    <t>ROMANTINI ROJAS CONSUELO MARIA</t>
  </si>
  <si>
    <t>Greicy  Anais Zapata Cabeza</t>
  </si>
  <si>
    <t>PEREZ PAREDES YEISKA DEL CARMEN</t>
  </si>
  <si>
    <t>LOPEZ FLORES YULEIDYS VANESSA</t>
  </si>
  <si>
    <t>REINALY GONZALEZ CISNERO</t>
  </si>
  <si>
    <t>ACOSTA MONTAÑO MARIANGEL JOSELYN</t>
  </si>
  <si>
    <t>ALTUVE ARDILA KEIMMER ANTHONY</t>
  </si>
  <si>
    <t>PEROZA BERNA RONAYQUEL ADONEY</t>
  </si>
  <si>
    <t>ROJAS SEGOVIA ODRHY MILENSKY</t>
  </si>
  <si>
    <t>CHAURIO BRICEÑO ALEIRAM YANIT</t>
  </si>
  <si>
    <t>BETANCOURT HERNANDEZ DAILYN ALEJADRA</t>
  </si>
  <si>
    <t>GONZALEZ ORTIZ YONEIKA NEIDALY</t>
  </si>
  <si>
    <t>LAGUNA AGUILAR OSWALDO JOSE</t>
  </si>
  <si>
    <t>CORREA LEE GLORIA DEL VALLE</t>
  </si>
  <si>
    <t>MARTINEZ PEREZ ABIHAIL CAROLINA</t>
  </si>
  <si>
    <t>VERA ALBARRAN ROBERTH ALEJANDRO</t>
  </si>
  <si>
    <t>SERRANO MIJARES ELEANA LEONELA</t>
  </si>
  <si>
    <t>DIAZ MONTIEL REINALDO JOSE</t>
  </si>
  <si>
    <t>DELGADO PINEDA GILBERTO ENRIQUE</t>
  </si>
  <si>
    <t>DIAZ TORRES ESTEFANY MARALI</t>
  </si>
  <si>
    <t>SAYAGO FLORES YORGEIDY YOSELIN</t>
  </si>
  <si>
    <t>GOMEZ  MUJICA DIEGO ARNOLDO</t>
  </si>
  <si>
    <t>TORO AZUAJE MARLEIDYS NAZARETH</t>
  </si>
  <si>
    <t>BUVAT DE VIRGINI UMANES DANIEL ALEXANDER</t>
  </si>
  <si>
    <t>YULEIDYS  DEL VALLE RIVAS SAEZ</t>
  </si>
  <si>
    <t>OBERTO MERIDA ANGELICA MARIA</t>
  </si>
  <si>
    <t>VALERA MACHADO BRYAN MICHELLE</t>
  </si>
  <si>
    <t>MARCANO PALMAR KERLIN VANESSA</t>
  </si>
  <si>
    <t>RUIZ YORLENYS ALEXANDRA</t>
  </si>
  <si>
    <t>SUAREZ PEÑA OMARYS MARGELLYS</t>
  </si>
  <si>
    <t>MEDINA DIAZ JOSE LEONARDO</t>
  </si>
  <si>
    <t>RAFAEL CLEMENTE RODRIGUEZ ROJAS</t>
  </si>
  <si>
    <t>MARTINEZ VARGAS ISABEL ALICIA</t>
  </si>
  <si>
    <t>VIVAS PARABABIRE MARIA GABRIELA</t>
  </si>
  <si>
    <t>SERRANO MIJARES LEONEL ALEJANDRO</t>
  </si>
  <si>
    <t>QUIJADA MARCANO RICHARD FRANCISCO</t>
  </si>
  <si>
    <t>ALVAREZ TORO PIERANGELA SELENA</t>
  </si>
  <si>
    <t>LEON SANTANA LEINDER LEONARDO</t>
  </si>
  <si>
    <t>NIEVES ACOSTA ANGELY SINAI</t>
  </si>
  <si>
    <t>ENGERBERH JAVIER REYES BOXIL</t>
  </si>
  <si>
    <t>ROMERO QUINTERO KAREN GISSEL</t>
  </si>
  <si>
    <t>RIVERO GALLEGO GABRIEL ALEJANDRO</t>
  </si>
  <si>
    <t>ROJAS HERNANDEZ MEIBERLIN MARIA</t>
  </si>
  <si>
    <t>AIVERSON ELIAN GONZALEZ LUNA</t>
  </si>
  <si>
    <t>ENYELY ALEJANDRA HERNANDEZ CANCHICA</t>
  </si>
  <si>
    <t>YOSMEL DAVID VIVAS SILVA</t>
  </si>
  <si>
    <t>ZULEANGELA JOSE PERDOMO CORDERO</t>
  </si>
  <si>
    <t>LAURY DEL CALDERON LOPEZ</t>
  </si>
  <si>
    <t>RIVAS RANGEL ABDIAS ABIADSAR</t>
  </si>
  <si>
    <t>RECUPERACION DE SERVIDORES CAIDOS</t>
  </si>
  <si>
    <t>RODRIGUEZ ILIANA</t>
  </si>
  <si>
    <t>DIRECTOR(A) DE DOCENCIA</t>
  </si>
  <si>
    <t>el día miercoles se queda post guardia</t>
  </si>
  <si>
    <t>ELIMINAR ESTRUCTURA METALICA VOTAR ESCOMBROS DESINTALACION DE LAMPARAS DESINTALAR TECHO DRAIBOL Y MONTARLO</t>
  </si>
  <si>
    <t>QUINTANA ANTONIO JOSE</t>
  </si>
  <si>
    <t>DOMINGUEZ MIGUEL ANGEL</t>
  </si>
  <si>
    <t>VEGAS PRIETO YSELA MARIBEL</t>
  </si>
  <si>
    <t>VELÁSQUEZ RANGEL YELITZA THAIS</t>
  </si>
  <si>
    <t>SANCHEZ RAMIREZ HENRY LEONEL</t>
  </si>
  <si>
    <t>BREA GUZMAN JUAN CARLOS</t>
  </si>
  <si>
    <t>GONZALEZ SANCHEZ ROSSMING DEL VA</t>
  </si>
  <si>
    <t>VASQUEZ VARGAS AIXA ESTEFANY</t>
  </si>
  <si>
    <t>ARTILES ARAUJO ERICK DAVID</t>
  </si>
  <si>
    <t>ACOSTA TORRES ENDERSON DAVID</t>
  </si>
  <si>
    <t>Coordinación de actividades de la Dirección de Diagnóstico de Enfermedades Transmisibles. Procesamiento de muestras</t>
  </si>
  <si>
    <t>MONITOREO DE SERVICIOS PREVENTIVOS VIA REMOTA LOS DIAS JUEVES 17-04 Y VIERENES 18-04-2025</t>
  </si>
  <si>
    <t>GUARDIA PREVENTIVA VIA REMOTA EL DIA SABADO 19-04</t>
  </si>
  <si>
    <t>GUARDIA PREVENTIVA VIA REMOTA MIERCOLES  16-04</t>
  </si>
  <si>
    <t xml:space="preserve">GUARDIA PREVENTIVA LOS DIAS VIERNES 18, SABADO 19 Y DOMINGO 20 </t>
  </si>
  <si>
    <t>MONITOREO DE SERVICIOS PREVENTIVOS VIA REMOTA LOS DIAS MIERCOLES 16-04 SABADO 19-04 Y DOMINGO 20-04-2025</t>
  </si>
  <si>
    <t>1)   Fumigación en el área de la cocina (sótano) y comedor (área externa).</t>
  </si>
  <si>
    <t>1) Supervisión en Materia de Prevención de Riesgos trabajos internos en el área de la cocina (sótano) y comedor (área externa).</t>
  </si>
  <si>
    <t>COMPRAS (PENDIENTE JUEVES 10-04-2025 )</t>
  </si>
  <si>
    <t xml:space="preserve">Mantenimiento y limpieza profunda en las áreas del comedor y cocina área externa. </t>
  </si>
  <si>
    <t>Mantenimiento y limpieza en las áreas del Edificio Sede (PB, escaleras de entrada e internas, recepción principal, baños, pasillos centrales en cada piso, oficinas, laboratorios, unidad de atención al paciente) y de las Áreas Externas (Recepción de Patrocinantes, Micología, Proyecto, Almacen y Transporte).  Mantener libre de desechos las papeleras.  Apoyo a las demandas y necesidades que puedan surgir con motivo de algún evento o actividad especial que requiera de su acompañamiento.</t>
  </si>
  <si>
    <t xml:space="preserve">Mantenimiento y limpieza en las áreas externas del INHRR (Entrada principal, Estacionamiento principal y el de Bioterio, rampa de transportes, Micología, Proyecto, Talleres, Almacen y Transporte).  Llevar las bolsas de basura hasta el container.  Dispensar de agua potable a todos los servicios, Apoyo a las demandas y necesidades que puedan surgir con motivo de algún evento o actividad especial que requiera de su acompañamiento.   </t>
  </si>
  <si>
    <t xml:space="preserve">Apoyo en el mantenimiento, fregado y limpieza en el área del comedor institucional. Coordinar y supervisar las actividades asi como la dotación del material necesario para el Mantenimiento y limpieza en las todas las áreas del Edificio Sede y Áreas Externas. Garantizar el cumplimiento de las actividades para mantener limpias todas las áreas. Coordinar y supervisar lo necesario para atender a las demandas y necesidades que puedan surgir con motivo de algún evento o actividad especial que requiera del acompañamiento de su personal de apoyo.    </t>
  </si>
  <si>
    <t>Producción de plasma de conejo</t>
  </si>
  <si>
    <t>Atención de animales de bioterio</t>
  </si>
  <si>
    <t>Atención de animales de granja, apoyo en procesamiento de plasma de conejo</t>
  </si>
  <si>
    <t>Atención de animales de granja</t>
  </si>
  <si>
    <t>Producción  y revisión de lineas celulares para diagnostico de virus dengue</t>
  </si>
  <si>
    <t>Apoyo en la producción  de lineas celulares para diagnostico de virus dengue</t>
  </si>
  <si>
    <t>Por asuelto de semana santa realizo las guardias desde su casa por cualquier eventualidad que se presentara</t>
  </si>
  <si>
    <t xml:space="preserve">Guardias resagadas desde el dia 07 al 11 de abril de 2025 </t>
  </si>
  <si>
    <t>APOYO EN PRESIDENCIA</t>
  </si>
  <si>
    <t>DIA PENDIENTE DE LA SEMANA 15 DÍA VIERNES 11-04-2025</t>
  </si>
  <si>
    <t>APOYO LIMPIEZA COCINA Y REMOCION ESCOMBROS</t>
  </si>
  <si>
    <t>APOYO LIMPIEZA COCINA Y REMOCION DE ESCOMBROS</t>
  </si>
  <si>
    <t>OCHOA RIVAS LUIS GUILLERMO</t>
  </si>
  <si>
    <t>OSAL ESCULPI ILIANA DEL VALLE</t>
  </si>
  <si>
    <t>FEO HERRERA LUIS EDUARDO</t>
  </si>
  <si>
    <t>ISTURIZ MEJIAS JOHAN JOSE</t>
  </si>
  <si>
    <t>RODRIGUEZ GONZALEZ OBRAYAN SMITH</t>
  </si>
  <si>
    <t>ATENCIO MAZA MARIA VICTORIA</t>
  </si>
  <si>
    <t>DIAS PENDIENTES DE LA SEMANA 15 Evaluacion de Proyecto asigando por la Dra. Esperanza Briceño</t>
  </si>
  <si>
    <t>DÍA TRABAJADO EL MIÉRCOLES 09 DE ABRIL 2025</t>
  </si>
  <si>
    <t>INHRR_TALENTO HUMANO</t>
  </si>
  <si>
    <t>MIERCOLES Y SABADO TRABAJO EN LA GRANJA (PLASMA)</t>
  </si>
  <si>
    <t>COSTO DIARIO DE METAS</t>
  </si>
  <si>
    <t>CODIGO UBICACIÓN BIOMETRICO</t>
  </si>
  <si>
    <t>CODIGO UBICACIÓN NOMINAS</t>
  </si>
  <si>
    <t xml:space="preserve">BLOQUEO/OTROS PAGOS </t>
  </si>
  <si>
    <t>SE RESALTA EL INCUMPLIMIENTO DE HORARIO; ENTRADA DESPUES 07:15, Y NO REGISTRO</t>
  </si>
  <si>
    <t>11111111111111111111</t>
  </si>
  <si>
    <t>VALIDADOR DE CUENTA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</si>
</sst>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 * #,##0.00_ ;_ * \-#,##0.00_ ;_ * &quot;-&quot;??_ ;_ @_ "/>
    <numFmt numFmtId="164" formatCode="0;[Red]0"/>
    <numFmt numFmtId="165" formatCode="[$-F400]h:mm:ss\ AM/PM"/>
    <numFmt numFmtId="166" formatCode="dd/mm/yyyy;@"/>
    <numFmt numFmtId="167" formatCode="_-* #,##0.00_-;\-* #,##0.00_-;_-* &quot;-&quot;??_-;_-@_-"/>
    <numFmt numFmtId="168" formatCode="[h]:mm"/>
    <numFmt numFmtId="169" formatCode="h:mm\ AM/PM"/>
    <numFmt numFmtId="170" formatCode="#,##0.00_ ;[Red]\-#,##0.00\ 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indexed="64"/>
      </bottom>
      <diagonal/>
    </border>
    <border>
      <left/>
      <right/>
      <top style="medium">
        <color auto="1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theme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rgb="FFFF0000"/>
      </right>
      <top/>
      <bottom/>
      <diagonal/>
    </border>
    <border>
      <left/>
      <right style="medium">
        <color indexed="64"/>
      </right>
      <top/>
      <bottom/>
      <diagonal/>
    </border>
  </borders>
  <cellStyleXfs count="4059">
    <xf numFmtId="0" fontId="0" fillId="0" borderId="0"/>
    <xf numFmtId="43" fontId="4" fillId="0" borderId="0" applyFont="0" applyFill="0" applyBorder="0" applyAlignment="0" applyProtection="0"/>
    <xf numFmtId="0" fontId="6" fillId="0" borderId="0" applyFill="0"/>
    <xf numFmtId="0" fontId="4" fillId="0" borderId="0"/>
    <xf numFmtId="0" fontId="6" fillId="0" borderId="0" applyFill="0"/>
    <xf numFmtId="0" fontId="8" fillId="0" borderId="0" applyFill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6" fillId="0" borderId="0" applyFill="0"/>
    <xf numFmtId="0" fontId="6" fillId="0" borderId="0" applyFill="0"/>
    <xf numFmtId="0" fontId="6" fillId="0" borderId="0"/>
    <xf numFmtId="167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6" fillId="0" borderId="0" applyFill="0"/>
    <xf numFmtId="0" fontId="6" fillId="0" borderId="0" applyFill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27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</cellStyleXfs>
  <cellXfs count="418">
    <xf numFmtId="0" fontId="0" fillId="0" borderId="0" xfId="0"/>
    <xf numFmtId="0" fontId="2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/>
    <xf numFmtId="0" fontId="0" fillId="0" borderId="0" xfId="1" applyNumberFormat="1" applyFont="1" applyFill="1" applyBorder="1" applyAlignment="1">
      <alignment horizontal="center" vertical="center"/>
    </xf>
    <xf numFmtId="0" fontId="3" fillId="0" borderId="0" xfId="1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 applyAlignment="1">
      <alignment horizontal="center" vertical="center" wrapText="1"/>
    </xf>
    <xf numFmtId="0" fontId="2" fillId="0" borderId="0" xfId="1" applyNumberFormat="1" applyFont="1" applyFill="1" applyBorder="1" applyAlignment="1">
      <alignment horizontal="center" vertical="center" wrapText="1"/>
    </xf>
    <xf numFmtId="0" fontId="0" fillId="0" borderId="0" xfId="1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Alignment="1">
      <alignment horizontal="center" vertical="center" wrapText="1"/>
    </xf>
    <xf numFmtId="0" fontId="5" fillId="0" borderId="0" xfId="1" applyNumberFormat="1" applyFont="1" applyFill="1" applyBorder="1" applyAlignment="1">
      <alignment horizontal="center" vertical="center" wrapText="1"/>
    </xf>
    <xf numFmtId="0" fontId="5" fillId="0" borderId="0" xfId="1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Alignment="1"/>
    <xf numFmtId="0" fontId="1" fillId="0" borderId="3" xfId="0" applyFont="1" applyFill="1" applyBorder="1"/>
    <xf numFmtId="0" fontId="1" fillId="0" borderId="6" xfId="0" applyFont="1" applyFill="1" applyBorder="1"/>
    <xf numFmtId="0" fontId="1" fillId="0" borderId="4" xfId="0" applyFont="1" applyFill="1" applyBorder="1"/>
    <xf numFmtId="0" fontId="2" fillId="0" borderId="0" xfId="2" applyFont="1" applyFill="1" applyAlignment="1">
      <alignment horizontal="left"/>
    </xf>
    <xf numFmtId="0" fontId="2" fillId="0" borderId="0" xfId="2" applyFont="1" applyFill="1"/>
    <xf numFmtId="0" fontId="2" fillId="0" borderId="0" xfId="2" applyNumberFormat="1" applyFont="1" applyFill="1" applyBorder="1" applyAlignment="1">
      <alignment horizontal="center" vertical="center"/>
    </xf>
    <xf numFmtId="0" fontId="2" fillId="0" borderId="0" xfId="2" applyFont="1" applyFill="1" applyAlignment="1">
      <alignment horizontal="center"/>
    </xf>
    <xf numFmtId="0" fontId="2" fillId="0" borderId="0" xfId="2" applyFont="1" applyFill="1" applyAlignment="1"/>
    <xf numFmtId="0" fontId="3" fillId="0" borderId="0" xfId="4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left"/>
    </xf>
    <xf numFmtId="0" fontId="0" fillId="0" borderId="0" xfId="0" applyFill="1"/>
    <xf numFmtId="0" fontId="1" fillId="0" borderId="0" xfId="0" applyFont="1"/>
    <xf numFmtId="0" fontId="1" fillId="0" borderId="13" xfId="0" applyFont="1" applyBorder="1"/>
    <xf numFmtId="0" fontId="0" fillId="0" borderId="0" xfId="0" applyAlignment="1">
      <alignment horizontal="center" vertical="center"/>
    </xf>
    <xf numFmtId="166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0" fontId="12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12" fillId="8" borderId="1" xfId="0" applyNumberFormat="1" applyFont="1" applyFill="1" applyBorder="1" applyAlignment="1" applyProtection="1">
      <alignment horizontal="center" vertical="center" wrapText="1"/>
      <protection hidden="1"/>
    </xf>
    <xf numFmtId="14" fontId="13" fillId="8" borderId="0" xfId="0" applyNumberFormat="1" applyFont="1" applyFill="1" applyBorder="1" applyAlignment="1" applyProtection="1">
      <alignment horizontal="center" vertical="center"/>
      <protection hidden="1"/>
    </xf>
    <xf numFmtId="0" fontId="12" fillId="0" borderId="0" xfId="0" applyNumberFormat="1" applyFont="1" applyFill="1" applyBorder="1" applyAlignment="1" applyProtection="1">
      <alignment horizontal="center" vertical="center"/>
      <protection locked="0" hidden="1"/>
    </xf>
    <xf numFmtId="0" fontId="12" fillId="0" borderId="0" xfId="0" applyNumberFormat="1" applyFont="1" applyFill="1" applyBorder="1" applyAlignment="1" applyProtection="1">
      <alignment vertical="center"/>
      <protection locked="0" hidden="1"/>
    </xf>
    <xf numFmtId="1" fontId="11" fillId="0" borderId="0" xfId="0" applyNumberFormat="1" applyFont="1" applyFill="1" applyAlignment="1" applyProtection="1">
      <alignment horizontal="center" vertical="center"/>
      <protection locked="0" hidden="1"/>
    </xf>
    <xf numFmtId="0" fontId="11" fillId="0" borderId="0" xfId="0" applyNumberFormat="1" applyFont="1" applyFill="1" applyAlignment="1" applyProtection="1">
      <alignment horizontal="center" vertical="center" wrapText="1"/>
      <protection locked="0" hidden="1"/>
    </xf>
    <xf numFmtId="0" fontId="11" fillId="0" borderId="0" xfId="0" applyNumberFormat="1" applyFont="1" applyFill="1" applyAlignment="1" applyProtection="1">
      <alignment horizontal="center" vertical="center"/>
      <protection locked="0" hidden="1"/>
    </xf>
    <xf numFmtId="0" fontId="12" fillId="0" borderId="0" xfId="0" applyNumberFormat="1" applyFont="1" applyFill="1" applyAlignment="1" applyProtection="1">
      <alignment horizontal="center" vertical="center"/>
      <protection locked="0" hidden="1"/>
    </xf>
    <xf numFmtId="0" fontId="11" fillId="0" borderId="0" xfId="0" applyNumberFormat="1" applyFont="1" applyFill="1" applyBorder="1" applyAlignment="1" applyProtection="1">
      <alignment horizontal="center" vertical="center"/>
      <protection locked="0" hidden="1"/>
    </xf>
    <xf numFmtId="0" fontId="12" fillId="0" borderId="0" xfId="0" applyNumberFormat="1" applyFont="1" applyFill="1" applyAlignment="1" applyProtection="1">
      <alignment horizontal="center" vertical="center"/>
      <protection hidden="1"/>
    </xf>
    <xf numFmtId="0" fontId="11" fillId="0" borderId="0" xfId="0" applyNumberFormat="1" applyFont="1" applyFill="1" applyAlignment="1" applyProtection="1">
      <alignment horizontal="left" vertical="center"/>
      <protection locked="0" hidden="1"/>
    </xf>
    <xf numFmtId="1" fontId="12" fillId="0" borderId="0" xfId="0" applyNumberFormat="1" applyFont="1" applyFill="1" applyBorder="1" applyAlignment="1" applyProtection="1">
      <alignment horizontal="center" vertical="center"/>
      <protection locked="0" hidden="1"/>
    </xf>
    <xf numFmtId="0" fontId="12" fillId="0" borderId="0" xfId="0" applyNumberFormat="1" applyFont="1" applyFill="1" applyAlignment="1" applyProtection="1">
      <alignment wrapText="1"/>
      <protection hidden="1"/>
    </xf>
    <xf numFmtId="0" fontId="12" fillId="0" borderId="0" xfId="0" applyNumberFormat="1" applyFont="1" applyFill="1" applyAlignment="1" applyProtection="1">
      <alignment horizontal="center" vertical="center" wrapText="1"/>
      <protection hidden="1"/>
    </xf>
    <xf numFmtId="0" fontId="12" fillId="0" borderId="0" xfId="0" applyNumberFormat="1" applyFont="1" applyFill="1" applyAlignment="1" applyProtection="1">
      <alignment horizontal="left" vertical="center"/>
      <protection hidden="1"/>
    </xf>
    <xf numFmtId="0" fontId="12" fillId="0" borderId="0" xfId="0" applyNumberFormat="1" applyFont="1" applyFill="1" applyBorder="1" applyAlignment="1" applyProtection="1">
      <alignment horizontal="left" vertical="center"/>
      <protection locked="0" hidden="1"/>
    </xf>
    <xf numFmtId="0" fontId="12" fillId="0" borderId="0" xfId="0" applyNumberFormat="1" applyFont="1" applyFill="1" applyAlignment="1" applyProtection="1">
      <alignment vertical="center" wrapText="1"/>
      <protection hidden="1"/>
    </xf>
    <xf numFmtId="0" fontId="12" fillId="0" borderId="0" xfId="0" applyNumberFormat="1" applyFont="1" applyFill="1" applyBorder="1" applyAlignment="1" applyProtection="1">
      <alignment horizontal="center" vertical="center"/>
      <protection hidden="1"/>
    </xf>
    <xf numFmtId="0" fontId="11" fillId="0" borderId="8" xfId="0" applyNumberFormat="1" applyFont="1" applyFill="1" applyBorder="1" applyAlignment="1" applyProtection="1">
      <alignment horizontal="center" vertical="center"/>
      <protection locked="0" hidden="1"/>
    </xf>
    <xf numFmtId="0" fontId="11" fillId="0" borderId="7" xfId="0" applyNumberFormat="1" applyFont="1" applyFill="1" applyBorder="1" applyAlignment="1" applyProtection="1">
      <alignment horizontal="center" vertical="center"/>
      <protection locked="0" hidden="1"/>
    </xf>
    <xf numFmtId="0" fontId="11" fillId="0" borderId="9" xfId="0" applyNumberFormat="1" applyFont="1" applyFill="1" applyBorder="1" applyAlignment="1" applyProtection="1">
      <alignment horizontal="center" vertical="center"/>
      <protection locked="0" hidden="1"/>
    </xf>
    <xf numFmtId="14" fontId="11" fillId="4" borderId="6" xfId="0" applyNumberFormat="1" applyFont="1" applyFill="1" applyBorder="1" applyAlignment="1" applyProtection="1">
      <alignment horizontal="center" vertical="center"/>
      <protection locked="0" hidden="1"/>
    </xf>
    <xf numFmtId="14" fontId="11" fillId="0" borderId="4" xfId="0" applyNumberFormat="1" applyFont="1" applyFill="1" applyBorder="1" applyAlignment="1" applyProtection="1">
      <alignment horizontal="center" vertical="center"/>
      <protection hidden="1"/>
    </xf>
    <xf numFmtId="0" fontId="11" fillId="0" borderId="0" xfId="0" applyNumberFormat="1" applyFont="1" applyFill="1" applyBorder="1" applyAlignment="1" applyProtection="1">
      <alignment vertical="center" wrapText="1"/>
      <protection hidden="1"/>
    </xf>
    <xf numFmtId="0" fontId="11" fillId="0" borderId="0" xfId="0" applyNumberFormat="1" applyFont="1" applyFill="1" applyBorder="1" applyAlignment="1" applyProtection="1">
      <alignment vertical="center"/>
      <protection locked="0" hidden="1"/>
    </xf>
    <xf numFmtId="0" fontId="12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NumberFormat="1" applyFont="1" applyFill="1" applyBorder="1" applyAlignment="1" applyProtection="1">
      <alignment horizontal="left" vertical="center" wrapText="1"/>
      <protection hidden="1"/>
    </xf>
    <xf numFmtId="0" fontId="11" fillId="0" borderId="1" xfId="0" applyNumberFormat="1" applyFont="1" applyFill="1" applyBorder="1" applyAlignment="1" applyProtection="1">
      <alignment horizontal="center" vertical="center"/>
      <protection locked="0" hidden="1"/>
    </xf>
    <xf numFmtId="0" fontId="11" fillId="0" borderId="1" xfId="0" applyNumberFormat="1" applyFont="1" applyFill="1" applyBorder="1" applyAlignment="1" applyProtection="1">
      <alignment horizontal="center" vertical="center"/>
      <protection hidden="1"/>
    </xf>
    <xf numFmtId="0" fontId="11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11" fillId="2" borderId="1" xfId="0" applyNumberFormat="1" applyFont="1" applyFill="1" applyBorder="1" applyAlignment="1" applyProtection="1">
      <alignment horizontal="center" vertical="center"/>
      <protection locked="0" hidden="1"/>
    </xf>
    <xf numFmtId="0" fontId="11" fillId="3" borderId="1" xfId="0" applyNumberFormat="1" applyFont="1" applyFill="1" applyBorder="1" applyAlignment="1" applyProtection="1">
      <alignment horizontal="center" vertical="center"/>
      <protection locked="0" hidden="1"/>
    </xf>
    <xf numFmtId="0" fontId="11" fillId="6" borderId="1" xfId="0" applyNumberFormat="1" applyFont="1" applyFill="1" applyBorder="1" applyAlignment="1" applyProtection="1">
      <alignment horizontal="center" vertical="center" wrapText="1"/>
      <protection hidden="1"/>
    </xf>
    <xf numFmtId="1" fontId="12" fillId="0" borderId="0" xfId="0" applyNumberFormat="1" applyFont="1" applyFill="1" applyAlignment="1" applyProtection="1">
      <alignment horizontal="center" vertical="center"/>
      <protection locked="0" hidden="1"/>
    </xf>
    <xf numFmtId="0" fontId="1" fillId="0" borderId="10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1" fillId="0" borderId="7" xfId="0" applyNumberFormat="1" applyFont="1" applyFill="1" applyBorder="1" applyAlignment="1" applyProtection="1">
      <alignment horizontal="center" vertical="center"/>
      <protection hidden="1"/>
    </xf>
    <xf numFmtId="0" fontId="13" fillId="5" borderId="17" xfId="0" applyNumberFormat="1" applyFont="1" applyFill="1" applyBorder="1" applyAlignment="1">
      <alignment horizontal="center" vertical="center" wrapText="1"/>
    </xf>
    <xf numFmtId="0" fontId="11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2" fillId="0" borderId="15" xfId="0" applyNumberFormat="1" applyFont="1" applyFill="1" applyBorder="1" applyAlignment="1" applyProtection="1">
      <alignment horizontal="center" vertical="center"/>
      <protection hidden="1"/>
    </xf>
    <xf numFmtId="0" fontId="12" fillId="0" borderId="23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0" fillId="0" borderId="0" xfId="0" applyFont="1"/>
    <xf numFmtId="0" fontId="10" fillId="12" borderId="24" xfId="0" applyFont="1" applyFill="1" applyBorder="1" applyAlignment="1">
      <alignment horizontal="center" vertical="center" wrapText="1"/>
    </xf>
    <xf numFmtId="18" fontId="9" fillId="7" borderId="22" xfId="0" applyNumberFormat="1" applyFont="1" applyFill="1" applyBorder="1" applyAlignment="1">
      <alignment horizontal="center" vertical="center" wrapText="1"/>
    </xf>
    <xf numFmtId="18" fontId="9" fillId="7" borderId="25" xfId="0" applyNumberFormat="1" applyFont="1" applyFill="1" applyBorder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12" fillId="0" borderId="29" xfId="0" applyNumberFormat="1" applyFont="1" applyFill="1" applyBorder="1" applyAlignment="1" applyProtection="1">
      <alignment horizontal="center" vertical="center"/>
      <protection locked="0" hidden="1"/>
    </xf>
    <xf numFmtId="1" fontId="0" fillId="0" borderId="0" xfId="0" applyNumberFormat="1" applyAlignment="1" applyProtection="1">
      <alignment horizontal="center"/>
      <protection locked="0"/>
    </xf>
    <xf numFmtId="0" fontId="15" fillId="6" borderId="30" xfId="0" applyNumberFormat="1" applyFont="1" applyFill="1" applyBorder="1" applyAlignment="1">
      <alignment horizontal="center" vertical="center" wrapText="1"/>
    </xf>
    <xf numFmtId="4" fontId="0" fillId="0" borderId="4" xfId="0" applyNumberFormat="1" applyBorder="1" applyAlignment="1">
      <alignment horizontal="center" vertical="center"/>
    </xf>
    <xf numFmtId="0" fontId="15" fillId="5" borderId="30" xfId="0" applyNumberFormat="1" applyFont="1" applyFill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31" xfId="0" applyBorder="1" applyAlignment="1">
      <alignment horizontal="left"/>
    </xf>
    <xf numFmtId="4" fontId="12" fillId="0" borderId="23" xfId="0" applyNumberFormat="1" applyFont="1" applyFill="1" applyBorder="1" applyAlignment="1" applyProtection="1">
      <alignment horizontal="center" vertical="center"/>
      <protection hidden="1"/>
    </xf>
    <xf numFmtId="0" fontId="11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1" fillId="0" borderId="3" xfId="0" applyNumberFormat="1" applyFont="1" applyFill="1" applyBorder="1" applyAlignment="1" applyProtection="1">
      <alignment horizontal="center" vertical="center"/>
      <protection hidden="1"/>
    </xf>
    <xf numFmtId="0" fontId="11" fillId="0" borderId="6" xfId="0" applyNumberFormat="1" applyFont="1" applyFill="1" applyBorder="1" applyAlignment="1" applyProtection="1">
      <alignment horizontal="center" vertical="center"/>
      <protection hidden="1"/>
    </xf>
    <xf numFmtId="0" fontId="0" fillId="0" borderId="19" xfId="0" applyBorder="1" applyAlignment="1">
      <alignment horizontal="left"/>
    </xf>
    <xf numFmtId="0" fontId="0" fillId="14" borderId="0" xfId="0" applyFont="1" applyFill="1" applyBorder="1" applyAlignment="1">
      <alignment vertical="center"/>
    </xf>
    <xf numFmtId="0" fontId="0" fillId="14" borderId="0" xfId="0" applyFont="1" applyFill="1" applyBorder="1" applyAlignment="1">
      <alignment horizontal="center" vertical="center" wrapText="1"/>
    </xf>
    <xf numFmtId="0" fontId="0" fillId="14" borderId="0" xfId="0" applyFont="1" applyFill="1" applyBorder="1" applyAlignment="1">
      <alignment vertical="center" wrapText="1"/>
    </xf>
    <xf numFmtId="0" fontId="0" fillId="14" borderId="0" xfId="0" applyFont="1" applyFill="1" applyBorder="1"/>
    <xf numFmtId="0" fontId="0" fillId="0" borderId="6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 wrapText="1"/>
    </xf>
    <xf numFmtId="0" fontId="0" fillId="0" borderId="0" xfId="0"/>
    <xf numFmtId="1" fontId="2" fillId="0" borderId="5" xfId="0" applyNumberFormat="1" applyFont="1" applyFill="1" applyBorder="1" applyAlignment="1">
      <alignment horizontal="center" vertical="center"/>
    </xf>
    <xf numFmtId="0" fontId="0" fillId="9" borderId="5" xfId="0" applyNumberFormat="1" applyFont="1" applyFill="1" applyBorder="1" applyAlignment="1">
      <alignment horizontal="center" vertical="center"/>
    </xf>
    <xf numFmtId="0" fontId="2" fillId="9" borderId="5" xfId="0" applyNumberFormat="1" applyFont="1" applyFill="1" applyBorder="1" applyAlignment="1">
      <alignment horizontal="center" vertical="center"/>
    </xf>
    <xf numFmtId="0" fontId="0" fillId="0" borderId="5" xfId="0" applyNumberFormat="1" applyFont="1" applyFill="1" applyBorder="1" applyAlignment="1">
      <alignment vertical="center"/>
    </xf>
    <xf numFmtId="0" fontId="17" fillId="5" borderId="28" xfId="0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7" fillId="5" borderId="0" xfId="0" applyFont="1" applyFill="1" applyBorder="1" applyAlignment="1">
      <alignment horizontal="center" vertical="center"/>
    </xf>
    <xf numFmtId="49" fontId="17" fillId="5" borderId="0" xfId="0" applyNumberFormat="1" applyFont="1" applyFill="1" applyBorder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0" fillId="0" borderId="5" xfId="0" applyFont="1" applyBorder="1" applyAlignment="1">
      <alignment vertical="center"/>
    </xf>
    <xf numFmtId="0" fontId="0" fillId="0" borderId="5" xfId="0" applyFont="1" applyFill="1" applyBorder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0" fontId="14" fillId="0" borderId="0" xfId="5" applyFont="1" applyFill="1" applyAlignment="1">
      <alignment vertical="center"/>
    </xf>
    <xf numFmtId="0" fontId="0" fillId="0" borderId="5" xfId="0" applyFont="1" applyBorder="1" applyAlignment="1">
      <alignment horizontal="left" vertical="center"/>
    </xf>
    <xf numFmtId="49" fontId="0" fillId="0" borderId="5" xfId="0" applyNumberFormat="1" applyFont="1" applyBorder="1" applyAlignment="1">
      <alignment horizontal="center" vertical="center"/>
    </xf>
    <xf numFmtId="2" fontId="0" fillId="0" borderId="0" xfId="0" applyNumberFormat="1" applyFont="1" applyFill="1" applyAlignment="1">
      <alignment vertical="center"/>
    </xf>
    <xf numFmtId="0" fontId="2" fillId="0" borderId="0" xfId="5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0" fillId="0" borderId="5" xfId="0" applyNumberFormat="1" applyFont="1" applyFill="1" applyBorder="1" applyAlignment="1" applyProtection="1">
      <alignment vertical="center"/>
      <protection hidden="1"/>
    </xf>
    <xf numFmtId="165" fontId="18" fillId="11" borderId="0" xfId="0" applyNumberFormat="1" applyFont="1" applyFill="1"/>
    <xf numFmtId="0" fontId="15" fillId="11" borderId="0" xfId="0" applyFont="1" applyFill="1"/>
    <xf numFmtId="165" fontId="18" fillId="11" borderId="0" xfId="0" applyNumberFormat="1" applyFont="1" applyFill="1" applyAlignment="1">
      <alignment horizontal="center"/>
    </xf>
    <xf numFmtId="0" fontId="11" fillId="0" borderId="0" xfId="0" applyNumberFormat="1" applyFont="1" applyFill="1" applyBorder="1" applyAlignment="1" applyProtection="1">
      <alignment horizontal="center" vertical="center"/>
      <protection hidden="1"/>
    </xf>
    <xf numFmtId="14" fontId="11" fillId="0" borderId="0" xfId="0" applyNumberFormat="1" applyFont="1" applyFill="1" applyBorder="1" applyAlignment="1" applyProtection="1">
      <alignment horizontal="center" vertical="center"/>
      <protection hidden="1"/>
    </xf>
    <xf numFmtId="0" fontId="1" fillId="0" borderId="5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14" borderId="0" xfId="0" applyFont="1" applyFill="1" applyBorder="1" applyAlignment="1">
      <alignment horizontal="center"/>
    </xf>
    <xf numFmtId="0" fontId="1" fillId="14" borderId="0" xfId="0" applyFont="1" applyFill="1" applyBorder="1" applyAlignment="1">
      <alignment vertical="center"/>
    </xf>
    <xf numFmtId="0" fontId="1" fillId="0" borderId="13" xfId="0" applyFont="1" applyFill="1" applyBorder="1"/>
    <xf numFmtId="0" fontId="1" fillId="19" borderId="13" xfId="0" applyFont="1" applyFill="1" applyBorder="1"/>
    <xf numFmtId="166" fontId="0" fillId="19" borderId="0" xfId="0" applyNumberFormat="1" applyFill="1"/>
    <xf numFmtId="0" fontId="0" fillId="19" borderId="0" xfId="0" applyFill="1"/>
    <xf numFmtId="0" fontId="1" fillId="4" borderId="5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8" borderId="5" xfId="0" applyNumberFormat="1" applyFont="1" applyFill="1" applyBorder="1" applyAlignment="1">
      <alignment horizontal="center" vertical="center"/>
    </xf>
    <xf numFmtId="0" fontId="15" fillId="16" borderId="5" xfId="0" applyFont="1" applyFill="1" applyBorder="1" applyAlignment="1">
      <alignment horizontal="center" vertical="center"/>
    </xf>
    <xf numFmtId="0" fontId="1" fillId="17" borderId="5" xfId="0" applyFont="1" applyFill="1" applyBorder="1" applyAlignment="1">
      <alignment horizontal="center" vertical="center"/>
    </xf>
    <xf numFmtId="0" fontId="1" fillId="20" borderId="5" xfId="0" applyFont="1" applyFill="1" applyBorder="1" applyAlignment="1">
      <alignment horizontal="center" vertical="center"/>
    </xf>
    <xf numFmtId="168" fontId="0" fillId="0" borderId="15" xfId="0" applyNumberFormat="1" applyFont="1" applyBorder="1" applyAlignment="1">
      <alignment horizontal="center" vertical="center"/>
    </xf>
    <xf numFmtId="168" fontId="0" fillId="0" borderId="1" xfId="0" applyNumberFormat="1" applyFont="1" applyBorder="1" applyAlignment="1">
      <alignment horizontal="center" vertical="center"/>
    </xf>
    <xf numFmtId="0" fontId="19" fillId="22" borderId="1" xfId="0" applyNumberFormat="1" applyFont="1" applyFill="1" applyBorder="1" applyAlignment="1" applyProtection="1">
      <alignment horizontal="center" vertical="center" wrapText="1"/>
      <protection hidden="1"/>
    </xf>
    <xf numFmtId="0" fontId="11" fillId="23" borderId="1" xfId="0" applyNumberFormat="1" applyFont="1" applyFill="1" applyBorder="1" applyAlignment="1" applyProtection="1">
      <alignment horizontal="center" vertical="center"/>
      <protection locked="0" hidden="1"/>
    </xf>
    <xf numFmtId="0" fontId="1" fillId="0" borderId="21" xfId="0" applyFont="1" applyFill="1" applyBorder="1" applyAlignment="1">
      <alignment horizontal="center" vertical="center"/>
    </xf>
    <xf numFmtId="0" fontId="15" fillId="10" borderId="5" xfId="0" applyFont="1" applyFill="1" applyBorder="1" applyAlignment="1">
      <alignment horizontal="center" vertical="center" wrapText="1"/>
    </xf>
    <xf numFmtId="0" fontId="1" fillId="0" borderId="5" xfId="0" applyNumberFormat="1" applyFont="1" applyFill="1" applyBorder="1" applyAlignment="1">
      <alignment horizontal="center" vertical="center" wrapText="1"/>
    </xf>
    <xf numFmtId="165" fontId="0" fillId="0" borderId="5" xfId="0" applyNumberFormat="1" applyFont="1" applyFill="1" applyBorder="1" applyAlignment="1">
      <alignment horizontal="center" vertical="center" wrapText="1"/>
    </xf>
    <xf numFmtId="0" fontId="1" fillId="14" borderId="0" xfId="0" applyFont="1" applyFill="1" applyBorder="1" applyAlignment="1">
      <alignment vertical="center" wrapText="1"/>
    </xf>
    <xf numFmtId="165" fontId="0" fillId="14" borderId="0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wrapText="1"/>
    </xf>
    <xf numFmtId="0" fontId="10" fillId="12" borderId="1" xfId="0" applyFont="1" applyFill="1" applyBorder="1" applyAlignment="1">
      <alignment horizontal="center" vertical="center" wrapText="1"/>
    </xf>
    <xf numFmtId="0" fontId="0" fillId="14" borderId="0" xfId="0" applyFont="1" applyFill="1" applyBorder="1" applyAlignment="1">
      <alignment wrapText="1"/>
    </xf>
    <xf numFmtId="165" fontId="2" fillId="0" borderId="5" xfId="0" applyNumberFormat="1" applyFont="1" applyFill="1" applyBorder="1" applyAlignment="1">
      <alignment horizontal="center" vertical="center" wrapText="1"/>
    </xf>
    <xf numFmtId="165" fontId="18" fillId="11" borderId="0" xfId="0" applyNumberFormat="1" applyFont="1" applyFill="1" applyAlignment="1">
      <alignment wrapText="1"/>
    </xf>
    <xf numFmtId="0" fontId="15" fillId="11" borderId="0" xfId="0" applyFont="1" applyFill="1" applyAlignment="1">
      <alignment wrapText="1"/>
    </xf>
    <xf numFmtId="165" fontId="18" fillId="11" borderId="0" xfId="0" applyNumberFormat="1" applyFont="1" applyFill="1" applyAlignment="1">
      <alignment horizontal="center" wrapText="1"/>
    </xf>
    <xf numFmtId="18" fontId="10" fillId="12" borderId="1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18" fontId="0" fillId="0" borderId="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11" fillId="21" borderId="17" xfId="0" applyNumberFormat="1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Border="1" applyAlignment="1">
      <alignment horizontal="center"/>
    </xf>
    <xf numFmtId="0" fontId="1" fillId="6" borderId="18" xfId="0" applyNumberFormat="1" applyFont="1" applyFill="1" applyBorder="1" applyAlignment="1" applyProtection="1">
      <alignment horizontal="center" vertical="center" wrapText="1"/>
      <protection hidden="1"/>
    </xf>
    <xf numFmtId="1" fontId="11" fillId="0" borderId="0" xfId="0" applyNumberFormat="1" applyFont="1" applyFill="1" applyAlignment="1" applyProtection="1">
      <alignment horizontal="center" vertical="center"/>
      <protection hidden="1"/>
    </xf>
    <xf numFmtId="0" fontId="11" fillId="0" borderId="0" xfId="0" applyNumberFormat="1" applyFont="1" applyFill="1" applyAlignment="1" applyProtection="1">
      <alignment horizontal="center" vertical="center" wrapText="1"/>
      <protection hidden="1"/>
    </xf>
    <xf numFmtId="0" fontId="11" fillId="0" borderId="0" xfId="0" applyNumberFormat="1" applyFont="1" applyFill="1" applyAlignment="1" applyProtection="1">
      <alignment horizontal="center" vertical="center"/>
      <protection hidden="1"/>
    </xf>
    <xf numFmtId="1" fontId="12" fillId="0" borderId="0" xfId="0" applyNumberFormat="1" applyFont="1" applyFill="1" applyBorder="1" applyAlignment="1" applyProtection="1">
      <alignment horizontal="center" vertical="center"/>
      <protection hidden="1"/>
    </xf>
    <xf numFmtId="0" fontId="13" fillId="5" borderId="17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0" fontId="11" fillId="0" borderId="0" xfId="0" applyNumberFormat="1" applyFont="1" applyFill="1" applyBorder="1" applyAlignment="1" applyProtection="1">
      <alignment vertical="center"/>
      <protection hidden="1"/>
    </xf>
    <xf numFmtId="0" fontId="11" fillId="2" borderId="1" xfId="0" applyNumberFormat="1" applyFont="1" applyFill="1" applyBorder="1" applyAlignment="1" applyProtection="1">
      <alignment horizontal="center" vertical="center"/>
      <protection hidden="1"/>
    </xf>
    <xf numFmtId="0" fontId="11" fillId="3" borderId="1" xfId="0" applyNumberFormat="1" applyFont="1" applyFill="1" applyBorder="1" applyAlignment="1" applyProtection="1">
      <alignment horizontal="center" vertical="center"/>
      <protection hidden="1"/>
    </xf>
    <xf numFmtId="0" fontId="11" fillId="23" borderId="1" xfId="0" applyNumberFormat="1" applyFont="1" applyFill="1" applyBorder="1" applyAlignment="1" applyProtection="1">
      <alignment horizontal="center" vertical="center"/>
      <protection hidden="1"/>
    </xf>
    <xf numFmtId="0" fontId="12" fillId="0" borderId="29" xfId="0" applyNumberFormat="1" applyFont="1" applyFill="1" applyBorder="1" applyAlignment="1" applyProtection="1">
      <alignment horizontal="center" vertical="center"/>
      <protection hidden="1"/>
    </xf>
    <xf numFmtId="1" fontId="12" fillId="0" borderId="0" xfId="0" applyNumberFormat="1" applyFont="1" applyFill="1" applyAlignment="1" applyProtection="1">
      <alignment horizontal="center" vertical="center"/>
      <protection hidden="1"/>
    </xf>
    <xf numFmtId="164" fontId="20" fillId="0" borderId="5" xfId="0" applyNumberFormat="1" applyFont="1" applyFill="1" applyBorder="1" applyAlignment="1" applyProtection="1">
      <alignment horizontal="center" vertical="center"/>
      <protection hidden="1"/>
    </xf>
    <xf numFmtId="0" fontId="22" fillId="0" borderId="5" xfId="0" applyNumberFormat="1" applyFont="1" applyFill="1" applyBorder="1" applyAlignment="1" applyProtection="1">
      <alignment horizontal="left" vertical="center" wrapText="1"/>
      <protection hidden="1"/>
    </xf>
    <xf numFmtId="0" fontId="21" fillId="0" borderId="5" xfId="0" applyNumberFormat="1" applyFont="1" applyFill="1" applyBorder="1" applyAlignment="1" applyProtection="1">
      <alignment horizontal="left" vertical="center" wrapText="1"/>
      <protection hidden="1"/>
    </xf>
    <xf numFmtId="0" fontId="22" fillId="0" borderId="5" xfId="0" applyNumberFormat="1" applyFont="1" applyFill="1" applyBorder="1" applyAlignment="1" applyProtection="1">
      <alignment horizontal="center" vertical="center"/>
      <protection hidden="1"/>
    </xf>
    <xf numFmtId="0" fontId="20" fillId="0" borderId="5" xfId="0" applyNumberFormat="1" applyFont="1" applyFill="1" applyBorder="1" applyAlignment="1" applyProtection="1">
      <alignment horizontal="center" vertical="center" wrapText="1"/>
      <protection hidden="1"/>
    </xf>
    <xf numFmtId="0" fontId="20" fillId="0" borderId="5" xfId="0" applyNumberFormat="1" applyFont="1" applyFill="1" applyBorder="1" applyAlignment="1" applyProtection="1">
      <alignment horizontal="center" vertical="center"/>
      <protection hidden="1"/>
    </xf>
    <xf numFmtId="4" fontId="20" fillId="0" borderId="5" xfId="0" applyNumberFormat="1" applyFont="1" applyFill="1" applyBorder="1" applyAlignment="1" applyProtection="1">
      <alignment horizontal="center" vertical="center"/>
      <protection hidden="1"/>
    </xf>
    <xf numFmtId="0" fontId="22" fillId="0" borderId="0" xfId="0" applyNumberFormat="1" applyFont="1" applyFill="1" applyBorder="1" applyAlignment="1" applyProtection="1">
      <alignment horizontal="center" vertical="center"/>
      <protection hidden="1"/>
    </xf>
    <xf numFmtId="0" fontId="20" fillId="9" borderId="15" xfId="0" applyNumberFormat="1" applyFont="1" applyFill="1" applyBorder="1" applyAlignment="1" applyProtection="1">
      <alignment horizontal="center" vertical="center"/>
      <protection locked="0" hidden="1"/>
    </xf>
    <xf numFmtId="0" fontId="22" fillId="9" borderId="15" xfId="0" applyNumberFormat="1" applyFont="1" applyFill="1" applyBorder="1" applyAlignment="1" applyProtection="1">
      <alignment horizontal="left" vertical="center" wrapText="1"/>
      <protection hidden="1"/>
    </xf>
    <xf numFmtId="0" fontId="22" fillId="9" borderId="15" xfId="0" applyNumberFormat="1" applyFont="1" applyFill="1" applyBorder="1" applyAlignment="1" applyProtection="1">
      <alignment horizontal="center" vertical="center"/>
      <protection locked="0" hidden="1"/>
    </xf>
    <xf numFmtId="0" fontId="20" fillId="9" borderId="15" xfId="0" applyNumberFormat="1" applyFont="1" applyFill="1" applyBorder="1" applyAlignment="1" applyProtection="1">
      <alignment horizontal="center" vertical="center" wrapText="1"/>
      <protection hidden="1"/>
    </xf>
    <xf numFmtId="0" fontId="20" fillId="9" borderId="15" xfId="0" applyNumberFormat="1" applyFont="1" applyFill="1" applyBorder="1" applyAlignment="1" applyProtection="1">
      <alignment horizontal="center" vertical="center"/>
      <protection hidden="1"/>
    </xf>
    <xf numFmtId="0" fontId="22" fillId="0" borderId="32" xfId="0" applyFont="1" applyBorder="1"/>
    <xf numFmtId="165" fontId="18" fillId="11" borderId="0" xfId="0" applyNumberFormat="1" applyFont="1" applyFill="1" applyAlignment="1">
      <alignment horizontal="center" vertical="center"/>
    </xf>
    <xf numFmtId="165" fontId="18" fillId="11" borderId="0" xfId="0" applyNumberFormat="1" applyFont="1" applyFill="1" applyAlignment="1">
      <alignment horizontal="center" vertical="center" wrapText="1"/>
    </xf>
    <xf numFmtId="0" fontId="10" fillId="12" borderId="25" xfId="0" applyFont="1" applyFill="1" applyBorder="1" applyAlignment="1">
      <alignment horizontal="center" vertical="center" wrapText="1"/>
    </xf>
    <xf numFmtId="0" fontId="10" fillId="12" borderId="7" xfId="0" applyFont="1" applyFill="1" applyBorder="1" applyAlignment="1">
      <alignment horizontal="center" wrapText="1"/>
    </xf>
    <xf numFmtId="0" fontId="10" fillId="12" borderId="26" xfId="0" applyFont="1" applyFill="1" applyBorder="1" applyAlignment="1">
      <alignment horizontal="center" vertical="center" wrapText="1"/>
    </xf>
    <xf numFmtId="0" fontId="10" fillId="12" borderId="27" xfId="0" applyFont="1" applyFill="1" applyBorder="1" applyAlignment="1">
      <alignment horizontal="center" vertical="center" wrapText="1"/>
    </xf>
    <xf numFmtId="0" fontId="18" fillId="24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wrapText="1"/>
    </xf>
    <xf numFmtId="18" fontId="18" fillId="25" borderId="7" xfId="0" applyNumberFormat="1" applyFont="1" applyFill="1" applyBorder="1" applyAlignment="1">
      <alignment horizontal="center" vertical="center" wrapText="1"/>
    </xf>
    <xf numFmtId="0" fontId="0" fillId="0" borderId="8" xfId="0" pivotButton="1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26" borderId="5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23" fillId="12" borderId="1" xfId="0" applyFont="1" applyFill="1" applyBorder="1" applyAlignment="1">
      <alignment horizontal="center" vertical="center" wrapText="1"/>
    </xf>
    <xf numFmtId="0" fontId="0" fillId="27" borderId="0" xfId="0" applyFill="1" applyBorder="1" applyAlignment="1">
      <alignment horizontal="center"/>
    </xf>
    <xf numFmtId="0" fontId="11" fillId="0" borderId="18" xfId="0" applyNumberFormat="1" applyFont="1" applyFill="1" applyBorder="1" applyAlignment="1" applyProtection="1">
      <alignment horizontal="center" vertical="center"/>
      <protection hidden="1"/>
    </xf>
    <xf numFmtId="0" fontId="11" fillId="0" borderId="18" xfId="0" applyNumberFormat="1" applyFont="1" applyFill="1" applyBorder="1" applyAlignment="1" applyProtection="1">
      <alignment horizontal="center" vertical="center" wrapText="1"/>
      <protection hidden="1"/>
    </xf>
    <xf numFmtId="0" fontId="0" fillId="27" borderId="18" xfId="0" applyNumberFormat="1" applyFill="1" applyBorder="1" applyAlignment="1" applyProtection="1">
      <alignment horizontal="right" vertical="center" wrapText="1"/>
      <protection hidden="1"/>
    </xf>
    <xf numFmtId="0" fontId="0" fillId="27" borderId="18" xfId="0" applyNumberFormat="1" applyFill="1" applyBorder="1" applyAlignment="1">
      <alignment horizontal="center"/>
    </xf>
    <xf numFmtId="0" fontId="24" fillId="14" borderId="5" xfId="0" quotePrefix="1" applyNumberFormat="1" applyFont="1" applyFill="1" applyBorder="1" applyAlignment="1">
      <alignment horizontal="center" vertical="center" wrapText="1"/>
    </xf>
    <xf numFmtId="4" fontId="0" fillId="27" borderId="18" xfId="0" applyNumberFormat="1" applyFill="1" applyBorder="1" applyAlignment="1">
      <alignment horizontal="center"/>
    </xf>
    <xf numFmtId="0" fontId="0" fillId="0" borderId="5" xfId="0" applyFont="1" applyBorder="1" applyAlignment="1">
      <alignment horizontal="center" vertical="center"/>
    </xf>
    <xf numFmtId="0" fontId="24" fillId="0" borderId="0" xfId="5" applyFont="1" applyFill="1" applyAlignment="1">
      <alignment vertical="center"/>
    </xf>
    <xf numFmtId="0" fontId="0" fillId="27" borderId="18" xfId="0" applyFill="1" applyBorder="1" applyAlignment="1">
      <alignment horizontal="center"/>
    </xf>
    <xf numFmtId="0" fontId="25" fillId="6" borderId="18" xfId="0" applyNumberFormat="1" applyFont="1" applyFill="1" applyBorder="1" applyAlignment="1">
      <alignment horizontal="center" vertical="center" wrapText="1"/>
    </xf>
    <xf numFmtId="0" fontId="12" fillId="0" borderId="0" xfId="0" applyNumberFormat="1" applyFont="1" applyFill="1" applyAlignment="1" applyProtection="1">
      <alignment horizontal="center" wrapText="1"/>
      <protection hidden="1"/>
    </xf>
    <xf numFmtId="0" fontId="0" fillId="0" borderId="33" xfId="0" applyFont="1" applyBorder="1" applyAlignment="1">
      <alignment horizontal="center" vertical="center"/>
    </xf>
    <xf numFmtId="0" fontId="0" fillId="0" borderId="33" xfId="0" applyFont="1" applyFill="1" applyBorder="1" applyAlignment="1">
      <alignment vertical="center"/>
    </xf>
    <xf numFmtId="0" fontId="0" fillId="13" borderId="5" xfId="0" applyFont="1" applyFill="1" applyBorder="1" applyAlignment="1">
      <alignment horizontal="center" vertical="center"/>
    </xf>
    <xf numFmtId="0" fontId="1" fillId="0" borderId="0" xfId="0" applyFont="1" applyAlignment="1">
      <alignment wrapText="1"/>
    </xf>
    <xf numFmtId="169" fontId="0" fillId="0" borderId="5" xfId="0" applyNumberFormat="1" applyFont="1" applyFill="1" applyBorder="1" applyAlignment="1">
      <alignment horizontal="center" vertical="center" wrapText="1"/>
    </xf>
    <xf numFmtId="169" fontId="2" fillId="0" borderId="5" xfId="0" applyNumberFormat="1" applyFont="1" applyFill="1" applyBorder="1" applyAlignment="1">
      <alignment horizontal="center" vertical="center"/>
    </xf>
    <xf numFmtId="169" fontId="2" fillId="0" borderId="5" xfId="0" applyNumberFormat="1" applyFont="1" applyFill="1" applyBorder="1" applyAlignment="1">
      <alignment horizontal="center" vertical="center" wrapText="1"/>
    </xf>
    <xf numFmtId="0" fontId="2" fillId="0" borderId="5" xfId="0" applyNumberFormat="1" applyFont="1" applyFill="1" applyBorder="1" applyAlignment="1">
      <alignment horizontal="center" vertical="center"/>
    </xf>
    <xf numFmtId="0" fontId="2" fillId="0" borderId="5" xfId="0" applyNumberFormat="1" applyFont="1" applyFill="1" applyBorder="1" applyAlignment="1">
      <alignment horizontal="left" vertical="center" wrapText="1"/>
    </xf>
    <xf numFmtId="0" fontId="0" fillId="0" borderId="0" xfId="0" applyFont="1" applyFill="1" applyAlignment="1">
      <alignment horizontal="center" vertical="center"/>
    </xf>
    <xf numFmtId="4" fontId="11" fillId="0" borderId="5" xfId="0" applyNumberFormat="1" applyFont="1" applyFill="1" applyBorder="1" applyAlignment="1" applyProtection="1">
      <alignment horizontal="center" vertical="center"/>
      <protection hidden="1"/>
    </xf>
    <xf numFmtId="0" fontId="11" fillId="0" borderId="15" xfId="0" applyNumberFormat="1" applyFont="1" applyFill="1" applyBorder="1" applyAlignment="1" applyProtection="1">
      <alignment horizontal="center" vertical="center"/>
      <protection hidden="1"/>
    </xf>
    <xf numFmtId="0" fontId="11" fillId="0" borderId="23" xfId="0" applyNumberFormat="1" applyFont="1" applyFill="1" applyBorder="1" applyAlignment="1" applyProtection="1">
      <alignment horizontal="center" vertical="center"/>
      <protection hidden="1"/>
    </xf>
    <xf numFmtId="0" fontId="15" fillId="6" borderId="18" xfId="0" applyNumberFormat="1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/>
    </xf>
    <xf numFmtId="0" fontId="3" fillId="0" borderId="5" xfId="0" applyFont="1" applyBorder="1"/>
    <xf numFmtId="0" fontId="0" fillId="0" borderId="5" xfId="0" applyFill="1" applyBorder="1" applyAlignment="1">
      <alignment horizontal="center"/>
    </xf>
    <xf numFmtId="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center" vertical="center"/>
    </xf>
    <xf numFmtId="0" fontId="0" fillId="28" borderId="17" xfId="0" applyNumberFormat="1" applyFont="1" applyFill="1" applyBorder="1" applyAlignment="1" applyProtection="1">
      <alignment horizontal="center" vertical="center"/>
      <protection locked="0"/>
    </xf>
    <xf numFmtId="0" fontId="0" fillId="28" borderId="1" xfId="0" applyFont="1" applyFill="1" applyBorder="1" applyAlignment="1">
      <alignment horizontal="center" vertical="center"/>
    </xf>
    <xf numFmtId="18" fontId="0" fillId="0" borderId="5" xfId="0" applyNumberFormat="1" applyBorder="1" applyAlignment="1">
      <alignment horizontal="center"/>
    </xf>
    <xf numFmtId="4" fontId="12" fillId="0" borderId="0" xfId="0" applyNumberFormat="1" applyFont="1" applyFill="1" applyAlignment="1" applyProtection="1">
      <alignment horizontal="center" vertical="center"/>
      <protection hidden="1"/>
    </xf>
    <xf numFmtId="4" fontId="12" fillId="0" borderId="0" xfId="0" applyNumberFormat="1" applyFont="1" applyFill="1" applyBorder="1" applyAlignment="1" applyProtection="1">
      <alignment vertical="center"/>
      <protection locked="0" hidden="1"/>
    </xf>
    <xf numFmtId="4" fontId="11" fillId="0" borderId="2" xfId="0" applyNumberFormat="1" applyFont="1" applyFill="1" applyBorder="1" applyAlignment="1" applyProtection="1">
      <alignment horizontal="center" vertical="center" wrapText="1"/>
      <protection hidden="1"/>
    </xf>
    <xf numFmtId="4" fontId="12" fillId="0" borderId="0" xfId="0" applyNumberFormat="1" applyFont="1" applyFill="1" applyBorder="1" applyAlignment="1" applyProtection="1">
      <alignment horizontal="center" vertical="center"/>
      <protection locked="0" hidden="1"/>
    </xf>
    <xf numFmtId="4" fontId="11" fillId="6" borderId="1" xfId="0" applyNumberFormat="1" applyFont="1" applyFill="1" applyBorder="1" applyAlignment="1" applyProtection="1">
      <alignment horizontal="center" vertical="center" wrapText="1"/>
      <protection hidden="1"/>
    </xf>
    <xf numFmtId="169" fontId="0" fillId="0" borderId="5" xfId="0" applyNumberFormat="1" applyFont="1" applyFill="1" applyBorder="1" applyAlignment="1">
      <alignment horizontal="center" vertical="center"/>
    </xf>
    <xf numFmtId="2" fontId="0" fillId="27" borderId="18" xfId="0" applyNumberFormat="1" applyFill="1" applyBorder="1" applyAlignment="1">
      <alignment horizontal="center"/>
    </xf>
    <xf numFmtId="0" fontId="0" fillId="29" borderId="5" xfId="0" applyFont="1" applyFill="1" applyBorder="1" applyAlignment="1">
      <alignment horizontal="center" vertical="center"/>
    </xf>
    <xf numFmtId="18" fontId="0" fillId="0" borderId="5" xfId="0" applyNumberFormat="1" applyFill="1" applyBorder="1" applyAlignment="1">
      <alignment horizontal="center" vertical="center"/>
    </xf>
    <xf numFmtId="18" fontId="0" fillId="0" borderId="5" xfId="0" quotePrefix="1" applyNumberFormat="1" applyFill="1" applyBorder="1" applyAlignment="1">
      <alignment horizontal="center" vertical="center"/>
    </xf>
    <xf numFmtId="0" fontId="0" fillId="0" borderId="0" xfId="0" applyNumberFormat="1" applyFont="1" applyFill="1" applyBorder="1" applyAlignment="1" applyProtection="1">
      <alignment vertical="center" wrapText="1"/>
      <protection locked="0" hidden="1"/>
    </xf>
    <xf numFmtId="0" fontId="1" fillId="0" borderId="0" xfId="0" applyNumberFormat="1" applyFont="1" applyFill="1" applyAlignment="1" applyProtection="1">
      <alignment vertical="center"/>
      <protection locked="0" hidden="1"/>
    </xf>
    <xf numFmtId="0" fontId="0" fillId="0" borderId="0" xfId="0" applyNumberFormat="1" applyFont="1" applyFill="1" applyBorder="1" applyAlignment="1" applyProtection="1">
      <alignment vertical="center"/>
      <protection locked="0" hidden="1"/>
    </xf>
    <xf numFmtId="0" fontId="1" fillId="0" borderId="2" xfId="0" applyNumberFormat="1" applyFont="1" applyFill="1" applyBorder="1" applyAlignment="1" applyProtection="1">
      <alignment horizontal="center" vertical="center"/>
      <protection hidden="1"/>
    </xf>
    <xf numFmtId="0" fontId="0" fillId="0" borderId="5" xfId="0" applyFont="1" applyBorder="1" applyAlignment="1" applyProtection="1">
      <alignment horizontal="left" vertical="center"/>
      <protection hidden="1"/>
    </xf>
    <xf numFmtId="0" fontId="0" fillId="0" borderId="5" xfId="0" applyFont="1" applyBorder="1" applyAlignment="1">
      <alignment horizontal="left" vertical="center" wrapText="1"/>
    </xf>
    <xf numFmtId="0" fontId="9" fillId="27" borderId="0" xfId="0" applyFont="1" applyFill="1" applyAlignment="1">
      <alignment vertical="center"/>
    </xf>
    <xf numFmtId="0" fontId="9" fillId="27" borderId="0" xfId="0" applyFont="1" applyFill="1" applyAlignment="1">
      <alignment horizontal="left" vertical="center"/>
    </xf>
    <xf numFmtId="0" fontId="0" fillId="0" borderId="5" xfId="0" applyNumberFormat="1" applyFont="1" applyBorder="1" applyAlignment="1">
      <alignment horizontal="center" vertical="center"/>
    </xf>
    <xf numFmtId="18" fontId="0" fillId="0" borderId="5" xfId="0" applyNumberFormat="1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left" vertical="center"/>
    </xf>
    <xf numFmtId="0" fontId="0" fillId="30" borderId="5" xfId="0" applyFont="1" applyFill="1" applyBorder="1" applyAlignment="1">
      <alignment horizontal="center" vertical="center"/>
    </xf>
    <xf numFmtId="0" fontId="0" fillId="30" borderId="5" xfId="0" applyFont="1" applyFill="1" applyBorder="1" applyAlignment="1">
      <alignment vertical="center"/>
    </xf>
    <xf numFmtId="0" fontId="0" fillId="30" borderId="5" xfId="0" applyFont="1" applyFill="1" applyBorder="1" applyAlignment="1">
      <alignment horizontal="left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left" vertical="center"/>
    </xf>
    <xf numFmtId="0" fontId="0" fillId="0" borderId="5" xfId="0" applyNumberFormat="1" applyFont="1" applyFill="1" applyBorder="1" applyAlignment="1">
      <alignment horizontal="center" vertical="center"/>
    </xf>
    <xf numFmtId="0" fontId="0" fillId="13" borderId="5" xfId="0" applyFont="1" applyFill="1" applyBorder="1" applyAlignment="1">
      <alignment vertical="center"/>
    </xf>
    <xf numFmtId="0" fontId="0" fillId="13" borderId="5" xfId="0" applyFont="1" applyFill="1" applyBorder="1" applyAlignment="1">
      <alignment horizontal="left" vertical="center"/>
    </xf>
    <xf numFmtId="0" fontId="0" fillId="13" borderId="5" xfId="0" applyFont="1" applyFill="1" applyBorder="1" applyAlignment="1" applyProtection="1">
      <alignment horizontal="left" vertical="center"/>
      <protection hidden="1"/>
    </xf>
    <xf numFmtId="0" fontId="0" fillId="7" borderId="5" xfId="0" applyFont="1" applyFill="1" applyBorder="1" applyAlignment="1" applyProtection="1">
      <alignment horizontal="left" vertical="center"/>
      <protection hidden="1"/>
    </xf>
    <xf numFmtId="164" fontId="29" fillId="0" borderId="5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5" xfId="0" applyNumberFormat="1" applyFont="1" applyFill="1" applyBorder="1" applyAlignment="1" applyProtection="1">
      <alignment horizontal="left" vertical="center" wrapText="1"/>
      <protection hidden="1"/>
    </xf>
    <xf numFmtId="0" fontId="29" fillId="0" borderId="5" xfId="0" applyNumberFormat="1" applyFont="1" applyFill="1" applyBorder="1" applyAlignment="1" applyProtection="1">
      <alignment horizontal="left" vertical="center" wrapText="1"/>
      <protection hidden="1"/>
    </xf>
    <xf numFmtId="0" fontId="28" fillId="0" borderId="5" xfId="0" applyNumberFormat="1" applyFont="1" applyFill="1" applyBorder="1" applyAlignment="1" applyProtection="1">
      <alignment horizontal="center" vertical="center"/>
      <protection locked="0" hidden="1"/>
    </xf>
    <xf numFmtId="0" fontId="29" fillId="0" borderId="5" xfId="0" applyNumberFormat="1" applyFont="1" applyFill="1" applyBorder="1" applyAlignment="1" applyProtection="1">
      <alignment horizontal="center" vertical="center" wrapText="1"/>
      <protection hidden="1"/>
    </xf>
    <xf numFmtId="0" fontId="29" fillId="0" borderId="5" xfId="0" applyNumberFormat="1" applyFont="1" applyFill="1" applyBorder="1" applyAlignment="1" applyProtection="1">
      <alignment horizontal="center" vertical="center"/>
      <protection hidden="1"/>
    </xf>
    <xf numFmtId="4" fontId="29" fillId="0" borderId="5" xfId="0" applyNumberFormat="1" applyFont="1" applyFill="1" applyBorder="1" applyAlignment="1" applyProtection="1">
      <alignment horizontal="center" vertical="center"/>
      <protection hidden="1"/>
    </xf>
    <xf numFmtId="0" fontId="30" fillId="0" borderId="5" xfId="0" applyNumberFormat="1" applyFont="1" applyFill="1" applyBorder="1" applyAlignment="1" applyProtection="1">
      <alignment horizontal="left" vertical="center" wrapText="1"/>
      <protection locked="0"/>
    </xf>
    <xf numFmtId="0" fontId="28" fillId="0" borderId="5" xfId="0" applyNumberFormat="1" applyFont="1" applyFill="1" applyBorder="1" applyAlignment="1" applyProtection="1">
      <alignment horizontal="left" vertical="center" wrapText="1"/>
      <protection locked="0"/>
    </xf>
    <xf numFmtId="0" fontId="30" fillId="0" borderId="0" xfId="0" applyNumberFormat="1" applyFont="1" applyFill="1" applyBorder="1" applyAlignment="1" applyProtection="1">
      <alignment horizontal="center" vertical="center"/>
      <protection locked="0" hidden="1"/>
    </xf>
    <xf numFmtId="0" fontId="0" fillId="31" borderId="5" xfId="0" applyFont="1" applyFill="1" applyBorder="1" applyAlignment="1">
      <alignment horizontal="center" vertical="center"/>
    </xf>
    <xf numFmtId="0" fontId="0" fillId="31" borderId="5" xfId="0" applyFont="1" applyFill="1" applyBorder="1" applyAlignment="1">
      <alignment vertical="center"/>
    </xf>
    <xf numFmtId="0" fontId="0" fillId="31" borderId="5" xfId="0" applyFont="1" applyFill="1" applyBorder="1" applyAlignment="1">
      <alignment horizontal="left" vertical="center"/>
    </xf>
    <xf numFmtId="0" fontId="0" fillId="31" borderId="5" xfId="0" applyNumberFormat="1" applyFont="1" applyFill="1" applyBorder="1" applyAlignment="1">
      <alignment horizontal="center" vertical="center"/>
    </xf>
    <xf numFmtId="0" fontId="0" fillId="15" borderId="5" xfId="0" applyFont="1" applyFill="1" applyBorder="1" applyAlignment="1">
      <alignment horizontal="center" vertical="center"/>
    </xf>
    <xf numFmtId="164" fontId="29" fillId="0" borderId="15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15" xfId="0" applyNumberFormat="1" applyFont="1" applyFill="1" applyBorder="1" applyAlignment="1" applyProtection="1">
      <alignment horizontal="left" vertical="center" wrapText="1"/>
      <protection hidden="1"/>
    </xf>
    <xf numFmtId="0" fontId="29" fillId="0" borderId="15" xfId="0" applyNumberFormat="1" applyFont="1" applyFill="1" applyBorder="1" applyAlignment="1" applyProtection="1">
      <alignment horizontal="left" vertical="center" wrapText="1"/>
      <protection hidden="1"/>
    </xf>
    <xf numFmtId="0" fontId="28" fillId="0" borderId="15" xfId="0" applyNumberFormat="1" applyFont="1" applyFill="1" applyBorder="1" applyAlignment="1" applyProtection="1">
      <alignment horizontal="center" vertical="center"/>
      <protection locked="0" hidden="1"/>
    </xf>
    <xf numFmtId="0" fontId="29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29" fillId="0" borderId="15" xfId="0" applyNumberFormat="1" applyFont="1" applyFill="1" applyBorder="1" applyAlignment="1" applyProtection="1">
      <alignment horizontal="center" vertical="center"/>
      <protection hidden="1"/>
    </xf>
    <xf numFmtId="4" fontId="29" fillId="0" borderId="15" xfId="0" applyNumberFormat="1" applyFont="1" applyFill="1" applyBorder="1" applyAlignment="1" applyProtection="1">
      <alignment horizontal="center" vertical="center"/>
      <protection hidden="1"/>
    </xf>
    <xf numFmtId="0" fontId="30" fillId="0" borderId="15" xfId="0" applyNumberFormat="1" applyFont="1" applyFill="1" applyBorder="1" applyAlignment="1" applyProtection="1">
      <alignment horizontal="left" vertical="center" wrapText="1"/>
      <protection locked="0"/>
    </xf>
    <xf numFmtId="0" fontId="28" fillId="0" borderId="15" xfId="0" applyNumberFormat="1" applyFont="1" applyFill="1" applyBorder="1" applyAlignment="1" applyProtection="1">
      <alignment horizontal="left" vertical="center" wrapText="1"/>
      <protection locked="0"/>
    </xf>
    <xf numFmtId="1" fontId="0" fillId="0" borderId="5" xfId="0" applyNumberFormat="1" applyFont="1" applyFill="1" applyBorder="1" applyAlignment="1">
      <alignment horizontal="center" vertical="center"/>
    </xf>
    <xf numFmtId="0" fontId="0" fillId="0" borderId="5" xfId="0" applyNumberFormat="1" applyFont="1" applyFill="1" applyBorder="1" applyAlignment="1">
      <alignment horizontal="left" vertical="center" wrapText="1"/>
    </xf>
    <xf numFmtId="0" fontId="0" fillId="0" borderId="0" xfId="0" applyNumberFormat="1" applyBorder="1" applyAlignment="1">
      <alignment horizontal="center" vertical="center"/>
    </xf>
    <xf numFmtId="4" fontId="0" fillId="0" borderId="34" xfId="0" applyNumberFormat="1" applyBorder="1" applyAlignment="1">
      <alignment horizontal="center" vertical="center"/>
    </xf>
    <xf numFmtId="0" fontId="0" fillId="0" borderId="19" xfId="0" applyNumberFormat="1" applyBorder="1" applyAlignment="1">
      <alignment horizontal="center" vertical="center"/>
    </xf>
    <xf numFmtId="164" fontId="1" fillId="0" borderId="5" xfId="0" applyNumberFormat="1" applyFont="1" applyBorder="1" applyAlignment="1" applyProtection="1">
      <alignment horizontal="center" vertical="center"/>
      <protection locked="0" hidden="1"/>
    </xf>
    <xf numFmtId="0" fontId="30" fillId="13" borderId="5" xfId="0" applyNumberFormat="1" applyFont="1" applyFill="1" applyBorder="1" applyAlignment="1" applyProtection="1">
      <alignment horizontal="left" vertical="center" wrapText="1"/>
      <protection hidden="1"/>
    </xf>
    <xf numFmtId="4" fontId="31" fillId="0" borderId="5" xfId="0" applyNumberFormat="1" applyFont="1" applyFill="1" applyBorder="1" applyAlignment="1" applyProtection="1">
      <alignment horizontal="left" vertical="center" wrapText="1"/>
      <protection hidden="1"/>
    </xf>
    <xf numFmtId="0" fontId="0" fillId="0" borderId="5" xfId="0" applyBorder="1" applyAlignment="1" applyProtection="1">
      <alignment horizontal="center" vertical="center"/>
      <protection locked="0" hidden="1"/>
    </xf>
    <xf numFmtId="0" fontId="4" fillId="0" borderId="5" xfId="0" applyFont="1" applyBorder="1" applyAlignment="1" applyProtection="1">
      <alignment horizontal="center" vertical="center"/>
      <protection locked="0" hidden="1"/>
    </xf>
    <xf numFmtId="4" fontId="31" fillId="0" borderId="15" xfId="0" applyNumberFormat="1" applyFont="1" applyFill="1" applyBorder="1" applyAlignment="1" applyProtection="1">
      <alignment horizontal="left" vertical="center" wrapText="1"/>
      <protection hidden="1"/>
    </xf>
    <xf numFmtId="0" fontId="28" fillId="0" borderId="5" xfId="0" applyFont="1" applyBorder="1" applyAlignment="1" applyProtection="1">
      <alignment horizontal="center" vertical="center"/>
      <protection locked="0" hidden="1"/>
    </xf>
    <xf numFmtId="0" fontId="0" fillId="0" borderId="5" xfId="0" applyBorder="1" applyAlignment="1" applyProtection="1">
      <alignment horizontal="left" vertical="center" wrapText="1"/>
      <protection locked="0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0" fillId="15" borderId="5" xfId="0" applyFill="1" applyBorder="1" applyAlignment="1" applyProtection="1">
      <alignment horizontal="left" vertical="center" wrapText="1"/>
      <protection locked="0"/>
    </xf>
    <xf numFmtId="0" fontId="28" fillId="0" borderId="5" xfId="0" applyFont="1" applyBorder="1" applyAlignment="1" applyProtection="1">
      <alignment horizontal="left" vertical="center" wrapText="1"/>
      <protection locked="0"/>
    </xf>
    <xf numFmtId="0" fontId="32" fillId="0" borderId="5" xfId="0" applyFont="1" applyBorder="1" applyAlignment="1" applyProtection="1">
      <alignment horizontal="left" vertical="center" wrapText="1"/>
      <protection locked="0" hidden="1"/>
    </xf>
    <xf numFmtId="0" fontId="33" fillId="0" borderId="5" xfId="0" applyFont="1" applyBorder="1" applyAlignment="1" applyProtection="1">
      <alignment horizontal="left" vertical="center" wrapText="1"/>
      <protection locked="0"/>
    </xf>
    <xf numFmtId="0" fontId="28" fillId="15" borderId="5" xfId="0" applyNumberFormat="1" applyFont="1" applyFill="1" applyBorder="1" applyAlignment="1" applyProtection="1">
      <alignment horizontal="center" vertical="center"/>
      <protection locked="0" hidden="1"/>
    </xf>
    <xf numFmtId="4" fontId="29" fillId="15" borderId="5" xfId="0" applyNumberFormat="1" applyFont="1" applyFill="1" applyBorder="1" applyAlignment="1" applyProtection="1">
      <alignment horizontal="center" vertical="center"/>
      <protection hidden="1"/>
    </xf>
    <xf numFmtId="4" fontId="0" fillId="0" borderId="0" xfId="0" applyNumberFormat="1" applyAlignment="1" applyProtection="1">
      <alignment horizontal="center"/>
      <protection locked="0"/>
    </xf>
    <xf numFmtId="166" fontId="0" fillId="0" borderId="0" xfId="0" applyNumberForma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13" borderId="5" xfId="0" applyNumberFormat="1" applyFont="1" applyFill="1" applyBorder="1" applyAlignment="1">
      <alignment horizontal="center" vertical="center"/>
    </xf>
    <xf numFmtId="0" fontId="12" fillId="13" borderId="5" xfId="0" applyNumberFormat="1" applyFont="1" applyFill="1" applyBorder="1" applyAlignment="1" applyProtection="1">
      <alignment horizontal="left" vertical="center" wrapText="1"/>
      <protection hidden="1"/>
    </xf>
    <xf numFmtId="0" fontId="0" fillId="15" borderId="5" xfId="0" applyNumberFormat="1" applyFont="1" applyFill="1" applyBorder="1" applyAlignment="1" applyProtection="1">
      <alignment horizontal="center" vertical="center"/>
      <protection locked="0" hidden="1"/>
    </xf>
    <xf numFmtId="4" fontId="11" fillId="15" borderId="5" xfId="0" applyNumberFormat="1" applyFont="1" applyFill="1" applyBorder="1" applyAlignment="1" applyProtection="1">
      <alignment horizontal="center" vertical="center"/>
      <protection hidden="1"/>
    </xf>
    <xf numFmtId="164" fontId="31" fillId="0" borderId="5" xfId="0" applyNumberFormat="1" applyFont="1" applyBorder="1" applyAlignment="1" applyProtection="1">
      <alignment horizontal="center" vertical="center"/>
      <protection locked="0" hidden="1"/>
    </xf>
    <xf numFmtId="0" fontId="12" fillId="13" borderId="15" xfId="0" applyNumberFormat="1" applyFont="1" applyFill="1" applyBorder="1" applyAlignment="1" applyProtection="1">
      <alignment horizontal="left" vertical="center" wrapText="1"/>
      <protection hidden="1"/>
    </xf>
    <xf numFmtId="0" fontId="32" fillId="0" borderId="5" xfId="0" applyFont="1" applyBorder="1" applyAlignment="1" applyProtection="1">
      <alignment horizontal="center" vertical="center"/>
      <protection locked="0" hidden="1"/>
    </xf>
    <xf numFmtId="0" fontId="34" fillId="15" borderId="5" xfId="0" applyFont="1" applyFill="1" applyBorder="1" applyAlignment="1" applyProtection="1">
      <alignment horizontal="left" vertical="center" wrapText="1"/>
      <protection locked="0" hidden="1"/>
    </xf>
    <xf numFmtId="164" fontId="31" fillId="0" borderId="15" xfId="0" applyNumberFormat="1" applyFont="1" applyBorder="1" applyAlignment="1" applyProtection="1">
      <alignment horizontal="center" vertical="center"/>
      <protection locked="0" hidden="1"/>
    </xf>
    <xf numFmtId="164" fontId="11" fillId="0" borderId="5" xfId="0" applyNumberFormat="1" applyFont="1" applyFill="1" applyBorder="1" applyAlignment="1" applyProtection="1">
      <alignment horizontal="center" vertical="center"/>
      <protection locked="0" hidden="1"/>
    </xf>
    <xf numFmtId="0" fontId="12" fillId="0" borderId="5" xfId="0" applyNumberFormat="1" applyFont="1" applyFill="1" applyBorder="1" applyAlignment="1" applyProtection="1">
      <alignment horizontal="left" vertical="center" wrapText="1"/>
      <protection hidden="1"/>
    </xf>
    <xf numFmtId="0" fontId="11" fillId="0" borderId="5" xfId="0" applyNumberFormat="1" applyFont="1" applyFill="1" applyBorder="1" applyAlignment="1" applyProtection="1">
      <alignment horizontal="left" vertical="center" wrapText="1"/>
      <protection hidden="1"/>
    </xf>
    <xf numFmtId="4" fontId="1" fillId="0" borderId="5" xfId="0" applyNumberFormat="1" applyFont="1" applyFill="1" applyBorder="1" applyAlignment="1" applyProtection="1">
      <alignment horizontal="left" vertical="center" wrapText="1"/>
      <protection hidden="1"/>
    </xf>
    <xf numFmtId="0" fontId="12" fillId="0" borderId="5" xfId="0" applyNumberFormat="1" applyFont="1" applyFill="1" applyBorder="1" applyAlignment="1" applyProtection="1">
      <alignment horizontal="center" vertical="center"/>
      <protection locked="0" hidden="1"/>
    </xf>
    <xf numFmtId="0" fontId="0" fillId="0" borderId="5" xfId="0" applyNumberFormat="1" applyFont="1" applyFill="1" applyBorder="1" applyAlignment="1" applyProtection="1">
      <alignment horizontal="center" vertical="center"/>
      <protection locked="0" hidden="1"/>
    </xf>
    <xf numFmtId="0" fontId="11" fillId="0" borderId="5" xfId="0" applyNumberFormat="1" applyFont="1" applyFill="1" applyBorder="1" applyAlignment="1" applyProtection="1">
      <alignment horizontal="center" vertical="center" wrapText="1"/>
      <protection hidden="1"/>
    </xf>
    <xf numFmtId="0" fontId="11" fillId="0" borderId="5" xfId="0" applyNumberFormat="1" applyFont="1" applyFill="1" applyBorder="1" applyAlignment="1" applyProtection="1">
      <alignment horizontal="center" vertical="center"/>
      <protection hidden="1"/>
    </xf>
    <xf numFmtId="0" fontId="12" fillId="0" borderId="5" xfId="0" applyNumberFormat="1" applyFont="1" applyFill="1" applyBorder="1" applyAlignment="1" applyProtection="1">
      <alignment horizontal="left" vertical="center" wrapText="1"/>
      <protection locked="0"/>
    </xf>
    <xf numFmtId="164" fontId="11" fillId="0" borderId="15" xfId="0" applyNumberFormat="1" applyFont="1" applyFill="1" applyBorder="1" applyAlignment="1" applyProtection="1">
      <alignment horizontal="center" vertical="center"/>
      <protection locked="0" hidden="1"/>
    </xf>
    <xf numFmtId="0" fontId="12" fillId="0" borderId="15" xfId="0" applyNumberFormat="1" applyFont="1" applyFill="1" applyBorder="1" applyAlignment="1" applyProtection="1">
      <alignment horizontal="left" vertical="center" wrapText="1"/>
      <protection hidden="1"/>
    </xf>
    <xf numFmtId="0" fontId="11" fillId="0" borderId="15" xfId="0" applyNumberFormat="1" applyFont="1" applyFill="1" applyBorder="1" applyAlignment="1" applyProtection="1">
      <alignment horizontal="left" vertical="center" wrapText="1"/>
      <protection hidden="1"/>
    </xf>
    <xf numFmtId="4" fontId="1" fillId="0" borderId="15" xfId="0" applyNumberFormat="1" applyFont="1" applyFill="1" applyBorder="1" applyAlignment="1" applyProtection="1">
      <alignment horizontal="left" vertical="center" wrapText="1"/>
      <protection hidden="1"/>
    </xf>
    <xf numFmtId="0" fontId="12" fillId="0" borderId="15" xfId="0" applyNumberFormat="1" applyFont="1" applyFill="1" applyBorder="1" applyAlignment="1" applyProtection="1">
      <alignment horizontal="center" vertical="center"/>
      <protection locked="0" hidden="1"/>
    </xf>
    <xf numFmtId="0" fontId="0" fillId="0" borderId="15" xfId="0" applyNumberFormat="1" applyFont="1" applyFill="1" applyBorder="1" applyAlignment="1" applyProtection="1">
      <alignment horizontal="center" vertical="center"/>
      <protection locked="0" hidden="1"/>
    </xf>
    <xf numFmtId="0" fontId="11" fillId="0" borderId="15" xfId="0" applyNumberFormat="1" applyFont="1" applyFill="1" applyBorder="1" applyAlignment="1" applyProtection="1">
      <alignment horizontal="center" vertical="center" wrapText="1"/>
      <protection hidden="1"/>
    </xf>
    <xf numFmtId="4" fontId="11" fillId="0" borderId="15" xfId="0" applyNumberFormat="1" applyFont="1" applyFill="1" applyBorder="1" applyAlignment="1" applyProtection="1">
      <alignment horizontal="center" vertical="center"/>
      <protection hidden="1"/>
    </xf>
    <xf numFmtId="0" fontId="12" fillId="0" borderId="15" xfId="0" applyNumberFormat="1" applyFont="1" applyFill="1" applyBorder="1" applyAlignment="1" applyProtection="1">
      <alignment horizontal="left" vertical="center" wrapText="1"/>
      <protection locked="0"/>
    </xf>
    <xf numFmtId="0" fontId="0" fillId="0" borderId="15" xfId="0" applyNumberFormat="1" applyFont="1" applyFill="1" applyBorder="1" applyAlignment="1" applyProtection="1">
      <alignment horizontal="left" vertical="center" wrapText="1"/>
      <protection locked="0"/>
    </xf>
    <xf numFmtId="0" fontId="4" fillId="15" borderId="5" xfId="0" applyFont="1" applyFill="1" applyBorder="1" applyAlignment="1" applyProtection="1">
      <alignment horizontal="left" vertical="center" wrapText="1"/>
      <protection locked="0"/>
    </xf>
    <xf numFmtId="0" fontId="3" fillId="0" borderId="5" xfId="0" applyFont="1" applyBorder="1" applyAlignment="1">
      <alignment horizontal="right"/>
    </xf>
    <xf numFmtId="18" fontId="0" fillId="0" borderId="11" xfId="0" applyNumberFormat="1" applyBorder="1" applyAlignment="1">
      <alignment horizontal="center" vertical="center"/>
    </xf>
    <xf numFmtId="18" fontId="0" fillId="0" borderId="5" xfId="0" applyNumberFormat="1" applyBorder="1" applyAlignment="1">
      <alignment horizontal="center" vertical="center"/>
    </xf>
    <xf numFmtId="18" fontId="0" fillId="15" borderId="5" xfId="0" applyNumberFormat="1" applyFill="1" applyBorder="1" applyAlignment="1">
      <alignment horizontal="center" vertical="center"/>
    </xf>
    <xf numFmtId="18" fontId="0" fillId="0" borderId="0" xfId="0" applyNumberFormat="1"/>
    <xf numFmtId="18" fontId="0" fillId="0" borderId="10" xfId="0" applyNumberFormat="1" applyBorder="1" applyAlignment="1">
      <alignment horizontal="center" vertical="center"/>
    </xf>
    <xf numFmtId="18" fontId="0" fillId="0" borderId="0" xfId="0" applyNumberFormat="1" applyAlignment="1">
      <alignment horizontal="center"/>
    </xf>
    <xf numFmtId="4" fontId="11" fillId="15" borderId="15" xfId="0" applyNumberFormat="1" applyFont="1" applyFill="1" applyBorder="1" applyAlignment="1" applyProtection="1">
      <alignment horizontal="center" vertical="center"/>
      <protection hidden="1"/>
    </xf>
    <xf numFmtId="0" fontId="0" fillId="15" borderId="15" xfId="0" applyNumberFormat="1" applyFont="1" applyFill="1" applyBorder="1" applyAlignment="1" applyProtection="1">
      <alignment horizontal="center" vertical="center"/>
      <protection locked="0" hidden="1"/>
    </xf>
    <xf numFmtId="0" fontId="0" fillId="15" borderId="15" xfId="0" applyNumberFormat="1" applyFont="1" applyFill="1" applyBorder="1" applyAlignment="1" applyProtection="1">
      <alignment horizontal="left" vertical="center" wrapText="1"/>
      <protection locked="0"/>
    </xf>
    <xf numFmtId="1" fontId="0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ont="1" applyFill="1" applyBorder="1" applyAlignment="1">
      <alignment horizontal="center" vertical="center" wrapText="1"/>
    </xf>
    <xf numFmtId="0" fontId="2" fillId="0" borderId="5" xfId="0" applyNumberFormat="1" applyFont="1" applyFill="1" applyBorder="1" applyAlignment="1">
      <alignment horizontal="center" vertical="center" wrapText="1"/>
    </xf>
    <xf numFmtId="0" fontId="24" fillId="11" borderId="15" xfId="0" applyFont="1" applyFill="1" applyBorder="1" applyAlignment="1">
      <alignment horizontal="center" vertical="center"/>
    </xf>
    <xf numFmtId="18" fontId="1" fillId="11" borderId="18" xfId="0" applyNumberFormat="1" applyFont="1" applyFill="1" applyBorder="1" applyAlignment="1">
      <alignment horizontal="center" vertical="center"/>
    </xf>
    <xf numFmtId="0" fontId="1" fillId="11" borderId="18" xfId="0" applyNumberFormat="1" applyFont="1" applyFill="1" applyBorder="1" applyAlignment="1">
      <alignment horizontal="center" vertical="center"/>
    </xf>
    <xf numFmtId="1" fontId="1" fillId="11" borderId="18" xfId="0" applyNumberFormat="1" applyFont="1" applyFill="1" applyBorder="1" applyAlignment="1">
      <alignment horizontal="center" vertical="center" wrapText="1"/>
    </xf>
    <xf numFmtId="18" fontId="1" fillId="11" borderId="18" xfId="0" applyNumberFormat="1" applyFont="1" applyFill="1" applyBorder="1" applyAlignment="1">
      <alignment horizontal="center" vertical="center" wrapText="1"/>
    </xf>
    <xf numFmtId="1" fontId="1" fillId="11" borderId="18" xfId="0" applyNumberFormat="1" applyFont="1" applyFill="1" applyBorder="1" applyAlignment="1">
      <alignment horizontal="center" vertical="center"/>
    </xf>
    <xf numFmtId="0" fontId="24" fillId="11" borderId="18" xfId="0" applyFont="1" applyFill="1" applyBorder="1" applyAlignment="1">
      <alignment horizontal="center" vertical="center"/>
    </xf>
    <xf numFmtId="0" fontId="24" fillId="11" borderId="18" xfId="0" applyFont="1" applyFill="1" applyBorder="1" applyAlignment="1">
      <alignment horizontal="center" vertical="center" wrapText="1"/>
    </xf>
    <xf numFmtId="18" fontId="0" fillId="0" borderId="5" xfId="0" quotePrefix="1" applyNumberFormat="1" applyBorder="1" applyAlignment="1">
      <alignment horizontal="center" vertical="center"/>
    </xf>
    <xf numFmtId="1" fontId="0" fillId="29" borderId="5" xfId="0" applyNumberFormat="1" applyFont="1" applyFill="1" applyBorder="1" applyAlignment="1">
      <alignment horizontal="center" vertical="center" wrapText="1"/>
    </xf>
    <xf numFmtId="0" fontId="0" fillId="29" borderId="5" xfId="0" applyNumberFormat="1" applyFont="1" applyFill="1" applyBorder="1" applyAlignment="1">
      <alignment horizontal="center" vertical="center" wrapText="1"/>
    </xf>
    <xf numFmtId="0" fontId="2" fillId="29" borderId="5" xfId="0" applyNumberFormat="1" applyFont="1" applyFill="1" applyBorder="1" applyAlignment="1">
      <alignment horizontal="center" vertical="center" wrapText="1"/>
    </xf>
    <xf numFmtId="0" fontId="2" fillId="29" borderId="5" xfId="0" applyNumberFormat="1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/>
    </xf>
    <xf numFmtId="0" fontId="12" fillId="0" borderId="5" xfId="0" applyFont="1" applyBorder="1"/>
    <xf numFmtId="2" fontId="12" fillId="0" borderId="5" xfId="0" applyNumberFormat="1" applyFont="1" applyBorder="1" applyAlignment="1">
      <alignment horizontal="center"/>
    </xf>
    <xf numFmtId="4" fontId="12" fillId="0" borderId="5" xfId="0" applyNumberFormat="1" applyFont="1" applyBorder="1" applyAlignment="1">
      <alignment horizontal="center" vertical="center"/>
    </xf>
    <xf numFmtId="0" fontId="12" fillId="0" borderId="5" xfId="0" applyNumberFormat="1" applyFont="1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164" fontId="11" fillId="27" borderId="18" xfId="0" applyNumberFormat="1" applyFont="1" applyFill="1" applyBorder="1" applyAlignment="1" applyProtection="1">
      <alignment horizontal="center" vertical="center"/>
      <protection hidden="1"/>
    </xf>
    <xf numFmtId="0" fontId="12" fillId="27" borderId="18" xfId="0" applyNumberFormat="1" applyFont="1" applyFill="1" applyBorder="1" applyAlignment="1" applyProtection="1">
      <alignment horizontal="left" vertical="center" wrapText="1"/>
      <protection hidden="1"/>
    </xf>
    <xf numFmtId="0" fontId="0" fillId="0" borderId="5" xfId="0" applyFont="1" applyBorder="1" applyAlignment="1" applyProtection="1">
      <alignment horizontal="left" vertical="center" wrapText="1"/>
      <protection locked="0"/>
    </xf>
    <xf numFmtId="0" fontId="1" fillId="11" borderId="12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1" fillId="11" borderId="14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6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10" borderId="12" xfId="0" applyNumberFormat="1" applyFill="1" applyBorder="1" applyAlignment="1">
      <alignment horizontal="center"/>
    </xf>
    <xf numFmtId="166" fontId="0" fillId="10" borderId="14" xfId="0" applyNumberFormat="1" applyFill="1" applyBorder="1" applyAlignment="1">
      <alignment horizontal="center"/>
    </xf>
    <xf numFmtId="14" fontId="1" fillId="9" borderId="5" xfId="0" applyNumberFormat="1" applyFont="1" applyFill="1" applyBorder="1" applyAlignment="1">
      <alignment horizontal="center" vertical="center" wrapText="1"/>
    </xf>
    <xf numFmtId="0" fontId="1" fillId="13" borderId="5" xfId="0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10" borderId="0" xfId="0" applyFill="1"/>
    <xf numFmtId="0" fontId="24" fillId="11" borderId="5" xfId="0" applyNumberFormat="1" applyFont="1" applyFill="1" applyBorder="1" applyAlignment="1">
      <alignment horizontal="left" vertical="center" wrapText="1"/>
    </xf>
    <xf numFmtId="49" fontId="2" fillId="11" borderId="5" xfId="0" applyNumberFormat="1" applyFont="1" applyFill="1" applyBorder="1" applyAlignment="1">
      <alignment horizontal="left" vertical="center" wrapText="1"/>
    </xf>
    <xf numFmtId="170" fontId="2" fillId="11" borderId="5" xfId="0" applyNumberFormat="1" applyFont="1" applyFill="1" applyBorder="1" applyAlignment="1">
      <alignment horizontal="left" vertical="center" wrapText="1"/>
    </xf>
    <xf numFmtId="49" fontId="0" fillId="11" borderId="5" xfId="0" applyNumberFormat="1" applyFont="1" applyFill="1" applyBorder="1" applyAlignment="1">
      <alignment horizontal="center" vertical="center"/>
    </xf>
    <xf numFmtId="4" fontId="2" fillId="11" borderId="5" xfId="0" applyNumberFormat="1" applyFont="1" applyFill="1" applyBorder="1" applyAlignment="1">
      <alignment horizontal="center" vertical="center"/>
    </xf>
    <xf numFmtId="0" fontId="0" fillId="11" borderId="5" xfId="0" applyFont="1" applyFill="1" applyBorder="1" applyAlignment="1">
      <alignment horizontal="center" vertical="center"/>
    </xf>
  </cellXfs>
  <cellStyles count="4059">
    <cellStyle name="Millares" xfId="1" builtinId="3"/>
    <cellStyle name="Millares 10" xfId="17"/>
    <cellStyle name="Millares 10 2" xfId="931"/>
    <cellStyle name="Millares 10 2 2" xfId="2959"/>
    <cellStyle name="Millares 10 3" xfId="1571"/>
    <cellStyle name="Millares 10 3 2" xfId="3599"/>
    <cellStyle name="Millares 10 4" xfId="291"/>
    <cellStyle name="Millares 10 4 2" xfId="2319"/>
    <cellStyle name="Millares 10 5" xfId="2051"/>
    <cellStyle name="Millares 11" xfId="18"/>
    <cellStyle name="Millares 11 2" xfId="1059"/>
    <cellStyle name="Millares 11 2 2" xfId="3087"/>
    <cellStyle name="Millares 11 3" xfId="1699"/>
    <cellStyle name="Millares 11 3 2" xfId="3727"/>
    <cellStyle name="Millares 11 4" xfId="419"/>
    <cellStyle name="Millares 11 4 2" xfId="2447"/>
    <cellStyle name="Millares 11 5" xfId="2052"/>
    <cellStyle name="Millares 12" xfId="19"/>
    <cellStyle name="Millares 12 2" xfId="675"/>
    <cellStyle name="Millares 12 2 2" xfId="2703"/>
    <cellStyle name="Millares 12 3" xfId="2053"/>
    <cellStyle name="Millares 13" xfId="28"/>
    <cellStyle name="Millares 13 2" xfId="1315"/>
    <cellStyle name="Millares 13 2 2" xfId="3343"/>
    <cellStyle name="Millares 13 3" xfId="2056"/>
    <cellStyle name="Millares 14" xfId="29"/>
    <cellStyle name="Millares 14 2" xfId="1955"/>
    <cellStyle name="Millares 14 2 2" xfId="3983"/>
    <cellStyle name="Millares 14 3" xfId="2057"/>
    <cellStyle name="Millares 15" xfId="30"/>
    <cellStyle name="Millares 15 2" xfId="2058"/>
    <cellStyle name="Millares 16" xfId="31"/>
    <cellStyle name="Millares 16 2" xfId="2059"/>
    <cellStyle name="Millares 17" xfId="32"/>
    <cellStyle name="Millares 17 2" xfId="2060"/>
    <cellStyle name="Millares 18" xfId="33"/>
    <cellStyle name="Millares 18 2" xfId="2061"/>
    <cellStyle name="Millares 19" xfId="34"/>
    <cellStyle name="Millares 19 2" xfId="2062"/>
    <cellStyle name="Millares 2" xfId="6"/>
    <cellStyle name="Millares 2 10" xfId="420"/>
    <cellStyle name="Millares 2 10 2" xfId="1060"/>
    <cellStyle name="Millares 2 10 2 2" xfId="3088"/>
    <cellStyle name="Millares 2 10 3" xfId="1700"/>
    <cellStyle name="Millares 2 10 3 2" xfId="3728"/>
    <cellStyle name="Millares 2 10 4" xfId="2448"/>
    <cellStyle name="Millares 2 11" xfId="676"/>
    <cellStyle name="Millares 2 11 2" xfId="2704"/>
    <cellStyle name="Millares 2 12" xfId="1316"/>
    <cellStyle name="Millares 2 12 2" xfId="3344"/>
    <cellStyle name="Millares 2 13" xfId="1956"/>
    <cellStyle name="Millares 2 13 2" xfId="3984"/>
    <cellStyle name="Millares 2 14" xfId="36"/>
    <cellStyle name="Millares 2 14 2" xfId="2064"/>
    <cellStyle name="Millares 2 15" xfId="2024"/>
    <cellStyle name="Millares 2 15 2" xfId="4052"/>
    <cellStyle name="Millares 2 16" xfId="2034"/>
    <cellStyle name="Millares 2 17" xfId="2037"/>
    <cellStyle name="Millares 2 18" xfId="2041"/>
    <cellStyle name="Millares 2 2" xfId="12"/>
    <cellStyle name="Millares 2 2 10" xfId="678"/>
    <cellStyle name="Millares 2 2 10 2" xfId="2706"/>
    <cellStyle name="Millares 2 2 11" xfId="1318"/>
    <cellStyle name="Millares 2 2 11 2" xfId="3346"/>
    <cellStyle name="Millares 2 2 12" xfId="1958"/>
    <cellStyle name="Millares 2 2 12 2" xfId="3986"/>
    <cellStyle name="Millares 2 2 13" xfId="38"/>
    <cellStyle name="Millares 2 2 13 2" xfId="2066"/>
    <cellStyle name="Millares 2 2 14" xfId="2035"/>
    <cellStyle name="Millares 2 2 15" xfId="2046"/>
    <cellStyle name="Millares 2 2 2" xfId="25"/>
    <cellStyle name="Millares 2 2 2 10" xfId="1322"/>
    <cellStyle name="Millares 2 2 2 10 2" xfId="3350"/>
    <cellStyle name="Millares 2 2 2 11" xfId="1962"/>
    <cellStyle name="Millares 2 2 2 11 2" xfId="3990"/>
    <cellStyle name="Millares 2 2 2 12" xfId="42"/>
    <cellStyle name="Millares 2 2 2 12 2" xfId="2070"/>
    <cellStyle name="Millares 2 2 2 13" xfId="2055"/>
    <cellStyle name="Millares 2 2 2 2" xfId="50"/>
    <cellStyle name="Millares 2 2 2 2 10" xfId="1970"/>
    <cellStyle name="Millares 2 2 2 2 10 2" xfId="3998"/>
    <cellStyle name="Millares 2 2 2 2 11" xfId="2078"/>
    <cellStyle name="Millares 2 2 2 2 2" xfId="66"/>
    <cellStyle name="Millares 2 2 2 2 2 10" xfId="2094"/>
    <cellStyle name="Millares 2 2 2 2 2 2" xfId="98"/>
    <cellStyle name="Millares 2 2 2 2 2 2 2" xfId="162"/>
    <cellStyle name="Millares 2 2 2 2 2 2 2 2" xfId="290"/>
    <cellStyle name="Millares 2 2 2 2 2 2 2 2 2" xfId="674"/>
    <cellStyle name="Millares 2 2 2 2 2 2 2 2 2 2" xfId="1314"/>
    <cellStyle name="Millares 2 2 2 2 2 2 2 2 2 2 2" xfId="3342"/>
    <cellStyle name="Millares 2 2 2 2 2 2 2 2 2 3" xfId="1954"/>
    <cellStyle name="Millares 2 2 2 2 2 2 2 2 2 3 2" xfId="3982"/>
    <cellStyle name="Millares 2 2 2 2 2 2 2 2 2 4" xfId="2702"/>
    <cellStyle name="Millares 2 2 2 2 2 2 2 2 3" xfId="930"/>
    <cellStyle name="Millares 2 2 2 2 2 2 2 2 3 2" xfId="2958"/>
    <cellStyle name="Millares 2 2 2 2 2 2 2 2 4" xfId="1570"/>
    <cellStyle name="Millares 2 2 2 2 2 2 2 2 4 2" xfId="3598"/>
    <cellStyle name="Millares 2 2 2 2 2 2 2 2 5" xfId="2318"/>
    <cellStyle name="Millares 2 2 2 2 2 2 2 3" xfId="418"/>
    <cellStyle name="Millares 2 2 2 2 2 2 2 3 2" xfId="1058"/>
    <cellStyle name="Millares 2 2 2 2 2 2 2 3 2 2" xfId="3086"/>
    <cellStyle name="Millares 2 2 2 2 2 2 2 3 3" xfId="1698"/>
    <cellStyle name="Millares 2 2 2 2 2 2 2 3 3 2" xfId="3726"/>
    <cellStyle name="Millares 2 2 2 2 2 2 2 3 4" xfId="2446"/>
    <cellStyle name="Millares 2 2 2 2 2 2 2 4" xfId="546"/>
    <cellStyle name="Millares 2 2 2 2 2 2 2 4 2" xfId="1186"/>
    <cellStyle name="Millares 2 2 2 2 2 2 2 4 2 2" xfId="3214"/>
    <cellStyle name="Millares 2 2 2 2 2 2 2 4 3" xfId="1826"/>
    <cellStyle name="Millares 2 2 2 2 2 2 2 4 3 2" xfId="3854"/>
    <cellStyle name="Millares 2 2 2 2 2 2 2 4 4" xfId="2574"/>
    <cellStyle name="Millares 2 2 2 2 2 2 2 5" xfId="802"/>
    <cellStyle name="Millares 2 2 2 2 2 2 2 5 2" xfId="2830"/>
    <cellStyle name="Millares 2 2 2 2 2 2 2 6" xfId="1442"/>
    <cellStyle name="Millares 2 2 2 2 2 2 2 6 2" xfId="3470"/>
    <cellStyle name="Millares 2 2 2 2 2 2 2 7" xfId="2190"/>
    <cellStyle name="Millares 2 2 2 2 2 2 3" xfId="226"/>
    <cellStyle name="Millares 2 2 2 2 2 2 3 2" xfId="610"/>
    <cellStyle name="Millares 2 2 2 2 2 2 3 2 2" xfId="1250"/>
    <cellStyle name="Millares 2 2 2 2 2 2 3 2 2 2" xfId="3278"/>
    <cellStyle name="Millares 2 2 2 2 2 2 3 2 3" xfId="1890"/>
    <cellStyle name="Millares 2 2 2 2 2 2 3 2 3 2" xfId="3918"/>
    <cellStyle name="Millares 2 2 2 2 2 2 3 2 4" xfId="2638"/>
    <cellStyle name="Millares 2 2 2 2 2 2 3 3" xfId="866"/>
    <cellStyle name="Millares 2 2 2 2 2 2 3 3 2" xfId="2894"/>
    <cellStyle name="Millares 2 2 2 2 2 2 3 4" xfId="1506"/>
    <cellStyle name="Millares 2 2 2 2 2 2 3 4 2" xfId="3534"/>
    <cellStyle name="Millares 2 2 2 2 2 2 3 5" xfId="2254"/>
    <cellStyle name="Millares 2 2 2 2 2 2 4" xfId="354"/>
    <cellStyle name="Millares 2 2 2 2 2 2 4 2" xfId="994"/>
    <cellStyle name="Millares 2 2 2 2 2 2 4 2 2" xfId="3022"/>
    <cellStyle name="Millares 2 2 2 2 2 2 4 3" xfId="1634"/>
    <cellStyle name="Millares 2 2 2 2 2 2 4 3 2" xfId="3662"/>
    <cellStyle name="Millares 2 2 2 2 2 2 4 4" xfId="2382"/>
    <cellStyle name="Millares 2 2 2 2 2 2 5" xfId="482"/>
    <cellStyle name="Millares 2 2 2 2 2 2 5 2" xfId="1122"/>
    <cellStyle name="Millares 2 2 2 2 2 2 5 2 2" xfId="3150"/>
    <cellStyle name="Millares 2 2 2 2 2 2 5 3" xfId="1762"/>
    <cellStyle name="Millares 2 2 2 2 2 2 5 3 2" xfId="3790"/>
    <cellStyle name="Millares 2 2 2 2 2 2 5 4" xfId="2510"/>
    <cellStyle name="Millares 2 2 2 2 2 2 6" xfId="738"/>
    <cellStyle name="Millares 2 2 2 2 2 2 6 2" xfId="2766"/>
    <cellStyle name="Millares 2 2 2 2 2 2 7" xfId="1378"/>
    <cellStyle name="Millares 2 2 2 2 2 2 7 2" xfId="3406"/>
    <cellStyle name="Millares 2 2 2 2 2 2 8" xfId="2018"/>
    <cellStyle name="Millares 2 2 2 2 2 2 8 2" xfId="4046"/>
    <cellStyle name="Millares 2 2 2 2 2 2 9" xfId="2126"/>
    <cellStyle name="Millares 2 2 2 2 2 3" xfId="130"/>
    <cellStyle name="Millares 2 2 2 2 2 3 2" xfId="258"/>
    <cellStyle name="Millares 2 2 2 2 2 3 2 2" xfId="642"/>
    <cellStyle name="Millares 2 2 2 2 2 3 2 2 2" xfId="1282"/>
    <cellStyle name="Millares 2 2 2 2 2 3 2 2 2 2" xfId="3310"/>
    <cellStyle name="Millares 2 2 2 2 2 3 2 2 3" xfId="1922"/>
    <cellStyle name="Millares 2 2 2 2 2 3 2 2 3 2" xfId="3950"/>
    <cellStyle name="Millares 2 2 2 2 2 3 2 2 4" xfId="2670"/>
    <cellStyle name="Millares 2 2 2 2 2 3 2 3" xfId="898"/>
    <cellStyle name="Millares 2 2 2 2 2 3 2 3 2" xfId="2926"/>
    <cellStyle name="Millares 2 2 2 2 2 3 2 4" xfId="1538"/>
    <cellStyle name="Millares 2 2 2 2 2 3 2 4 2" xfId="3566"/>
    <cellStyle name="Millares 2 2 2 2 2 3 2 5" xfId="2286"/>
    <cellStyle name="Millares 2 2 2 2 2 3 3" xfId="386"/>
    <cellStyle name="Millares 2 2 2 2 2 3 3 2" xfId="1026"/>
    <cellStyle name="Millares 2 2 2 2 2 3 3 2 2" xfId="3054"/>
    <cellStyle name="Millares 2 2 2 2 2 3 3 3" xfId="1666"/>
    <cellStyle name="Millares 2 2 2 2 2 3 3 3 2" xfId="3694"/>
    <cellStyle name="Millares 2 2 2 2 2 3 3 4" xfId="2414"/>
    <cellStyle name="Millares 2 2 2 2 2 3 4" xfId="514"/>
    <cellStyle name="Millares 2 2 2 2 2 3 4 2" xfId="1154"/>
    <cellStyle name="Millares 2 2 2 2 2 3 4 2 2" xfId="3182"/>
    <cellStyle name="Millares 2 2 2 2 2 3 4 3" xfId="1794"/>
    <cellStyle name="Millares 2 2 2 2 2 3 4 3 2" xfId="3822"/>
    <cellStyle name="Millares 2 2 2 2 2 3 4 4" xfId="2542"/>
    <cellStyle name="Millares 2 2 2 2 2 3 5" xfId="770"/>
    <cellStyle name="Millares 2 2 2 2 2 3 5 2" xfId="2798"/>
    <cellStyle name="Millares 2 2 2 2 2 3 6" xfId="1410"/>
    <cellStyle name="Millares 2 2 2 2 2 3 6 2" xfId="3438"/>
    <cellStyle name="Millares 2 2 2 2 2 3 7" xfId="2158"/>
    <cellStyle name="Millares 2 2 2 2 2 4" xfId="194"/>
    <cellStyle name="Millares 2 2 2 2 2 4 2" xfId="578"/>
    <cellStyle name="Millares 2 2 2 2 2 4 2 2" xfId="1218"/>
    <cellStyle name="Millares 2 2 2 2 2 4 2 2 2" xfId="3246"/>
    <cellStyle name="Millares 2 2 2 2 2 4 2 3" xfId="1858"/>
    <cellStyle name="Millares 2 2 2 2 2 4 2 3 2" xfId="3886"/>
    <cellStyle name="Millares 2 2 2 2 2 4 2 4" xfId="2606"/>
    <cellStyle name="Millares 2 2 2 2 2 4 3" xfId="834"/>
    <cellStyle name="Millares 2 2 2 2 2 4 3 2" xfId="2862"/>
    <cellStyle name="Millares 2 2 2 2 2 4 4" xfId="1474"/>
    <cellStyle name="Millares 2 2 2 2 2 4 4 2" xfId="3502"/>
    <cellStyle name="Millares 2 2 2 2 2 4 5" xfId="2222"/>
    <cellStyle name="Millares 2 2 2 2 2 5" xfId="322"/>
    <cellStyle name="Millares 2 2 2 2 2 5 2" xfId="962"/>
    <cellStyle name="Millares 2 2 2 2 2 5 2 2" xfId="2990"/>
    <cellStyle name="Millares 2 2 2 2 2 5 3" xfId="1602"/>
    <cellStyle name="Millares 2 2 2 2 2 5 3 2" xfId="3630"/>
    <cellStyle name="Millares 2 2 2 2 2 5 4" xfId="2350"/>
    <cellStyle name="Millares 2 2 2 2 2 6" xfId="450"/>
    <cellStyle name="Millares 2 2 2 2 2 6 2" xfId="1090"/>
    <cellStyle name="Millares 2 2 2 2 2 6 2 2" xfId="3118"/>
    <cellStyle name="Millares 2 2 2 2 2 6 3" xfId="1730"/>
    <cellStyle name="Millares 2 2 2 2 2 6 3 2" xfId="3758"/>
    <cellStyle name="Millares 2 2 2 2 2 6 4" xfId="2478"/>
    <cellStyle name="Millares 2 2 2 2 2 7" xfId="706"/>
    <cellStyle name="Millares 2 2 2 2 2 7 2" xfId="2734"/>
    <cellStyle name="Millares 2 2 2 2 2 8" xfId="1346"/>
    <cellStyle name="Millares 2 2 2 2 2 8 2" xfId="3374"/>
    <cellStyle name="Millares 2 2 2 2 2 9" xfId="1986"/>
    <cellStyle name="Millares 2 2 2 2 2 9 2" xfId="4014"/>
    <cellStyle name="Millares 2 2 2 2 3" xfId="82"/>
    <cellStyle name="Millares 2 2 2 2 3 2" xfId="146"/>
    <cellStyle name="Millares 2 2 2 2 3 2 2" xfId="274"/>
    <cellStyle name="Millares 2 2 2 2 3 2 2 2" xfId="658"/>
    <cellStyle name="Millares 2 2 2 2 3 2 2 2 2" xfId="1298"/>
    <cellStyle name="Millares 2 2 2 2 3 2 2 2 2 2" xfId="3326"/>
    <cellStyle name="Millares 2 2 2 2 3 2 2 2 3" xfId="1938"/>
    <cellStyle name="Millares 2 2 2 2 3 2 2 2 3 2" xfId="3966"/>
    <cellStyle name="Millares 2 2 2 2 3 2 2 2 4" xfId="2686"/>
    <cellStyle name="Millares 2 2 2 2 3 2 2 3" xfId="914"/>
    <cellStyle name="Millares 2 2 2 2 3 2 2 3 2" xfId="2942"/>
    <cellStyle name="Millares 2 2 2 2 3 2 2 4" xfId="1554"/>
    <cellStyle name="Millares 2 2 2 2 3 2 2 4 2" xfId="3582"/>
    <cellStyle name="Millares 2 2 2 2 3 2 2 5" xfId="2302"/>
    <cellStyle name="Millares 2 2 2 2 3 2 3" xfId="402"/>
    <cellStyle name="Millares 2 2 2 2 3 2 3 2" xfId="1042"/>
    <cellStyle name="Millares 2 2 2 2 3 2 3 2 2" xfId="3070"/>
    <cellStyle name="Millares 2 2 2 2 3 2 3 3" xfId="1682"/>
    <cellStyle name="Millares 2 2 2 2 3 2 3 3 2" xfId="3710"/>
    <cellStyle name="Millares 2 2 2 2 3 2 3 4" xfId="2430"/>
    <cellStyle name="Millares 2 2 2 2 3 2 4" xfId="530"/>
    <cellStyle name="Millares 2 2 2 2 3 2 4 2" xfId="1170"/>
    <cellStyle name="Millares 2 2 2 2 3 2 4 2 2" xfId="3198"/>
    <cellStyle name="Millares 2 2 2 2 3 2 4 3" xfId="1810"/>
    <cellStyle name="Millares 2 2 2 2 3 2 4 3 2" xfId="3838"/>
    <cellStyle name="Millares 2 2 2 2 3 2 4 4" xfId="2558"/>
    <cellStyle name="Millares 2 2 2 2 3 2 5" xfId="786"/>
    <cellStyle name="Millares 2 2 2 2 3 2 5 2" xfId="2814"/>
    <cellStyle name="Millares 2 2 2 2 3 2 6" xfId="1426"/>
    <cellStyle name="Millares 2 2 2 2 3 2 6 2" xfId="3454"/>
    <cellStyle name="Millares 2 2 2 2 3 2 7" xfId="2174"/>
    <cellStyle name="Millares 2 2 2 2 3 3" xfId="210"/>
    <cellStyle name="Millares 2 2 2 2 3 3 2" xfId="594"/>
    <cellStyle name="Millares 2 2 2 2 3 3 2 2" xfId="1234"/>
    <cellStyle name="Millares 2 2 2 2 3 3 2 2 2" xfId="3262"/>
    <cellStyle name="Millares 2 2 2 2 3 3 2 3" xfId="1874"/>
    <cellStyle name="Millares 2 2 2 2 3 3 2 3 2" xfId="3902"/>
    <cellStyle name="Millares 2 2 2 2 3 3 2 4" xfId="2622"/>
    <cellStyle name="Millares 2 2 2 2 3 3 3" xfId="850"/>
    <cellStyle name="Millares 2 2 2 2 3 3 3 2" xfId="2878"/>
    <cellStyle name="Millares 2 2 2 2 3 3 4" xfId="1490"/>
    <cellStyle name="Millares 2 2 2 2 3 3 4 2" xfId="3518"/>
    <cellStyle name="Millares 2 2 2 2 3 3 5" xfId="2238"/>
    <cellStyle name="Millares 2 2 2 2 3 4" xfId="338"/>
    <cellStyle name="Millares 2 2 2 2 3 4 2" xfId="978"/>
    <cellStyle name="Millares 2 2 2 2 3 4 2 2" xfId="3006"/>
    <cellStyle name="Millares 2 2 2 2 3 4 3" xfId="1618"/>
    <cellStyle name="Millares 2 2 2 2 3 4 3 2" xfId="3646"/>
    <cellStyle name="Millares 2 2 2 2 3 4 4" xfId="2366"/>
    <cellStyle name="Millares 2 2 2 2 3 5" xfId="466"/>
    <cellStyle name="Millares 2 2 2 2 3 5 2" xfId="1106"/>
    <cellStyle name="Millares 2 2 2 2 3 5 2 2" xfId="3134"/>
    <cellStyle name="Millares 2 2 2 2 3 5 3" xfId="1746"/>
    <cellStyle name="Millares 2 2 2 2 3 5 3 2" xfId="3774"/>
    <cellStyle name="Millares 2 2 2 2 3 5 4" xfId="2494"/>
    <cellStyle name="Millares 2 2 2 2 3 6" xfId="722"/>
    <cellStyle name="Millares 2 2 2 2 3 6 2" xfId="2750"/>
    <cellStyle name="Millares 2 2 2 2 3 7" xfId="1362"/>
    <cellStyle name="Millares 2 2 2 2 3 7 2" xfId="3390"/>
    <cellStyle name="Millares 2 2 2 2 3 8" xfId="2002"/>
    <cellStyle name="Millares 2 2 2 2 3 8 2" xfId="4030"/>
    <cellStyle name="Millares 2 2 2 2 3 9" xfId="2110"/>
    <cellStyle name="Millares 2 2 2 2 4" xfId="114"/>
    <cellStyle name="Millares 2 2 2 2 4 2" xfId="242"/>
    <cellStyle name="Millares 2 2 2 2 4 2 2" xfId="626"/>
    <cellStyle name="Millares 2 2 2 2 4 2 2 2" xfId="1266"/>
    <cellStyle name="Millares 2 2 2 2 4 2 2 2 2" xfId="3294"/>
    <cellStyle name="Millares 2 2 2 2 4 2 2 3" xfId="1906"/>
    <cellStyle name="Millares 2 2 2 2 4 2 2 3 2" xfId="3934"/>
    <cellStyle name="Millares 2 2 2 2 4 2 2 4" xfId="2654"/>
    <cellStyle name="Millares 2 2 2 2 4 2 3" xfId="882"/>
    <cellStyle name="Millares 2 2 2 2 4 2 3 2" xfId="2910"/>
    <cellStyle name="Millares 2 2 2 2 4 2 4" xfId="1522"/>
    <cellStyle name="Millares 2 2 2 2 4 2 4 2" xfId="3550"/>
    <cellStyle name="Millares 2 2 2 2 4 2 5" xfId="2270"/>
    <cellStyle name="Millares 2 2 2 2 4 3" xfId="370"/>
    <cellStyle name="Millares 2 2 2 2 4 3 2" xfId="1010"/>
    <cellStyle name="Millares 2 2 2 2 4 3 2 2" xfId="3038"/>
    <cellStyle name="Millares 2 2 2 2 4 3 3" xfId="1650"/>
    <cellStyle name="Millares 2 2 2 2 4 3 3 2" xfId="3678"/>
    <cellStyle name="Millares 2 2 2 2 4 3 4" xfId="2398"/>
    <cellStyle name="Millares 2 2 2 2 4 4" xfId="498"/>
    <cellStyle name="Millares 2 2 2 2 4 4 2" xfId="1138"/>
    <cellStyle name="Millares 2 2 2 2 4 4 2 2" xfId="3166"/>
    <cellStyle name="Millares 2 2 2 2 4 4 3" xfId="1778"/>
    <cellStyle name="Millares 2 2 2 2 4 4 3 2" xfId="3806"/>
    <cellStyle name="Millares 2 2 2 2 4 4 4" xfId="2526"/>
    <cellStyle name="Millares 2 2 2 2 4 5" xfId="754"/>
    <cellStyle name="Millares 2 2 2 2 4 5 2" xfId="2782"/>
    <cellStyle name="Millares 2 2 2 2 4 6" xfId="1394"/>
    <cellStyle name="Millares 2 2 2 2 4 6 2" xfId="3422"/>
    <cellStyle name="Millares 2 2 2 2 4 7" xfId="2142"/>
    <cellStyle name="Millares 2 2 2 2 5" xfId="178"/>
    <cellStyle name="Millares 2 2 2 2 5 2" xfId="562"/>
    <cellStyle name="Millares 2 2 2 2 5 2 2" xfId="1202"/>
    <cellStyle name="Millares 2 2 2 2 5 2 2 2" xfId="3230"/>
    <cellStyle name="Millares 2 2 2 2 5 2 3" xfId="1842"/>
    <cellStyle name="Millares 2 2 2 2 5 2 3 2" xfId="3870"/>
    <cellStyle name="Millares 2 2 2 2 5 2 4" xfId="2590"/>
    <cellStyle name="Millares 2 2 2 2 5 3" xfId="818"/>
    <cellStyle name="Millares 2 2 2 2 5 3 2" xfId="2846"/>
    <cellStyle name="Millares 2 2 2 2 5 4" xfId="1458"/>
    <cellStyle name="Millares 2 2 2 2 5 4 2" xfId="3486"/>
    <cellStyle name="Millares 2 2 2 2 5 5" xfId="2206"/>
    <cellStyle name="Millares 2 2 2 2 6" xfId="306"/>
    <cellStyle name="Millares 2 2 2 2 6 2" xfId="946"/>
    <cellStyle name="Millares 2 2 2 2 6 2 2" xfId="2974"/>
    <cellStyle name="Millares 2 2 2 2 6 3" xfId="1586"/>
    <cellStyle name="Millares 2 2 2 2 6 3 2" xfId="3614"/>
    <cellStyle name="Millares 2 2 2 2 6 4" xfId="2334"/>
    <cellStyle name="Millares 2 2 2 2 7" xfId="434"/>
    <cellStyle name="Millares 2 2 2 2 7 2" xfId="1074"/>
    <cellStyle name="Millares 2 2 2 2 7 2 2" xfId="3102"/>
    <cellStyle name="Millares 2 2 2 2 7 3" xfId="1714"/>
    <cellStyle name="Millares 2 2 2 2 7 3 2" xfId="3742"/>
    <cellStyle name="Millares 2 2 2 2 7 4" xfId="2462"/>
    <cellStyle name="Millares 2 2 2 2 8" xfId="690"/>
    <cellStyle name="Millares 2 2 2 2 8 2" xfId="2718"/>
    <cellStyle name="Millares 2 2 2 2 9" xfId="1330"/>
    <cellStyle name="Millares 2 2 2 2 9 2" xfId="3358"/>
    <cellStyle name="Millares 2 2 2 3" xfId="58"/>
    <cellStyle name="Millares 2 2 2 3 10" xfId="2086"/>
    <cellStyle name="Millares 2 2 2 3 2" xfId="90"/>
    <cellStyle name="Millares 2 2 2 3 2 2" xfId="154"/>
    <cellStyle name="Millares 2 2 2 3 2 2 2" xfId="282"/>
    <cellStyle name="Millares 2 2 2 3 2 2 2 2" xfId="666"/>
    <cellStyle name="Millares 2 2 2 3 2 2 2 2 2" xfId="1306"/>
    <cellStyle name="Millares 2 2 2 3 2 2 2 2 2 2" xfId="3334"/>
    <cellStyle name="Millares 2 2 2 3 2 2 2 2 3" xfId="1946"/>
    <cellStyle name="Millares 2 2 2 3 2 2 2 2 3 2" xfId="3974"/>
    <cellStyle name="Millares 2 2 2 3 2 2 2 2 4" xfId="2694"/>
    <cellStyle name="Millares 2 2 2 3 2 2 2 3" xfId="922"/>
    <cellStyle name="Millares 2 2 2 3 2 2 2 3 2" xfId="2950"/>
    <cellStyle name="Millares 2 2 2 3 2 2 2 4" xfId="1562"/>
    <cellStyle name="Millares 2 2 2 3 2 2 2 4 2" xfId="3590"/>
    <cellStyle name="Millares 2 2 2 3 2 2 2 5" xfId="2310"/>
    <cellStyle name="Millares 2 2 2 3 2 2 3" xfId="410"/>
    <cellStyle name="Millares 2 2 2 3 2 2 3 2" xfId="1050"/>
    <cellStyle name="Millares 2 2 2 3 2 2 3 2 2" xfId="3078"/>
    <cellStyle name="Millares 2 2 2 3 2 2 3 3" xfId="1690"/>
    <cellStyle name="Millares 2 2 2 3 2 2 3 3 2" xfId="3718"/>
    <cellStyle name="Millares 2 2 2 3 2 2 3 4" xfId="2438"/>
    <cellStyle name="Millares 2 2 2 3 2 2 4" xfId="538"/>
    <cellStyle name="Millares 2 2 2 3 2 2 4 2" xfId="1178"/>
    <cellStyle name="Millares 2 2 2 3 2 2 4 2 2" xfId="3206"/>
    <cellStyle name="Millares 2 2 2 3 2 2 4 3" xfId="1818"/>
    <cellStyle name="Millares 2 2 2 3 2 2 4 3 2" xfId="3846"/>
    <cellStyle name="Millares 2 2 2 3 2 2 4 4" xfId="2566"/>
    <cellStyle name="Millares 2 2 2 3 2 2 5" xfId="794"/>
    <cellStyle name="Millares 2 2 2 3 2 2 5 2" xfId="2822"/>
    <cellStyle name="Millares 2 2 2 3 2 2 6" xfId="1434"/>
    <cellStyle name="Millares 2 2 2 3 2 2 6 2" xfId="3462"/>
    <cellStyle name="Millares 2 2 2 3 2 2 7" xfId="2182"/>
    <cellStyle name="Millares 2 2 2 3 2 3" xfId="218"/>
    <cellStyle name="Millares 2 2 2 3 2 3 2" xfId="602"/>
    <cellStyle name="Millares 2 2 2 3 2 3 2 2" xfId="1242"/>
    <cellStyle name="Millares 2 2 2 3 2 3 2 2 2" xfId="3270"/>
    <cellStyle name="Millares 2 2 2 3 2 3 2 3" xfId="1882"/>
    <cellStyle name="Millares 2 2 2 3 2 3 2 3 2" xfId="3910"/>
    <cellStyle name="Millares 2 2 2 3 2 3 2 4" xfId="2630"/>
    <cellStyle name="Millares 2 2 2 3 2 3 3" xfId="858"/>
    <cellStyle name="Millares 2 2 2 3 2 3 3 2" xfId="2886"/>
    <cellStyle name="Millares 2 2 2 3 2 3 4" xfId="1498"/>
    <cellStyle name="Millares 2 2 2 3 2 3 4 2" xfId="3526"/>
    <cellStyle name="Millares 2 2 2 3 2 3 5" xfId="2246"/>
    <cellStyle name="Millares 2 2 2 3 2 4" xfId="346"/>
    <cellStyle name="Millares 2 2 2 3 2 4 2" xfId="986"/>
    <cellStyle name="Millares 2 2 2 3 2 4 2 2" xfId="3014"/>
    <cellStyle name="Millares 2 2 2 3 2 4 3" xfId="1626"/>
    <cellStyle name="Millares 2 2 2 3 2 4 3 2" xfId="3654"/>
    <cellStyle name="Millares 2 2 2 3 2 4 4" xfId="2374"/>
    <cellStyle name="Millares 2 2 2 3 2 5" xfId="474"/>
    <cellStyle name="Millares 2 2 2 3 2 5 2" xfId="1114"/>
    <cellStyle name="Millares 2 2 2 3 2 5 2 2" xfId="3142"/>
    <cellStyle name="Millares 2 2 2 3 2 5 3" xfId="1754"/>
    <cellStyle name="Millares 2 2 2 3 2 5 3 2" xfId="3782"/>
    <cellStyle name="Millares 2 2 2 3 2 5 4" xfId="2502"/>
    <cellStyle name="Millares 2 2 2 3 2 6" xfId="730"/>
    <cellStyle name="Millares 2 2 2 3 2 6 2" xfId="2758"/>
    <cellStyle name="Millares 2 2 2 3 2 7" xfId="1370"/>
    <cellStyle name="Millares 2 2 2 3 2 7 2" xfId="3398"/>
    <cellStyle name="Millares 2 2 2 3 2 8" xfId="2010"/>
    <cellStyle name="Millares 2 2 2 3 2 8 2" xfId="4038"/>
    <cellStyle name="Millares 2 2 2 3 2 9" xfId="2118"/>
    <cellStyle name="Millares 2 2 2 3 3" xfId="122"/>
    <cellStyle name="Millares 2 2 2 3 3 2" xfId="250"/>
    <cellStyle name="Millares 2 2 2 3 3 2 2" xfId="634"/>
    <cellStyle name="Millares 2 2 2 3 3 2 2 2" xfId="1274"/>
    <cellStyle name="Millares 2 2 2 3 3 2 2 2 2" xfId="3302"/>
    <cellStyle name="Millares 2 2 2 3 3 2 2 3" xfId="1914"/>
    <cellStyle name="Millares 2 2 2 3 3 2 2 3 2" xfId="3942"/>
    <cellStyle name="Millares 2 2 2 3 3 2 2 4" xfId="2662"/>
    <cellStyle name="Millares 2 2 2 3 3 2 3" xfId="890"/>
    <cellStyle name="Millares 2 2 2 3 3 2 3 2" xfId="2918"/>
    <cellStyle name="Millares 2 2 2 3 3 2 4" xfId="1530"/>
    <cellStyle name="Millares 2 2 2 3 3 2 4 2" xfId="3558"/>
    <cellStyle name="Millares 2 2 2 3 3 2 5" xfId="2278"/>
    <cellStyle name="Millares 2 2 2 3 3 3" xfId="378"/>
    <cellStyle name="Millares 2 2 2 3 3 3 2" xfId="1018"/>
    <cellStyle name="Millares 2 2 2 3 3 3 2 2" xfId="3046"/>
    <cellStyle name="Millares 2 2 2 3 3 3 3" xfId="1658"/>
    <cellStyle name="Millares 2 2 2 3 3 3 3 2" xfId="3686"/>
    <cellStyle name="Millares 2 2 2 3 3 3 4" xfId="2406"/>
    <cellStyle name="Millares 2 2 2 3 3 4" xfId="506"/>
    <cellStyle name="Millares 2 2 2 3 3 4 2" xfId="1146"/>
    <cellStyle name="Millares 2 2 2 3 3 4 2 2" xfId="3174"/>
    <cellStyle name="Millares 2 2 2 3 3 4 3" xfId="1786"/>
    <cellStyle name="Millares 2 2 2 3 3 4 3 2" xfId="3814"/>
    <cellStyle name="Millares 2 2 2 3 3 4 4" xfId="2534"/>
    <cellStyle name="Millares 2 2 2 3 3 5" xfId="762"/>
    <cellStyle name="Millares 2 2 2 3 3 5 2" xfId="2790"/>
    <cellStyle name="Millares 2 2 2 3 3 6" xfId="1402"/>
    <cellStyle name="Millares 2 2 2 3 3 6 2" xfId="3430"/>
    <cellStyle name="Millares 2 2 2 3 3 7" xfId="2150"/>
    <cellStyle name="Millares 2 2 2 3 4" xfId="186"/>
    <cellStyle name="Millares 2 2 2 3 4 2" xfId="570"/>
    <cellStyle name="Millares 2 2 2 3 4 2 2" xfId="1210"/>
    <cellStyle name="Millares 2 2 2 3 4 2 2 2" xfId="3238"/>
    <cellStyle name="Millares 2 2 2 3 4 2 3" xfId="1850"/>
    <cellStyle name="Millares 2 2 2 3 4 2 3 2" xfId="3878"/>
    <cellStyle name="Millares 2 2 2 3 4 2 4" xfId="2598"/>
    <cellStyle name="Millares 2 2 2 3 4 3" xfId="826"/>
    <cellStyle name="Millares 2 2 2 3 4 3 2" xfId="2854"/>
    <cellStyle name="Millares 2 2 2 3 4 4" xfId="1466"/>
    <cellStyle name="Millares 2 2 2 3 4 4 2" xfId="3494"/>
    <cellStyle name="Millares 2 2 2 3 4 5" xfId="2214"/>
    <cellStyle name="Millares 2 2 2 3 5" xfId="314"/>
    <cellStyle name="Millares 2 2 2 3 5 2" xfId="954"/>
    <cellStyle name="Millares 2 2 2 3 5 2 2" xfId="2982"/>
    <cellStyle name="Millares 2 2 2 3 5 3" xfId="1594"/>
    <cellStyle name="Millares 2 2 2 3 5 3 2" xfId="3622"/>
    <cellStyle name="Millares 2 2 2 3 5 4" xfId="2342"/>
    <cellStyle name="Millares 2 2 2 3 6" xfId="442"/>
    <cellStyle name="Millares 2 2 2 3 6 2" xfId="1082"/>
    <cellStyle name="Millares 2 2 2 3 6 2 2" xfId="3110"/>
    <cellStyle name="Millares 2 2 2 3 6 3" xfId="1722"/>
    <cellStyle name="Millares 2 2 2 3 6 3 2" xfId="3750"/>
    <cellStyle name="Millares 2 2 2 3 6 4" xfId="2470"/>
    <cellStyle name="Millares 2 2 2 3 7" xfId="698"/>
    <cellStyle name="Millares 2 2 2 3 7 2" xfId="2726"/>
    <cellStyle name="Millares 2 2 2 3 8" xfId="1338"/>
    <cellStyle name="Millares 2 2 2 3 8 2" xfId="3366"/>
    <cellStyle name="Millares 2 2 2 3 9" xfId="1978"/>
    <cellStyle name="Millares 2 2 2 3 9 2" xfId="4006"/>
    <cellStyle name="Millares 2 2 2 4" xfId="74"/>
    <cellStyle name="Millares 2 2 2 4 2" xfId="138"/>
    <cellStyle name="Millares 2 2 2 4 2 2" xfId="266"/>
    <cellStyle name="Millares 2 2 2 4 2 2 2" xfId="650"/>
    <cellStyle name="Millares 2 2 2 4 2 2 2 2" xfId="1290"/>
    <cellStyle name="Millares 2 2 2 4 2 2 2 2 2" xfId="3318"/>
    <cellStyle name="Millares 2 2 2 4 2 2 2 3" xfId="1930"/>
    <cellStyle name="Millares 2 2 2 4 2 2 2 3 2" xfId="3958"/>
    <cellStyle name="Millares 2 2 2 4 2 2 2 4" xfId="2678"/>
    <cellStyle name="Millares 2 2 2 4 2 2 3" xfId="906"/>
    <cellStyle name="Millares 2 2 2 4 2 2 3 2" xfId="2934"/>
    <cellStyle name="Millares 2 2 2 4 2 2 4" xfId="1546"/>
    <cellStyle name="Millares 2 2 2 4 2 2 4 2" xfId="3574"/>
    <cellStyle name="Millares 2 2 2 4 2 2 5" xfId="2294"/>
    <cellStyle name="Millares 2 2 2 4 2 3" xfId="394"/>
    <cellStyle name="Millares 2 2 2 4 2 3 2" xfId="1034"/>
    <cellStyle name="Millares 2 2 2 4 2 3 2 2" xfId="3062"/>
    <cellStyle name="Millares 2 2 2 4 2 3 3" xfId="1674"/>
    <cellStyle name="Millares 2 2 2 4 2 3 3 2" xfId="3702"/>
    <cellStyle name="Millares 2 2 2 4 2 3 4" xfId="2422"/>
    <cellStyle name="Millares 2 2 2 4 2 4" xfId="522"/>
    <cellStyle name="Millares 2 2 2 4 2 4 2" xfId="1162"/>
    <cellStyle name="Millares 2 2 2 4 2 4 2 2" xfId="3190"/>
    <cellStyle name="Millares 2 2 2 4 2 4 3" xfId="1802"/>
    <cellStyle name="Millares 2 2 2 4 2 4 3 2" xfId="3830"/>
    <cellStyle name="Millares 2 2 2 4 2 4 4" xfId="2550"/>
    <cellStyle name="Millares 2 2 2 4 2 5" xfId="778"/>
    <cellStyle name="Millares 2 2 2 4 2 5 2" xfId="2806"/>
    <cellStyle name="Millares 2 2 2 4 2 6" xfId="1418"/>
    <cellStyle name="Millares 2 2 2 4 2 6 2" xfId="3446"/>
    <cellStyle name="Millares 2 2 2 4 2 7" xfId="2166"/>
    <cellStyle name="Millares 2 2 2 4 3" xfId="202"/>
    <cellStyle name="Millares 2 2 2 4 3 2" xfId="586"/>
    <cellStyle name="Millares 2 2 2 4 3 2 2" xfId="1226"/>
    <cellStyle name="Millares 2 2 2 4 3 2 2 2" xfId="3254"/>
    <cellStyle name="Millares 2 2 2 4 3 2 3" xfId="1866"/>
    <cellStyle name="Millares 2 2 2 4 3 2 3 2" xfId="3894"/>
    <cellStyle name="Millares 2 2 2 4 3 2 4" xfId="2614"/>
    <cellStyle name="Millares 2 2 2 4 3 3" xfId="842"/>
    <cellStyle name="Millares 2 2 2 4 3 3 2" xfId="2870"/>
    <cellStyle name="Millares 2 2 2 4 3 4" xfId="1482"/>
    <cellStyle name="Millares 2 2 2 4 3 4 2" xfId="3510"/>
    <cellStyle name="Millares 2 2 2 4 3 5" xfId="2230"/>
    <cellStyle name="Millares 2 2 2 4 4" xfId="330"/>
    <cellStyle name="Millares 2 2 2 4 4 2" xfId="970"/>
    <cellStyle name="Millares 2 2 2 4 4 2 2" xfId="2998"/>
    <cellStyle name="Millares 2 2 2 4 4 3" xfId="1610"/>
    <cellStyle name="Millares 2 2 2 4 4 3 2" xfId="3638"/>
    <cellStyle name="Millares 2 2 2 4 4 4" xfId="2358"/>
    <cellStyle name="Millares 2 2 2 4 5" xfId="458"/>
    <cellStyle name="Millares 2 2 2 4 5 2" xfId="1098"/>
    <cellStyle name="Millares 2 2 2 4 5 2 2" xfId="3126"/>
    <cellStyle name="Millares 2 2 2 4 5 3" xfId="1738"/>
    <cellStyle name="Millares 2 2 2 4 5 3 2" xfId="3766"/>
    <cellStyle name="Millares 2 2 2 4 5 4" xfId="2486"/>
    <cellStyle name="Millares 2 2 2 4 6" xfId="714"/>
    <cellStyle name="Millares 2 2 2 4 6 2" xfId="2742"/>
    <cellStyle name="Millares 2 2 2 4 7" xfId="1354"/>
    <cellStyle name="Millares 2 2 2 4 7 2" xfId="3382"/>
    <cellStyle name="Millares 2 2 2 4 8" xfId="1994"/>
    <cellStyle name="Millares 2 2 2 4 8 2" xfId="4022"/>
    <cellStyle name="Millares 2 2 2 4 9" xfId="2102"/>
    <cellStyle name="Millares 2 2 2 5" xfId="106"/>
    <cellStyle name="Millares 2 2 2 5 2" xfId="234"/>
    <cellStyle name="Millares 2 2 2 5 2 2" xfId="618"/>
    <cellStyle name="Millares 2 2 2 5 2 2 2" xfId="1258"/>
    <cellStyle name="Millares 2 2 2 5 2 2 2 2" xfId="3286"/>
    <cellStyle name="Millares 2 2 2 5 2 2 3" xfId="1898"/>
    <cellStyle name="Millares 2 2 2 5 2 2 3 2" xfId="3926"/>
    <cellStyle name="Millares 2 2 2 5 2 2 4" xfId="2646"/>
    <cellStyle name="Millares 2 2 2 5 2 3" xfId="874"/>
    <cellStyle name="Millares 2 2 2 5 2 3 2" xfId="2902"/>
    <cellStyle name="Millares 2 2 2 5 2 4" xfId="1514"/>
    <cellStyle name="Millares 2 2 2 5 2 4 2" xfId="3542"/>
    <cellStyle name="Millares 2 2 2 5 2 5" xfId="2262"/>
    <cellStyle name="Millares 2 2 2 5 3" xfId="362"/>
    <cellStyle name="Millares 2 2 2 5 3 2" xfId="1002"/>
    <cellStyle name="Millares 2 2 2 5 3 2 2" xfId="3030"/>
    <cellStyle name="Millares 2 2 2 5 3 3" xfId="1642"/>
    <cellStyle name="Millares 2 2 2 5 3 3 2" xfId="3670"/>
    <cellStyle name="Millares 2 2 2 5 3 4" xfId="2390"/>
    <cellStyle name="Millares 2 2 2 5 4" xfId="490"/>
    <cellStyle name="Millares 2 2 2 5 4 2" xfId="1130"/>
    <cellStyle name="Millares 2 2 2 5 4 2 2" xfId="3158"/>
    <cellStyle name="Millares 2 2 2 5 4 3" xfId="1770"/>
    <cellStyle name="Millares 2 2 2 5 4 3 2" xfId="3798"/>
    <cellStyle name="Millares 2 2 2 5 4 4" xfId="2518"/>
    <cellStyle name="Millares 2 2 2 5 5" xfId="746"/>
    <cellStyle name="Millares 2 2 2 5 5 2" xfId="2774"/>
    <cellStyle name="Millares 2 2 2 5 6" xfId="1386"/>
    <cellStyle name="Millares 2 2 2 5 6 2" xfId="3414"/>
    <cellStyle name="Millares 2 2 2 5 7" xfId="2134"/>
    <cellStyle name="Millares 2 2 2 6" xfId="170"/>
    <cellStyle name="Millares 2 2 2 6 2" xfId="554"/>
    <cellStyle name="Millares 2 2 2 6 2 2" xfId="1194"/>
    <cellStyle name="Millares 2 2 2 6 2 2 2" xfId="3222"/>
    <cellStyle name="Millares 2 2 2 6 2 3" xfId="1834"/>
    <cellStyle name="Millares 2 2 2 6 2 3 2" xfId="3862"/>
    <cellStyle name="Millares 2 2 2 6 2 4" xfId="2582"/>
    <cellStyle name="Millares 2 2 2 6 3" xfId="810"/>
    <cellStyle name="Millares 2 2 2 6 3 2" xfId="2838"/>
    <cellStyle name="Millares 2 2 2 6 4" xfId="1450"/>
    <cellStyle name="Millares 2 2 2 6 4 2" xfId="3478"/>
    <cellStyle name="Millares 2 2 2 6 5" xfId="2198"/>
    <cellStyle name="Millares 2 2 2 7" xfId="298"/>
    <cellStyle name="Millares 2 2 2 7 2" xfId="938"/>
    <cellStyle name="Millares 2 2 2 7 2 2" xfId="2966"/>
    <cellStyle name="Millares 2 2 2 7 3" xfId="1578"/>
    <cellStyle name="Millares 2 2 2 7 3 2" xfId="3606"/>
    <cellStyle name="Millares 2 2 2 7 4" xfId="2326"/>
    <cellStyle name="Millares 2 2 2 8" xfId="426"/>
    <cellStyle name="Millares 2 2 2 8 2" xfId="1066"/>
    <cellStyle name="Millares 2 2 2 8 2 2" xfId="3094"/>
    <cellStyle name="Millares 2 2 2 8 3" xfId="1706"/>
    <cellStyle name="Millares 2 2 2 8 3 2" xfId="3734"/>
    <cellStyle name="Millares 2 2 2 8 4" xfId="2454"/>
    <cellStyle name="Millares 2 2 2 9" xfId="682"/>
    <cellStyle name="Millares 2 2 2 9 2" xfId="2710"/>
    <cellStyle name="Millares 2 2 3" xfId="46"/>
    <cellStyle name="Millares 2 2 3 10" xfId="1966"/>
    <cellStyle name="Millares 2 2 3 10 2" xfId="3994"/>
    <cellStyle name="Millares 2 2 3 11" xfId="2074"/>
    <cellStyle name="Millares 2 2 3 2" xfId="62"/>
    <cellStyle name="Millares 2 2 3 2 10" xfId="2090"/>
    <cellStyle name="Millares 2 2 3 2 2" xfId="94"/>
    <cellStyle name="Millares 2 2 3 2 2 2" xfId="158"/>
    <cellStyle name="Millares 2 2 3 2 2 2 2" xfId="286"/>
    <cellStyle name="Millares 2 2 3 2 2 2 2 2" xfId="670"/>
    <cellStyle name="Millares 2 2 3 2 2 2 2 2 2" xfId="1310"/>
    <cellStyle name="Millares 2 2 3 2 2 2 2 2 2 2" xfId="3338"/>
    <cellStyle name="Millares 2 2 3 2 2 2 2 2 3" xfId="1950"/>
    <cellStyle name="Millares 2 2 3 2 2 2 2 2 3 2" xfId="3978"/>
    <cellStyle name="Millares 2 2 3 2 2 2 2 2 4" xfId="2698"/>
    <cellStyle name="Millares 2 2 3 2 2 2 2 3" xfId="926"/>
    <cellStyle name="Millares 2 2 3 2 2 2 2 3 2" xfId="2954"/>
    <cellStyle name="Millares 2 2 3 2 2 2 2 4" xfId="1566"/>
    <cellStyle name="Millares 2 2 3 2 2 2 2 4 2" xfId="3594"/>
    <cellStyle name="Millares 2 2 3 2 2 2 2 5" xfId="2314"/>
    <cellStyle name="Millares 2 2 3 2 2 2 3" xfId="414"/>
    <cellStyle name="Millares 2 2 3 2 2 2 3 2" xfId="1054"/>
    <cellStyle name="Millares 2 2 3 2 2 2 3 2 2" xfId="3082"/>
    <cellStyle name="Millares 2 2 3 2 2 2 3 3" xfId="1694"/>
    <cellStyle name="Millares 2 2 3 2 2 2 3 3 2" xfId="3722"/>
    <cellStyle name="Millares 2 2 3 2 2 2 3 4" xfId="2442"/>
    <cellStyle name="Millares 2 2 3 2 2 2 4" xfId="542"/>
    <cellStyle name="Millares 2 2 3 2 2 2 4 2" xfId="1182"/>
    <cellStyle name="Millares 2 2 3 2 2 2 4 2 2" xfId="3210"/>
    <cellStyle name="Millares 2 2 3 2 2 2 4 3" xfId="1822"/>
    <cellStyle name="Millares 2 2 3 2 2 2 4 3 2" xfId="3850"/>
    <cellStyle name="Millares 2 2 3 2 2 2 4 4" xfId="2570"/>
    <cellStyle name="Millares 2 2 3 2 2 2 5" xfId="798"/>
    <cellStyle name="Millares 2 2 3 2 2 2 5 2" xfId="2826"/>
    <cellStyle name="Millares 2 2 3 2 2 2 6" xfId="1438"/>
    <cellStyle name="Millares 2 2 3 2 2 2 6 2" xfId="3466"/>
    <cellStyle name="Millares 2 2 3 2 2 2 7" xfId="2186"/>
    <cellStyle name="Millares 2 2 3 2 2 3" xfId="222"/>
    <cellStyle name="Millares 2 2 3 2 2 3 2" xfId="606"/>
    <cellStyle name="Millares 2 2 3 2 2 3 2 2" xfId="1246"/>
    <cellStyle name="Millares 2 2 3 2 2 3 2 2 2" xfId="3274"/>
    <cellStyle name="Millares 2 2 3 2 2 3 2 3" xfId="1886"/>
    <cellStyle name="Millares 2 2 3 2 2 3 2 3 2" xfId="3914"/>
    <cellStyle name="Millares 2 2 3 2 2 3 2 4" xfId="2634"/>
    <cellStyle name="Millares 2 2 3 2 2 3 3" xfId="862"/>
    <cellStyle name="Millares 2 2 3 2 2 3 3 2" xfId="2890"/>
    <cellStyle name="Millares 2 2 3 2 2 3 4" xfId="1502"/>
    <cellStyle name="Millares 2 2 3 2 2 3 4 2" xfId="3530"/>
    <cellStyle name="Millares 2 2 3 2 2 3 5" xfId="2250"/>
    <cellStyle name="Millares 2 2 3 2 2 4" xfId="350"/>
    <cellStyle name="Millares 2 2 3 2 2 4 2" xfId="990"/>
    <cellStyle name="Millares 2 2 3 2 2 4 2 2" xfId="3018"/>
    <cellStyle name="Millares 2 2 3 2 2 4 3" xfId="1630"/>
    <cellStyle name="Millares 2 2 3 2 2 4 3 2" xfId="3658"/>
    <cellStyle name="Millares 2 2 3 2 2 4 4" xfId="2378"/>
    <cellStyle name="Millares 2 2 3 2 2 5" xfId="478"/>
    <cellStyle name="Millares 2 2 3 2 2 5 2" xfId="1118"/>
    <cellStyle name="Millares 2 2 3 2 2 5 2 2" xfId="3146"/>
    <cellStyle name="Millares 2 2 3 2 2 5 3" xfId="1758"/>
    <cellStyle name="Millares 2 2 3 2 2 5 3 2" xfId="3786"/>
    <cellStyle name="Millares 2 2 3 2 2 5 4" xfId="2506"/>
    <cellStyle name="Millares 2 2 3 2 2 6" xfId="734"/>
    <cellStyle name="Millares 2 2 3 2 2 6 2" xfId="2762"/>
    <cellStyle name="Millares 2 2 3 2 2 7" xfId="1374"/>
    <cellStyle name="Millares 2 2 3 2 2 7 2" xfId="3402"/>
    <cellStyle name="Millares 2 2 3 2 2 8" xfId="2014"/>
    <cellStyle name="Millares 2 2 3 2 2 8 2" xfId="4042"/>
    <cellStyle name="Millares 2 2 3 2 2 9" xfId="2122"/>
    <cellStyle name="Millares 2 2 3 2 3" xfId="126"/>
    <cellStyle name="Millares 2 2 3 2 3 2" xfId="254"/>
    <cellStyle name="Millares 2 2 3 2 3 2 2" xfId="638"/>
    <cellStyle name="Millares 2 2 3 2 3 2 2 2" xfId="1278"/>
    <cellStyle name="Millares 2 2 3 2 3 2 2 2 2" xfId="3306"/>
    <cellStyle name="Millares 2 2 3 2 3 2 2 3" xfId="1918"/>
    <cellStyle name="Millares 2 2 3 2 3 2 2 3 2" xfId="3946"/>
    <cellStyle name="Millares 2 2 3 2 3 2 2 4" xfId="2666"/>
    <cellStyle name="Millares 2 2 3 2 3 2 3" xfId="894"/>
    <cellStyle name="Millares 2 2 3 2 3 2 3 2" xfId="2922"/>
    <cellStyle name="Millares 2 2 3 2 3 2 4" xfId="1534"/>
    <cellStyle name="Millares 2 2 3 2 3 2 4 2" xfId="3562"/>
    <cellStyle name="Millares 2 2 3 2 3 2 5" xfId="2282"/>
    <cellStyle name="Millares 2 2 3 2 3 3" xfId="382"/>
    <cellStyle name="Millares 2 2 3 2 3 3 2" xfId="1022"/>
    <cellStyle name="Millares 2 2 3 2 3 3 2 2" xfId="3050"/>
    <cellStyle name="Millares 2 2 3 2 3 3 3" xfId="1662"/>
    <cellStyle name="Millares 2 2 3 2 3 3 3 2" xfId="3690"/>
    <cellStyle name="Millares 2 2 3 2 3 3 4" xfId="2410"/>
    <cellStyle name="Millares 2 2 3 2 3 4" xfId="510"/>
    <cellStyle name="Millares 2 2 3 2 3 4 2" xfId="1150"/>
    <cellStyle name="Millares 2 2 3 2 3 4 2 2" xfId="3178"/>
    <cellStyle name="Millares 2 2 3 2 3 4 3" xfId="1790"/>
    <cellStyle name="Millares 2 2 3 2 3 4 3 2" xfId="3818"/>
    <cellStyle name="Millares 2 2 3 2 3 4 4" xfId="2538"/>
    <cellStyle name="Millares 2 2 3 2 3 5" xfId="766"/>
    <cellStyle name="Millares 2 2 3 2 3 5 2" xfId="2794"/>
    <cellStyle name="Millares 2 2 3 2 3 6" xfId="1406"/>
    <cellStyle name="Millares 2 2 3 2 3 6 2" xfId="3434"/>
    <cellStyle name="Millares 2 2 3 2 3 7" xfId="2154"/>
    <cellStyle name="Millares 2 2 3 2 4" xfId="190"/>
    <cellStyle name="Millares 2 2 3 2 4 2" xfId="574"/>
    <cellStyle name="Millares 2 2 3 2 4 2 2" xfId="1214"/>
    <cellStyle name="Millares 2 2 3 2 4 2 2 2" xfId="3242"/>
    <cellStyle name="Millares 2 2 3 2 4 2 3" xfId="1854"/>
    <cellStyle name="Millares 2 2 3 2 4 2 3 2" xfId="3882"/>
    <cellStyle name="Millares 2 2 3 2 4 2 4" xfId="2602"/>
    <cellStyle name="Millares 2 2 3 2 4 3" xfId="830"/>
    <cellStyle name="Millares 2 2 3 2 4 3 2" xfId="2858"/>
    <cellStyle name="Millares 2 2 3 2 4 4" xfId="1470"/>
    <cellStyle name="Millares 2 2 3 2 4 4 2" xfId="3498"/>
    <cellStyle name="Millares 2 2 3 2 4 5" xfId="2218"/>
    <cellStyle name="Millares 2 2 3 2 5" xfId="318"/>
    <cellStyle name="Millares 2 2 3 2 5 2" xfId="958"/>
    <cellStyle name="Millares 2 2 3 2 5 2 2" xfId="2986"/>
    <cellStyle name="Millares 2 2 3 2 5 3" xfId="1598"/>
    <cellStyle name="Millares 2 2 3 2 5 3 2" xfId="3626"/>
    <cellStyle name="Millares 2 2 3 2 5 4" xfId="2346"/>
    <cellStyle name="Millares 2 2 3 2 6" xfId="446"/>
    <cellStyle name="Millares 2 2 3 2 6 2" xfId="1086"/>
    <cellStyle name="Millares 2 2 3 2 6 2 2" xfId="3114"/>
    <cellStyle name="Millares 2 2 3 2 6 3" xfId="1726"/>
    <cellStyle name="Millares 2 2 3 2 6 3 2" xfId="3754"/>
    <cellStyle name="Millares 2 2 3 2 6 4" xfId="2474"/>
    <cellStyle name="Millares 2 2 3 2 7" xfId="702"/>
    <cellStyle name="Millares 2 2 3 2 7 2" xfId="2730"/>
    <cellStyle name="Millares 2 2 3 2 8" xfId="1342"/>
    <cellStyle name="Millares 2 2 3 2 8 2" xfId="3370"/>
    <cellStyle name="Millares 2 2 3 2 9" xfId="1982"/>
    <cellStyle name="Millares 2 2 3 2 9 2" xfId="4010"/>
    <cellStyle name="Millares 2 2 3 3" xfId="78"/>
    <cellStyle name="Millares 2 2 3 3 2" xfId="142"/>
    <cellStyle name="Millares 2 2 3 3 2 2" xfId="270"/>
    <cellStyle name="Millares 2 2 3 3 2 2 2" xfId="654"/>
    <cellStyle name="Millares 2 2 3 3 2 2 2 2" xfId="1294"/>
    <cellStyle name="Millares 2 2 3 3 2 2 2 2 2" xfId="3322"/>
    <cellStyle name="Millares 2 2 3 3 2 2 2 3" xfId="1934"/>
    <cellStyle name="Millares 2 2 3 3 2 2 2 3 2" xfId="3962"/>
    <cellStyle name="Millares 2 2 3 3 2 2 2 4" xfId="2682"/>
    <cellStyle name="Millares 2 2 3 3 2 2 3" xfId="910"/>
    <cellStyle name="Millares 2 2 3 3 2 2 3 2" xfId="2938"/>
    <cellStyle name="Millares 2 2 3 3 2 2 4" xfId="1550"/>
    <cellStyle name="Millares 2 2 3 3 2 2 4 2" xfId="3578"/>
    <cellStyle name="Millares 2 2 3 3 2 2 5" xfId="2298"/>
    <cellStyle name="Millares 2 2 3 3 2 3" xfId="398"/>
    <cellStyle name="Millares 2 2 3 3 2 3 2" xfId="1038"/>
    <cellStyle name="Millares 2 2 3 3 2 3 2 2" xfId="3066"/>
    <cellStyle name="Millares 2 2 3 3 2 3 3" xfId="1678"/>
    <cellStyle name="Millares 2 2 3 3 2 3 3 2" xfId="3706"/>
    <cellStyle name="Millares 2 2 3 3 2 3 4" xfId="2426"/>
    <cellStyle name="Millares 2 2 3 3 2 4" xfId="526"/>
    <cellStyle name="Millares 2 2 3 3 2 4 2" xfId="1166"/>
    <cellStyle name="Millares 2 2 3 3 2 4 2 2" xfId="3194"/>
    <cellStyle name="Millares 2 2 3 3 2 4 3" xfId="1806"/>
    <cellStyle name="Millares 2 2 3 3 2 4 3 2" xfId="3834"/>
    <cellStyle name="Millares 2 2 3 3 2 4 4" xfId="2554"/>
    <cellStyle name="Millares 2 2 3 3 2 5" xfId="782"/>
    <cellStyle name="Millares 2 2 3 3 2 5 2" xfId="2810"/>
    <cellStyle name="Millares 2 2 3 3 2 6" xfId="1422"/>
    <cellStyle name="Millares 2 2 3 3 2 6 2" xfId="3450"/>
    <cellStyle name="Millares 2 2 3 3 2 7" xfId="2170"/>
    <cellStyle name="Millares 2 2 3 3 3" xfId="206"/>
    <cellStyle name="Millares 2 2 3 3 3 2" xfId="590"/>
    <cellStyle name="Millares 2 2 3 3 3 2 2" xfId="1230"/>
    <cellStyle name="Millares 2 2 3 3 3 2 2 2" xfId="3258"/>
    <cellStyle name="Millares 2 2 3 3 3 2 3" xfId="1870"/>
    <cellStyle name="Millares 2 2 3 3 3 2 3 2" xfId="3898"/>
    <cellStyle name="Millares 2 2 3 3 3 2 4" xfId="2618"/>
    <cellStyle name="Millares 2 2 3 3 3 3" xfId="846"/>
    <cellStyle name="Millares 2 2 3 3 3 3 2" xfId="2874"/>
    <cellStyle name="Millares 2 2 3 3 3 4" xfId="1486"/>
    <cellStyle name="Millares 2 2 3 3 3 4 2" xfId="3514"/>
    <cellStyle name="Millares 2 2 3 3 3 5" xfId="2234"/>
    <cellStyle name="Millares 2 2 3 3 4" xfId="334"/>
    <cellStyle name="Millares 2 2 3 3 4 2" xfId="974"/>
    <cellStyle name="Millares 2 2 3 3 4 2 2" xfId="3002"/>
    <cellStyle name="Millares 2 2 3 3 4 3" xfId="1614"/>
    <cellStyle name="Millares 2 2 3 3 4 3 2" xfId="3642"/>
    <cellStyle name="Millares 2 2 3 3 4 4" xfId="2362"/>
    <cellStyle name="Millares 2 2 3 3 5" xfId="462"/>
    <cellStyle name="Millares 2 2 3 3 5 2" xfId="1102"/>
    <cellStyle name="Millares 2 2 3 3 5 2 2" xfId="3130"/>
    <cellStyle name="Millares 2 2 3 3 5 3" xfId="1742"/>
    <cellStyle name="Millares 2 2 3 3 5 3 2" xfId="3770"/>
    <cellStyle name="Millares 2 2 3 3 5 4" xfId="2490"/>
    <cellStyle name="Millares 2 2 3 3 6" xfId="718"/>
    <cellStyle name="Millares 2 2 3 3 6 2" xfId="2746"/>
    <cellStyle name="Millares 2 2 3 3 7" xfId="1358"/>
    <cellStyle name="Millares 2 2 3 3 7 2" xfId="3386"/>
    <cellStyle name="Millares 2 2 3 3 8" xfId="1998"/>
    <cellStyle name="Millares 2 2 3 3 8 2" xfId="4026"/>
    <cellStyle name="Millares 2 2 3 3 9" xfId="2106"/>
    <cellStyle name="Millares 2 2 3 4" xfId="110"/>
    <cellStyle name="Millares 2 2 3 4 2" xfId="238"/>
    <cellStyle name="Millares 2 2 3 4 2 2" xfId="622"/>
    <cellStyle name="Millares 2 2 3 4 2 2 2" xfId="1262"/>
    <cellStyle name="Millares 2 2 3 4 2 2 2 2" xfId="3290"/>
    <cellStyle name="Millares 2 2 3 4 2 2 3" xfId="1902"/>
    <cellStyle name="Millares 2 2 3 4 2 2 3 2" xfId="3930"/>
    <cellStyle name="Millares 2 2 3 4 2 2 4" xfId="2650"/>
    <cellStyle name="Millares 2 2 3 4 2 3" xfId="878"/>
    <cellStyle name="Millares 2 2 3 4 2 3 2" xfId="2906"/>
    <cellStyle name="Millares 2 2 3 4 2 4" xfId="1518"/>
    <cellStyle name="Millares 2 2 3 4 2 4 2" xfId="3546"/>
    <cellStyle name="Millares 2 2 3 4 2 5" xfId="2266"/>
    <cellStyle name="Millares 2 2 3 4 3" xfId="366"/>
    <cellStyle name="Millares 2 2 3 4 3 2" xfId="1006"/>
    <cellStyle name="Millares 2 2 3 4 3 2 2" xfId="3034"/>
    <cellStyle name="Millares 2 2 3 4 3 3" xfId="1646"/>
    <cellStyle name="Millares 2 2 3 4 3 3 2" xfId="3674"/>
    <cellStyle name="Millares 2 2 3 4 3 4" xfId="2394"/>
    <cellStyle name="Millares 2 2 3 4 4" xfId="494"/>
    <cellStyle name="Millares 2 2 3 4 4 2" xfId="1134"/>
    <cellStyle name="Millares 2 2 3 4 4 2 2" xfId="3162"/>
    <cellStyle name="Millares 2 2 3 4 4 3" xfId="1774"/>
    <cellStyle name="Millares 2 2 3 4 4 3 2" xfId="3802"/>
    <cellStyle name="Millares 2 2 3 4 4 4" xfId="2522"/>
    <cellStyle name="Millares 2 2 3 4 5" xfId="750"/>
    <cellStyle name="Millares 2 2 3 4 5 2" xfId="2778"/>
    <cellStyle name="Millares 2 2 3 4 6" xfId="1390"/>
    <cellStyle name="Millares 2 2 3 4 6 2" xfId="3418"/>
    <cellStyle name="Millares 2 2 3 4 7" xfId="2138"/>
    <cellStyle name="Millares 2 2 3 5" xfId="174"/>
    <cellStyle name="Millares 2 2 3 5 2" xfId="558"/>
    <cellStyle name="Millares 2 2 3 5 2 2" xfId="1198"/>
    <cellStyle name="Millares 2 2 3 5 2 2 2" xfId="3226"/>
    <cellStyle name="Millares 2 2 3 5 2 3" xfId="1838"/>
    <cellStyle name="Millares 2 2 3 5 2 3 2" xfId="3866"/>
    <cellStyle name="Millares 2 2 3 5 2 4" xfId="2586"/>
    <cellStyle name="Millares 2 2 3 5 3" xfId="814"/>
    <cellStyle name="Millares 2 2 3 5 3 2" xfId="2842"/>
    <cellStyle name="Millares 2 2 3 5 4" xfId="1454"/>
    <cellStyle name="Millares 2 2 3 5 4 2" xfId="3482"/>
    <cellStyle name="Millares 2 2 3 5 5" xfId="2202"/>
    <cellStyle name="Millares 2 2 3 6" xfId="302"/>
    <cellStyle name="Millares 2 2 3 6 2" xfId="942"/>
    <cellStyle name="Millares 2 2 3 6 2 2" xfId="2970"/>
    <cellStyle name="Millares 2 2 3 6 3" xfId="1582"/>
    <cellStyle name="Millares 2 2 3 6 3 2" xfId="3610"/>
    <cellStyle name="Millares 2 2 3 6 4" xfId="2330"/>
    <cellStyle name="Millares 2 2 3 7" xfId="430"/>
    <cellStyle name="Millares 2 2 3 7 2" xfId="1070"/>
    <cellStyle name="Millares 2 2 3 7 2 2" xfId="3098"/>
    <cellStyle name="Millares 2 2 3 7 3" xfId="1710"/>
    <cellStyle name="Millares 2 2 3 7 3 2" xfId="3738"/>
    <cellStyle name="Millares 2 2 3 7 4" xfId="2458"/>
    <cellStyle name="Millares 2 2 3 8" xfId="686"/>
    <cellStyle name="Millares 2 2 3 8 2" xfId="2714"/>
    <cellStyle name="Millares 2 2 3 9" xfId="1326"/>
    <cellStyle name="Millares 2 2 3 9 2" xfId="3354"/>
    <cellStyle name="Millares 2 2 4" xfId="54"/>
    <cellStyle name="Millares 2 2 4 10" xfId="2082"/>
    <cellStyle name="Millares 2 2 4 2" xfId="86"/>
    <cellStyle name="Millares 2 2 4 2 2" xfId="150"/>
    <cellStyle name="Millares 2 2 4 2 2 2" xfId="278"/>
    <cellStyle name="Millares 2 2 4 2 2 2 2" xfId="662"/>
    <cellStyle name="Millares 2 2 4 2 2 2 2 2" xfId="1302"/>
    <cellStyle name="Millares 2 2 4 2 2 2 2 2 2" xfId="3330"/>
    <cellStyle name="Millares 2 2 4 2 2 2 2 3" xfId="1942"/>
    <cellStyle name="Millares 2 2 4 2 2 2 2 3 2" xfId="3970"/>
    <cellStyle name="Millares 2 2 4 2 2 2 2 4" xfId="2690"/>
    <cellStyle name="Millares 2 2 4 2 2 2 3" xfId="918"/>
    <cellStyle name="Millares 2 2 4 2 2 2 3 2" xfId="2946"/>
    <cellStyle name="Millares 2 2 4 2 2 2 4" xfId="1558"/>
    <cellStyle name="Millares 2 2 4 2 2 2 4 2" xfId="3586"/>
    <cellStyle name="Millares 2 2 4 2 2 2 5" xfId="2306"/>
    <cellStyle name="Millares 2 2 4 2 2 3" xfId="406"/>
    <cellStyle name="Millares 2 2 4 2 2 3 2" xfId="1046"/>
    <cellStyle name="Millares 2 2 4 2 2 3 2 2" xfId="3074"/>
    <cellStyle name="Millares 2 2 4 2 2 3 3" xfId="1686"/>
    <cellStyle name="Millares 2 2 4 2 2 3 3 2" xfId="3714"/>
    <cellStyle name="Millares 2 2 4 2 2 3 4" xfId="2434"/>
    <cellStyle name="Millares 2 2 4 2 2 4" xfId="534"/>
    <cellStyle name="Millares 2 2 4 2 2 4 2" xfId="1174"/>
    <cellStyle name="Millares 2 2 4 2 2 4 2 2" xfId="3202"/>
    <cellStyle name="Millares 2 2 4 2 2 4 3" xfId="1814"/>
    <cellStyle name="Millares 2 2 4 2 2 4 3 2" xfId="3842"/>
    <cellStyle name="Millares 2 2 4 2 2 4 4" xfId="2562"/>
    <cellStyle name="Millares 2 2 4 2 2 5" xfId="790"/>
    <cellStyle name="Millares 2 2 4 2 2 5 2" xfId="2818"/>
    <cellStyle name="Millares 2 2 4 2 2 6" xfId="1430"/>
    <cellStyle name="Millares 2 2 4 2 2 6 2" xfId="3458"/>
    <cellStyle name="Millares 2 2 4 2 2 7" xfId="2178"/>
    <cellStyle name="Millares 2 2 4 2 3" xfId="214"/>
    <cellStyle name="Millares 2 2 4 2 3 2" xfId="598"/>
    <cellStyle name="Millares 2 2 4 2 3 2 2" xfId="1238"/>
    <cellStyle name="Millares 2 2 4 2 3 2 2 2" xfId="3266"/>
    <cellStyle name="Millares 2 2 4 2 3 2 3" xfId="1878"/>
    <cellStyle name="Millares 2 2 4 2 3 2 3 2" xfId="3906"/>
    <cellStyle name="Millares 2 2 4 2 3 2 4" xfId="2626"/>
    <cellStyle name="Millares 2 2 4 2 3 3" xfId="854"/>
    <cellStyle name="Millares 2 2 4 2 3 3 2" xfId="2882"/>
    <cellStyle name="Millares 2 2 4 2 3 4" xfId="1494"/>
    <cellStyle name="Millares 2 2 4 2 3 4 2" xfId="3522"/>
    <cellStyle name="Millares 2 2 4 2 3 5" xfId="2242"/>
    <cellStyle name="Millares 2 2 4 2 4" xfId="342"/>
    <cellStyle name="Millares 2 2 4 2 4 2" xfId="982"/>
    <cellStyle name="Millares 2 2 4 2 4 2 2" xfId="3010"/>
    <cellStyle name="Millares 2 2 4 2 4 3" xfId="1622"/>
    <cellStyle name="Millares 2 2 4 2 4 3 2" xfId="3650"/>
    <cellStyle name="Millares 2 2 4 2 4 4" xfId="2370"/>
    <cellStyle name="Millares 2 2 4 2 5" xfId="470"/>
    <cellStyle name="Millares 2 2 4 2 5 2" xfId="1110"/>
    <cellStyle name="Millares 2 2 4 2 5 2 2" xfId="3138"/>
    <cellStyle name="Millares 2 2 4 2 5 3" xfId="1750"/>
    <cellStyle name="Millares 2 2 4 2 5 3 2" xfId="3778"/>
    <cellStyle name="Millares 2 2 4 2 5 4" xfId="2498"/>
    <cellStyle name="Millares 2 2 4 2 6" xfId="726"/>
    <cellStyle name="Millares 2 2 4 2 6 2" xfId="2754"/>
    <cellStyle name="Millares 2 2 4 2 7" xfId="1366"/>
    <cellStyle name="Millares 2 2 4 2 7 2" xfId="3394"/>
    <cellStyle name="Millares 2 2 4 2 8" xfId="2006"/>
    <cellStyle name="Millares 2 2 4 2 8 2" xfId="4034"/>
    <cellStyle name="Millares 2 2 4 2 9" xfId="2114"/>
    <cellStyle name="Millares 2 2 4 3" xfId="118"/>
    <cellStyle name="Millares 2 2 4 3 2" xfId="246"/>
    <cellStyle name="Millares 2 2 4 3 2 2" xfId="630"/>
    <cellStyle name="Millares 2 2 4 3 2 2 2" xfId="1270"/>
    <cellStyle name="Millares 2 2 4 3 2 2 2 2" xfId="3298"/>
    <cellStyle name="Millares 2 2 4 3 2 2 3" xfId="1910"/>
    <cellStyle name="Millares 2 2 4 3 2 2 3 2" xfId="3938"/>
    <cellStyle name="Millares 2 2 4 3 2 2 4" xfId="2658"/>
    <cellStyle name="Millares 2 2 4 3 2 3" xfId="886"/>
    <cellStyle name="Millares 2 2 4 3 2 3 2" xfId="2914"/>
    <cellStyle name="Millares 2 2 4 3 2 4" xfId="1526"/>
    <cellStyle name="Millares 2 2 4 3 2 4 2" xfId="3554"/>
    <cellStyle name="Millares 2 2 4 3 2 5" xfId="2274"/>
    <cellStyle name="Millares 2 2 4 3 3" xfId="374"/>
    <cellStyle name="Millares 2 2 4 3 3 2" xfId="1014"/>
    <cellStyle name="Millares 2 2 4 3 3 2 2" xfId="3042"/>
    <cellStyle name="Millares 2 2 4 3 3 3" xfId="1654"/>
    <cellStyle name="Millares 2 2 4 3 3 3 2" xfId="3682"/>
    <cellStyle name="Millares 2 2 4 3 3 4" xfId="2402"/>
    <cellStyle name="Millares 2 2 4 3 4" xfId="502"/>
    <cellStyle name="Millares 2 2 4 3 4 2" xfId="1142"/>
    <cellStyle name="Millares 2 2 4 3 4 2 2" xfId="3170"/>
    <cellStyle name="Millares 2 2 4 3 4 3" xfId="1782"/>
    <cellStyle name="Millares 2 2 4 3 4 3 2" xfId="3810"/>
    <cellStyle name="Millares 2 2 4 3 4 4" xfId="2530"/>
    <cellStyle name="Millares 2 2 4 3 5" xfId="758"/>
    <cellStyle name="Millares 2 2 4 3 5 2" xfId="2786"/>
    <cellStyle name="Millares 2 2 4 3 6" xfId="1398"/>
    <cellStyle name="Millares 2 2 4 3 6 2" xfId="3426"/>
    <cellStyle name="Millares 2 2 4 3 7" xfId="2146"/>
    <cellStyle name="Millares 2 2 4 4" xfId="182"/>
    <cellStyle name="Millares 2 2 4 4 2" xfId="566"/>
    <cellStyle name="Millares 2 2 4 4 2 2" xfId="1206"/>
    <cellStyle name="Millares 2 2 4 4 2 2 2" xfId="3234"/>
    <cellStyle name="Millares 2 2 4 4 2 3" xfId="1846"/>
    <cellStyle name="Millares 2 2 4 4 2 3 2" xfId="3874"/>
    <cellStyle name="Millares 2 2 4 4 2 4" xfId="2594"/>
    <cellStyle name="Millares 2 2 4 4 3" xfId="822"/>
    <cellStyle name="Millares 2 2 4 4 3 2" xfId="2850"/>
    <cellStyle name="Millares 2 2 4 4 4" xfId="1462"/>
    <cellStyle name="Millares 2 2 4 4 4 2" xfId="3490"/>
    <cellStyle name="Millares 2 2 4 4 5" xfId="2210"/>
    <cellStyle name="Millares 2 2 4 5" xfId="310"/>
    <cellStyle name="Millares 2 2 4 5 2" xfId="950"/>
    <cellStyle name="Millares 2 2 4 5 2 2" xfId="2978"/>
    <cellStyle name="Millares 2 2 4 5 3" xfId="1590"/>
    <cellStyle name="Millares 2 2 4 5 3 2" xfId="3618"/>
    <cellStyle name="Millares 2 2 4 5 4" xfId="2338"/>
    <cellStyle name="Millares 2 2 4 6" xfId="438"/>
    <cellStyle name="Millares 2 2 4 6 2" xfId="1078"/>
    <cellStyle name="Millares 2 2 4 6 2 2" xfId="3106"/>
    <cellStyle name="Millares 2 2 4 6 3" xfId="1718"/>
    <cellStyle name="Millares 2 2 4 6 3 2" xfId="3746"/>
    <cellStyle name="Millares 2 2 4 6 4" xfId="2466"/>
    <cellStyle name="Millares 2 2 4 7" xfId="694"/>
    <cellStyle name="Millares 2 2 4 7 2" xfId="2722"/>
    <cellStyle name="Millares 2 2 4 8" xfId="1334"/>
    <cellStyle name="Millares 2 2 4 8 2" xfId="3362"/>
    <cellStyle name="Millares 2 2 4 9" xfId="1974"/>
    <cellStyle name="Millares 2 2 4 9 2" xfId="4002"/>
    <cellStyle name="Millares 2 2 5" xfId="70"/>
    <cellStyle name="Millares 2 2 5 2" xfId="134"/>
    <cellStyle name="Millares 2 2 5 2 2" xfId="262"/>
    <cellStyle name="Millares 2 2 5 2 2 2" xfId="646"/>
    <cellStyle name="Millares 2 2 5 2 2 2 2" xfId="1286"/>
    <cellStyle name="Millares 2 2 5 2 2 2 2 2" xfId="3314"/>
    <cellStyle name="Millares 2 2 5 2 2 2 3" xfId="1926"/>
    <cellStyle name="Millares 2 2 5 2 2 2 3 2" xfId="3954"/>
    <cellStyle name="Millares 2 2 5 2 2 2 4" xfId="2674"/>
    <cellStyle name="Millares 2 2 5 2 2 3" xfId="902"/>
    <cellStyle name="Millares 2 2 5 2 2 3 2" xfId="2930"/>
    <cellStyle name="Millares 2 2 5 2 2 4" xfId="1542"/>
    <cellStyle name="Millares 2 2 5 2 2 4 2" xfId="3570"/>
    <cellStyle name="Millares 2 2 5 2 2 5" xfId="2290"/>
    <cellStyle name="Millares 2 2 5 2 3" xfId="390"/>
    <cellStyle name="Millares 2 2 5 2 3 2" xfId="1030"/>
    <cellStyle name="Millares 2 2 5 2 3 2 2" xfId="3058"/>
    <cellStyle name="Millares 2 2 5 2 3 3" xfId="1670"/>
    <cellStyle name="Millares 2 2 5 2 3 3 2" xfId="3698"/>
    <cellStyle name="Millares 2 2 5 2 3 4" xfId="2418"/>
    <cellStyle name="Millares 2 2 5 2 4" xfId="518"/>
    <cellStyle name="Millares 2 2 5 2 4 2" xfId="1158"/>
    <cellStyle name="Millares 2 2 5 2 4 2 2" xfId="3186"/>
    <cellStyle name="Millares 2 2 5 2 4 3" xfId="1798"/>
    <cellStyle name="Millares 2 2 5 2 4 3 2" xfId="3826"/>
    <cellStyle name="Millares 2 2 5 2 4 4" xfId="2546"/>
    <cellStyle name="Millares 2 2 5 2 5" xfId="774"/>
    <cellStyle name="Millares 2 2 5 2 5 2" xfId="2802"/>
    <cellStyle name="Millares 2 2 5 2 6" xfId="1414"/>
    <cellStyle name="Millares 2 2 5 2 6 2" xfId="3442"/>
    <cellStyle name="Millares 2 2 5 2 7" xfId="2162"/>
    <cellStyle name="Millares 2 2 5 3" xfId="198"/>
    <cellStyle name="Millares 2 2 5 3 2" xfId="582"/>
    <cellStyle name="Millares 2 2 5 3 2 2" xfId="1222"/>
    <cellStyle name="Millares 2 2 5 3 2 2 2" xfId="3250"/>
    <cellStyle name="Millares 2 2 5 3 2 3" xfId="1862"/>
    <cellStyle name="Millares 2 2 5 3 2 3 2" xfId="3890"/>
    <cellStyle name="Millares 2 2 5 3 2 4" xfId="2610"/>
    <cellStyle name="Millares 2 2 5 3 3" xfId="838"/>
    <cellStyle name="Millares 2 2 5 3 3 2" xfId="2866"/>
    <cellStyle name="Millares 2 2 5 3 4" xfId="1478"/>
    <cellStyle name="Millares 2 2 5 3 4 2" xfId="3506"/>
    <cellStyle name="Millares 2 2 5 3 5" xfId="2226"/>
    <cellStyle name="Millares 2 2 5 4" xfId="326"/>
    <cellStyle name="Millares 2 2 5 4 2" xfId="966"/>
    <cellStyle name="Millares 2 2 5 4 2 2" xfId="2994"/>
    <cellStyle name="Millares 2 2 5 4 3" xfId="1606"/>
    <cellStyle name="Millares 2 2 5 4 3 2" xfId="3634"/>
    <cellStyle name="Millares 2 2 5 4 4" xfId="2354"/>
    <cellStyle name="Millares 2 2 5 5" xfId="454"/>
    <cellStyle name="Millares 2 2 5 5 2" xfId="1094"/>
    <cellStyle name="Millares 2 2 5 5 2 2" xfId="3122"/>
    <cellStyle name="Millares 2 2 5 5 3" xfId="1734"/>
    <cellStyle name="Millares 2 2 5 5 3 2" xfId="3762"/>
    <cellStyle name="Millares 2 2 5 5 4" xfId="2482"/>
    <cellStyle name="Millares 2 2 5 6" xfId="710"/>
    <cellStyle name="Millares 2 2 5 6 2" xfId="2738"/>
    <cellStyle name="Millares 2 2 5 7" xfId="1350"/>
    <cellStyle name="Millares 2 2 5 7 2" xfId="3378"/>
    <cellStyle name="Millares 2 2 5 8" xfId="1990"/>
    <cellStyle name="Millares 2 2 5 8 2" xfId="4018"/>
    <cellStyle name="Millares 2 2 5 9" xfId="2098"/>
    <cellStyle name="Millares 2 2 6" xfId="102"/>
    <cellStyle name="Millares 2 2 6 2" xfId="230"/>
    <cellStyle name="Millares 2 2 6 2 2" xfId="614"/>
    <cellStyle name="Millares 2 2 6 2 2 2" xfId="1254"/>
    <cellStyle name="Millares 2 2 6 2 2 2 2" xfId="3282"/>
    <cellStyle name="Millares 2 2 6 2 2 3" xfId="1894"/>
    <cellStyle name="Millares 2 2 6 2 2 3 2" xfId="3922"/>
    <cellStyle name="Millares 2 2 6 2 2 4" xfId="2642"/>
    <cellStyle name="Millares 2 2 6 2 3" xfId="870"/>
    <cellStyle name="Millares 2 2 6 2 3 2" xfId="2898"/>
    <cellStyle name="Millares 2 2 6 2 4" xfId="1510"/>
    <cellStyle name="Millares 2 2 6 2 4 2" xfId="3538"/>
    <cellStyle name="Millares 2 2 6 2 5" xfId="2258"/>
    <cellStyle name="Millares 2 2 6 3" xfId="358"/>
    <cellStyle name="Millares 2 2 6 3 2" xfId="998"/>
    <cellStyle name="Millares 2 2 6 3 2 2" xfId="3026"/>
    <cellStyle name="Millares 2 2 6 3 3" xfId="1638"/>
    <cellStyle name="Millares 2 2 6 3 3 2" xfId="3666"/>
    <cellStyle name="Millares 2 2 6 3 4" xfId="2386"/>
    <cellStyle name="Millares 2 2 6 4" xfId="486"/>
    <cellStyle name="Millares 2 2 6 4 2" xfId="1126"/>
    <cellStyle name="Millares 2 2 6 4 2 2" xfId="3154"/>
    <cellStyle name="Millares 2 2 6 4 3" xfId="1766"/>
    <cellStyle name="Millares 2 2 6 4 3 2" xfId="3794"/>
    <cellStyle name="Millares 2 2 6 4 4" xfId="2514"/>
    <cellStyle name="Millares 2 2 6 5" xfId="742"/>
    <cellStyle name="Millares 2 2 6 5 2" xfId="2770"/>
    <cellStyle name="Millares 2 2 6 6" xfId="1382"/>
    <cellStyle name="Millares 2 2 6 6 2" xfId="3410"/>
    <cellStyle name="Millares 2 2 6 7" xfId="2130"/>
    <cellStyle name="Millares 2 2 7" xfId="166"/>
    <cellStyle name="Millares 2 2 7 2" xfId="550"/>
    <cellStyle name="Millares 2 2 7 2 2" xfId="1190"/>
    <cellStyle name="Millares 2 2 7 2 2 2" xfId="3218"/>
    <cellStyle name="Millares 2 2 7 2 3" xfId="1830"/>
    <cellStyle name="Millares 2 2 7 2 3 2" xfId="3858"/>
    <cellStyle name="Millares 2 2 7 2 4" xfId="2578"/>
    <cellStyle name="Millares 2 2 7 3" xfId="806"/>
    <cellStyle name="Millares 2 2 7 3 2" xfId="2834"/>
    <cellStyle name="Millares 2 2 7 4" xfId="1446"/>
    <cellStyle name="Millares 2 2 7 4 2" xfId="3474"/>
    <cellStyle name="Millares 2 2 7 5" xfId="2194"/>
    <cellStyle name="Millares 2 2 8" xfId="294"/>
    <cellStyle name="Millares 2 2 8 2" xfId="934"/>
    <cellStyle name="Millares 2 2 8 2 2" xfId="2962"/>
    <cellStyle name="Millares 2 2 8 3" xfId="1574"/>
    <cellStyle name="Millares 2 2 8 3 2" xfId="3602"/>
    <cellStyle name="Millares 2 2 8 4" xfId="2322"/>
    <cellStyle name="Millares 2 2 9" xfId="422"/>
    <cellStyle name="Millares 2 2 9 2" xfId="1062"/>
    <cellStyle name="Millares 2 2 9 2 2" xfId="3090"/>
    <cellStyle name="Millares 2 2 9 3" xfId="1702"/>
    <cellStyle name="Millares 2 2 9 3 2" xfId="3730"/>
    <cellStyle name="Millares 2 2 9 4" xfId="2450"/>
    <cellStyle name="Millares 2 3" xfId="15"/>
    <cellStyle name="Millares 2 3 10" xfId="1320"/>
    <cellStyle name="Millares 2 3 10 2" xfId="3348"/>
    <cellStyle name="Millares 2 3 11" xfId="1960"/>
    <cellStyle name="Millares 2 3 11 2" xfId="3988"/>
    <cellStyle name="Millares 2 3 12" xfId="40"/>
    <cellStyle name="Millares 2 3 12 2" xfId="2068"/>
    <cellStyle name="Millares 2 3 13" xfId="2049"/>
    <cellStyle name="Millares 2 3 2" xfId="48"/>
    <cellStyle name="Millares 2 3 2 10" xfId="1968"/>
    <cellStyle name="Millares 2 3 2 10 2" xfId="3996"/>
    <cellStyle name="Millares 2 3 2 11" xfId="2076"/>
    <cellStyle name="Millares 2 3 2 2" xfId="64"/>
    <cellStyle name="Millares 2 3 2 2 10" xfId="2092"/>
    <cellStyle name="Millares 2 3 2 2 2" xfId="96"/>
    <cellStyle name="Millares 2 3 2 2 2 2" xfId="160"/>
    <cellStyle name="Millares 2 3 2 2 2 2 2" xfId="288"/>
    <cellStyle name="Millares 2 3 2 2 2 2 2 2" xfId="672"/>
    <cellStyle name="Millares 2 3 2 2 2 2 2 2 2" xfId="1312"/>
    <cellStyle name="Millares 2 3 2 2 2 2 2 2 2 2" xfId="3340"/>
    <cellStyle name="Millares 2 3 2 2 2 2 2 2 3" xfId="1952"/>
    <cellStyle name="Millares 2 3 2 2 2 2 2 2 3 2" xfId="3980"/>
    <cellStyle name="Millares 2 3 2 2 2 2 2 2 4" xfId="2700"/>
    <cellStyle name="Millares 2 3 2 2 2 2 2 3" xfId="928"/>
    <cellStyle name="Millares 2 3 2 2 2 2 2 3 2" xfId="2956"/>
    <cellStyle name="Millares 2 3 2 2 2 2 2 4" xfId="1568"/>
    <cellStyle name="Millares 2 3 2 2 2 2 2 4 2" xfId="3596"/>
    <cellStyle name="Millares 2 3 2 2 2 2 2 5" xfId="2316"/>
    <cellStyle name="Millares 2 3 2 2 2 2 3" xfId="416"/>
    <cellStyle name="Millares 2 3 2 2 2 2 3 2" xfId="1056"/>
    <cellStyle name="Millares 2 3 2 2 2 2 3 2 2" xfId="3084"/>
    <cellStyle name="Millares 2 3 2 2 2 2 3 3" xfId="1696"/>
    <cellStyle name="Millares 2 3 2 2 2 2 3 3 2" xfId="3724"/>
    <cellStyle name="Millares 2 3 2 2 2 2 3 4" xfId="2444"/>
    <cellStyle name="Millares 2 3 2 2 2 2 4" xfId="544"/>
    <cellStyle name="Millares 2 3 2 2 2 2 4 2" xfId="1184"/>
    <cellStyle name="Millares 2 3 2 2 2 2 4 2 2" xfId="3212"/>
    <cellStyle name="Millares 2 3 2 2 2 2 4 3" xfId="1824"/>
    <cellStyle name="Millares 2 3 2 2 2 2 4 3 2" xfId="3852"/>
    <cellStyle name="Millares 2 3 2 2 2 2 4 4" xfId="2572"/>
    <cellStyle name="Millares 2 3 2 2 2 2 5" xfId="800"/>
    <cellStyle name="Millares 2 3 2 2 2 2 5 2" xfId="2828"/>
    <cellStyle name="Millares 2 3 2 2 2 2 6" xfId="1440"/>
    <cellStyle name="Millares 2 3 2 2 2 2 6 2" xfId="3468"/>
    <cellStyle name="Millares 2 3 2 2 2 2 7" xfId="2188"/>
    <cellStyle name="Millares 2 3 2 2 2 3" xfId="224"/>
    <cellStyle name="Millares 2 3 2 2 2 3 2" xfId="608"/>
    <cellStyle name="Millares 2 3 2 2 2 3 2 2" xfId="1248"/>
    <cellStyle name="Millares 2 3 2 2 2 3 2 2 2" xfId="3276"/>
    <cellStyle name="Millares 2 3 2 2 2 3 2 3" xfId="1888"/>
    <cellStyle name="Millares 2 3 2 2 2 3 2 3 2" xfId="3916"/>
    <cellStyle name="Millares 2 3 2 2 2 3 2 4" xfId="2636"/>
    <cellStyle name="Millares 2 3 2 2 2 3 3" xfId="864"/>
    <cellStyle name="Millares 2 3 2 2 2 3 3 2" xfId="2892"/>
    <cellStyle name="Millares 2 3 2 2 2 3 4" xfId="1504"/>
    <cellStyle name="Millares 2 3 2 2 2 3 4 2" xfId="3532"/>
    <cellStyle name="Millares 2 3 2 2 2 3 5" xfId="2252"/>
    <cellStyle name="Millares 2 3 2 2 2 4" xfId="352"/>
    <cellStyle name="Millares 2 3 2 2 2 4 2" xfId="992"/>
    <cellStyle name="Millares 2 3 2 2 2 4 2 2" xfId="3020"/>
    <cellStyle name="Millares 2 3 2 2 2 4 3" xfId="1632"/>
    <cellStyle name="Millares 2 3 2 2 2 4 3 2" xfId="3660"/>
    <cellStyle name="Millares 2 3 2 2 2 4 4" xfId="2380"/>
    <cellStyle name="Millares 2 3 2 2 2 5" xfId="480"/>
    <cellStyle name="Millares 2 3 2 2 2 5 2" xfId="1120"/>
    <cellStyle name="Millares 2 3 2 2 2 5 2 2" xfId="3148"/>
    <cellStyle name="Millares 2 3 2 2 2 5 3" xfId="1760"/>
    <cellStyle name="Millares 2 3 2 2 2 5 3 2" xfId="3788"/>
    <cellStyle name="Millares 2 3 2 2 2 5 4" xfId="2508"/>
    <cellStyle name="Millares 2 3 2 2 2 6" xfId="736"/>
    <cellStyle name="Millares 2 3 2 2 2 6 2" xfId="2764"/>
    <cellStyle name="Millares 2 3 2 2 2 7" xfId="1376"/>
    <cellStyle name="Millares 2 3 2 2 2 7 2" xfId="3404"/>
    <cellStyle name="Millares 2 3 2 2 2 8" xfId="2016"/>
    <cellStyle name="Millares 2 3 2 2 2 8 2" xfId="4044"/>
    <cellStyle name="Millares 2 3 2 2 2 9" xfId="2124"/>
    <cellStyle name="Millares 2 3 2 2 3" xfId="128"/>
    <cellStyle name="Millares 2 3 2 2 3 2" xfId="256"/>
    <cellStyle name="Millares 2 3 2 2 3 2 2" xfId="640"/>
    <cellStyle name="Millares 2 3 2 2 3 2 2 2" xfId="1280"/>
    <cellStyle name="Millares 2 3 2 2 3 2 2 2 2" xfId="3308"/>
    <cellStyle name="Millares 2 3 2 2 3 2 2 3" xfId="1920"/>
    <cellStyle name="Millares 2 3 2 2 3 2 2 3 2" xfId="3948"/>
    <cellStyle name="Millares 2 3 2 2 3 2 2 4" xfId="2668"/>
    <cellStyle name="Millares 2 3 2 2 3 2 3" xfId="896"/>
    <cellStyle name="Millares 2 3 2 2 3 2 3 2" xfId="2924"/>
    <cellStyle name="Millares 2 3 2 2 3 2 4" xfId="1536"/>
    <cellStyle name="Millares 2 3 2 2 3 2 4 2" xfId="3564"/>
    <cellStyle name="Millares 2 3 2 2 3 2 5" xfId="2284"/>
    <cellStyle name="Millares 2 3 2 2 3 3" xfId="384"/>
    <cellStyle name="Millares 2 3 2 2 3 3 2" xfId="1024"/>
    <cellStyle name="Millares 2 3 2 2 3 3 2 2" xfId="3052"/>
    <cellStyle name="Millares 2 3 2 2 3 3 3" xfId="1664"/>
    <cellStyle name="Millares 2 3 2 2 3 3 3 2" xfId="3692"/>
    <cellStyle name="Millares 2 3 2 2 3 3 4" xfId="2412"/>
    <cellStyle name="Millares 2 3 2 2 3 4" xfId="512"/>
    <cellStyle name="Millares 2 3 2 2 3 4 2" xfId="1152"/>
    <cellStyle name="Millares 2 3 2 2 3 4 2 2" xfId="3180"/>
    <cellStyle name="Millares 2 3 2 2 3 4 3" xfId="1792"/>
    <cellStyle name="Millares 2 3 2 2 3 4 3 2" xfId="3820"/>
    <cellStyle name="Millares 2 3 2 2 3 4 4" xfId="2540"/>
    <cellStyle name="Millares 2 3 2 2 3 5" xfId="768"/>
    <cellStyle name="Millares 2 3 2 2 3 5 2" xfId="2796"/>
    <cellStyle name="Millares 2 3 2 2 3 6" xfId="1408"/>
    <cellStyle name="Millares 2 3 2 2 3 6 2" xfId="3436"/>
    <cellStyle name="Millares 2 3 2 2 3 7" xfId="2156"/>
    <cellStyle name="Millares 2 3 2 2 4" xfId="192"/>
    <cellStyle name="Millares 2 3 2 2 4 2" xfId="576"/>
    <cellStyle name="Millares 2 3 2 2 4 2 2" xfId="1216"/>
    <cellStyle name="Millares 2 3 2 2 4 2 2 2" xfId="3244"/>
    <cellStyle name="Millares 2 3 2 2 4 2 3" xfId="1856"/>
    <cellStyle name="Millares 2 3 2 2 4 2 3 2" xfId="3884"/>
    <cellStyle name="Millares 2 3 2 2 4 2 4" xfId="2604"/>
    <cellStyle name="Millares 2 3 2 2 4 3" xfId="832"/>
    <cellStyle name="Millares 2 3 2 2 4 3 2" xfId="2860"/>
    <cellStyle name="Millares 2 3 2 2 4 4" xfId="1472"/>
    <cellStyle name="Millares 2 3 2 2 4 4 2" xfId="3500"/>
    <cellStyle name="Millares 2 3 2 2 4 5" xfId="2220"/>
    <cellStyle name="Millares 2 3 2 2 5" xfId="320"/>
    <cellStyle name="Millares 2 3 2 2 5 2" xfId="960"/>
    <cellStyle name="Millares 2 3 2 2 5 2 2" xfId="2988"/>
    <cellStyle name="Millares 2 3 2 2 5 3" xfId="1600"/>
    <cellStyle name="Millares 2 3 2 2 5 3 2" xfId="3628"/>
    <cellStyle name="Millares 2 3 2 2 5 4" xfId="2348"/>
    <cellStyle name="Millares 2 3 2 2 6" xfId="448"/>
    <cellStyle name="Millares 2 3 2 2 6 2" xfId="1088"/>
    <cellStyle name="Millares 2 3 2 2 6 2 2" xfId="3116"/>
    <cellStyle name="Millares 2 3 2 2 6 3" xfId="1728"/>
    <cellStyle name="Millares 2 3 2 2 6 3 2" xfId="3756"/>
    <cellStyle name="Millares 2 3 2 2 6 4" xfId="2476"/>
    <cellStyle name="Millares 2 3 2 2 7" xfId="704"/>
    <cellStyle name="Millares 2 3 2 2 7 2" xfId="2732"/>
    <cellStyle name="Millares 2 3 2 2 8" xfId="1344"/>
    <cellStyle name="Millares 2 3 2 2 8 2" xfId="3372"/>
    <cellStyle name="Millares 2 3 2 2 9" xfId="1984"/>
    <cellStyle name="Millares 2 3 2 2 9 2" xfId="4012"/>
    <cellStyle name="Millares 2 3 2 3" xfId="80"/>
    <cellStyle name="Millares 2 3 2 3 2" xfId="144"/>
    <cellStyle name="Millares 2 3 2 3 2 2" xfId="272"/>
    <cellStyle name="Millares 2 3 2 3 2 2 2" xfId="656"/>
    <cellStyle name="Millares 2 3 2 3 2 2 2 2" xfId="1296"/>
    <cellStyle name="Millares 2 3 2 3 2 2 2 2 2" xfId="3324"/>
    <cellStyle name="Millares 2 3 2 3 2 2 2 3" xfId="1936"/>
    <cellStyle name="Millares 2 3 2 3 2 2 2 3 2" xfId="3964"/>
    <cellStyle name="Millares 2 3 2 3 2 2 2 4" xfId="2684"/>
    <cellStyle name="Millares 2 3 2 3 2 2 3" xfId="912"/>
    <cellStyle name="Millares 2 3 2 3 2 2 3 2" xfId="2940"/>
    <cellStyle name="Millares 2 3 2 3 2 2 4" xfId="1552"/>
    <cellStyle name="Millares 2 3 2 3 2 2 4 2" xfId="3580"/>
    <cellStyle name="Millares 2 3 2 3 2 2 5" xfId="2300"/>
    <cellStyle name="Millares 2 3 2 3 2 3" xfId="400"/>
    <cellStyle name="Millares 2 3 2 3 2 3 2" xfId="1040"/>
    <cellStyle name="Millares 2 3 2 3 2 3 2 2" xfId="3068"/>
    <cellStyle name="Millares 2 3 2 3 2 3 3" xfId="1680"/>
    <cellStyle name="Millares 2 3 2 3 2 3 3 2" xfId="3708"/>
    <cellStyle name="Millares 2 3 2 3 2 3 4" xfId="2428"/>
    <cellStyle name="Millares 2 3 2 3 2 4" xfId="528"/>
    <cellStyle name="Millares 2 3 2 3 2 4 2" xfId="1168"/>
    <cellStyle name="Millares 2 3 2 3 2 4 2 2" xfId="3196"/>
    <cellStyle name="Millares 2 3 2 3 2 4 3" xfId="1808"/>
    <cellStyle name="Millares 2 3 2 3 2 4 3 2" xfId="3836"/>
    <cellStyle name="Millares 2 3 2 3 2 4 4" xfId="2556"/>
    <cellStyle name="Millares 2 3 2 3 2 5" xfId="784"/>
    <cellStyle name="Millares 2 3 2 3 2 5 2" xfId="2812"/>
    <cellStyle name="Millares 2 3 2 3 2 6" xfId="1424"/>
    <cellStyle name="Millares 2 3 2 3 2 6 2" xfId="3452"/>
    <cellStyle name="Millares 2 3 2 3 2 7" xfId="2172"/>
    <cellStyle name="Millares 2 3 2 3 3" xfId="208"/>
    <cellStyle name="Millares 2 3 2 3 3 2" xfId="592"/>
    <cellStyle name="Millares 2 3 2 3 3 2 2" xfId="1232"/>
    <cellStyle name="Millares 2 3 2 3 3 2 2 2" xfId="3260"/>
    <cellStyle name="Millares 2 3 2 3 3 2 3" xfId="1872"/>
    <cellStyle name="Millares 2 3 2 3 3 2 3 2" xfId="3900"/>
    <cellStyle name="Millares 2 3 2 3 3 2 4" xfId="2620"/>
    <cellStyle name="Millares 2 3 2 3 3 3" xfId="848"/>
    <cellStyle name="Millares 2 3 2 3 3 3 2" xfId="2876"/>
    <cellStyle name="Millares 2 3 2 3 3 4" xfId="1488"/>
    <cellStyle name="Millares 2 3 2 3 3 4 2" xfId="3516"/>
    <cellStyle name="Millares 2 3 2 3 3 5" xfId="2236"/>
    <cellStyle name="Millares 2 3 2 3 4" xfId="336"/>
    <cellStyle name="Millares 2 3 2 3 4 2" xfId="976"/>
    <cellStyle name="Millares 2 3 2 3 4 2 2" xfId="3004"/>
    <cellStyle name="Millares 2 3 2 3 4 3" xfId="1616"/>
    <cellStyle name="Millares 2 3 2 3 4 3 2" xfId="3644"/>
    <cellStyle name="Millares 2 3 2 3 4 4" xfId="2364"/>
    <cellStyle name="Millares 2 3 2 3 5" xfId="464"/>
    <cellStyle name="Millares 2 3 2 3 5 2" xfId="1104"/>
    <cellStyle name="Millares 2 3 2 3 5 2 2" xfId="3132"/>
    <cellStyle name="Millares 2 3 2 3 5 3" xfId="1744"/>
    <cellStyle name="Millares 2 3 2 3 5 3 2" xfId="3772"/>
    <cellStyle name="Millares 2 3 2 3 5 4" xfId="2492"/>
    <cellStyle name="Millares 2 3 2 3 6" xfId="720"/>
    <cellStyle name="Millares 2 3 2 3 6 2" xfId="2748"/>
    <cellStyle name="Millares 2 3 2 3 7" xfId="1360"/>
    <cellStyle name="Millares 2 3 2 3 7 2" xfId="3388"/>
    <cellStyle name="Millares 2 3 2 3 8" xfId="2000"/>
    <cellStyle name="Millares 2 3 2 3 8 2" xfId="4028"/>
    <cellStyle name="Millares 2 3 2 3 9" xfId="2108"/>
    <cellStyle name="Millares 2 3 2 4" xfId="112"/>
    <cellStyle name="Millares 2 3 2 4 2" xfId="240"/>
    <cellStyle name="Millares 2 3 2 4 2 2" xfId="624"/>
    <cellStyle name="Millares 2 3 2 4 2 2 2" xfId="1264"/>
    <cellStyle name="Millares 2 3 2 4 2 2 2 2" xfId="3292"/>
    <cellStyle name="Millares 2 3 2 4 2 2 3" xfId="1904"/>
    <cellStyle name="Millares 2 3 2 4 2 2 3 2" xfId="3932"/>
    <cellStyle name="Millares 2 3 2 4 2 2 4" xfId="2652"/>
    <cellStyle name="Millares 2 3 2 4 2 3" xfId="880"/>
    <cellStyle name="Millares 2 3 2 4 2 3 2" xfId="2908"/>
    <cellStyle name="Millares 2 3 2 4 2 4" xfId="1520"/>
    <cellStyle name="Millares 2 3 2 4 2 4 2" xfId="3548"/>
    <cellStyle name="Millares 2 3 2 4 2 5" xfId="2268"/>
    <cellStyle name="Millares 2 3 2 4 3" xfId="368"/>
    <cellStyle name="Millares 2 3 2 4 3 2" xfId="1008"/>
    <cellStyle name="Millares 2 3 2 4 3 2 2" xfId="3036"/>
    <cellStyle name="Millares 2 3 2 4 3 3" xfId="1648"/>
    <cellStyle name="Millares 2 3 2 4 3 3 2" xfId="3676"/>
    <cellStyle name="Millares 2 3 2 4 3 4" xfId="2396"/>
    <cellStyle name="Millares 2 3 2 4 4" xfId="496"/>
    <cellStyle name="Millares 2 3 2 4 4 2" xfId="1136"/>
    <cellStyle name="Millares 2 3 2 4 4 2 2" xfId="3164"/>
    <cellStyle name="Millares 2 3 2 4 4 3" xfId="1776"/>
    <cellStyle name="Millares 2 3 2 4 4 3 2" xfId="3804"/>
    <cellStyle name="Millares 2 3 2 4 4 4" xfId="2524"/>
    <cellStyle name="Millares 2 3 2 4 5" xfId="752"/>
    <cellStyle name="Millares 2 3 2 4 5 2" xfId="2780"/>
    <cellStyle name="Millares 2 3 2 4 6" xfId="1392"/>
    <cellStyle name="Millares 2 3 2 4 6 2" xfId="3420"/>
    <cellStyle name="Millares 2 3 2 4 7" xfId="2140"/>
    <cellStyle name="Millares 2 3 2 5" xfId="176"/>
    <cellStyle name="Millares 2 3 2 5 2" xfId="560"/>
    <cellStyle name="Millares 2 3 2 5 2 2" xfId="1200"/>
    <cellStyle name="Millares 2 3 2 5 2 2 2" xfId="3228"/>
    <cellStyle name="Millares 2 3 2 5 2 3" xfId="1840"/>
    <cellStyle name="Millares 2 3 2 5 2 3 2" xfId="3868"/>
    <cellStyle name="Millares 2 3 2 5 2 4" xfId="2588"/>
    <cellStyle name="Millares 2 3 2 5 3" xfId="816"/>
    <cellStyle name="Millares 2 3 2 5 3 2" xfId="2844"/>
    <cellStyle name="Millares 2 3 2 5 4" xfId="1456"/>
    <cellStyle name="Millares 2 3 2 5 4 2" xfId="3484"/>
    <cellStyle name="Millares 2 3 2 5 5" xfId="2204"/>
    <cellStyle name="Millares 2 3 2 6" xfId="304"/>
    <cellStyle name="Millares 2 3 2 6 2" xfId="944"/>
    <cellStyle name="Millares 2 3 2 6 2 2" xfId="2972"/>
    <cellStyle name="Millares 2 3 2 6 3" xfId="1584"/>
    <cellStyle name="Millares 2 3 2 6 3 2" xfId="3612"/>
    <cellStyle name="Millares 2 3 2 6 4" xfId="2332"/>
    <cellStyle name="Millares 2 3 2 7" xfId="432"/>
    <cellStyle name="Millares 2 3 2 7 2" xfId="1072"/>
    <cellStyle name="Millares 2 3 2 7 2 2" xfId="3100"/>
    <cellStyle name="Millares 2 3 2 7 3" xfId="1712"/>
    <cellStyle name="Millares 2 3 2 7 3 2" xfId="3740"/>
    <cellStyle name="Millares 2 3 2 7 4" xfId="2460"/>
    <cellStyle name="Millares 2 3 2 8" xfId="688"/>
    <cellStyle name="Millares 2 3 2 8 2" xfId="2716"/>
    <cellStyle name="Millares 2 3 2 9" xfId="1328"/>
    <cellStyle name="Millares 2 3 2 9 2" xfId="3356"/>
    <cellStyle name="Millares 2 3 3" xfId="56"/>
    <cellStyle name="Millares 2 3 3 10" xfId="2084"/>
    <cellStyle name="Millares 2 3 3 2" xfId="88"/>
    <cellStyle name="Millares 2 3 3 2 2" xfId="152"/>
    <cellStyle name="Millares 2 3 3 2 2 2" xfId="280"/>
    <cellStyle name="Millares 2 3 3 2 2 2 2" xfId="664"/>
    <cellStyle name="Millares 2 3 3 2 2 2 2 2" xfId="1304"/>
    <cellStyle name="Millares 2 3 3 2 2 2 2 2 2" xfId="3332"/>
    <cellStyle name="Millares 2 3 3 2 2 2 2 3" xfId="1944"/>
    <cellStyle name="Millares 2 3 3 2 2 2 2 3 2" xfId="3972"/>
    <cellStyle name="Millares 2 3 3 2 2 2 2 4" xfId="2692"/>
    <cellStyle name="Millares 2 3 3 2 2 2 3" xfId="920"/>
    <cellStyle name="Millares 2 3 3 2 2 2 3 2" xfId="2948"/>
    <cellStyle name="Millares 2 3 3 2 2 2 4" xfId="1560"/>
    <cellStyle name="Millares 2 3 3 2 2 2 4 2" xfId="3588"/>
    <cellStyle name="Millares 2 3 3 2 2 2 5" xfId="2308"/>
    <cellStyle name="Millares 2 3 3 2 2 3" xfId="408"/>
    <cellStyle name="Millares 2 3 3 2 2 3 2" xfId="1048"/>
    <cellStyle name="Millares 2 3 3 2 2 3 2 2" xfId="3076"/>
    <cellStyle name="Millares 2 3 3 2 2 3 3" xfId="1688"/>
    <cellStyle name="Millares 2 3 3 2 2 3 3 2" xfId="3716"/>
    <cellStyle name="Millares 2 3 3 2 2 3 4" xfId="2436"/>
    <cellStyle name="Millares 2 3 3 2 2 4" xfId="536"/>
    <cellStyle name="Millares 2 3 3 2 2 4 2" xfId="1176"/>
    <cellStyle name="Millares 2 3 3 2 2 4 2 2" xfId="3204"/>
    <cellStyle name="Millares 2 3 3 2 2 4 3" xfId="1816"/>
    <cellStyle name="Millares 2 3 3 2 2 4 3 2" xfId="3844"/>
    <cellStyle name="Millares 2 3 3 2 2 4 4" xfId="2564"/>
    <cellStyle name="Millares 2 3 3 2 2 5" xfId="792"/>
    <cellStyle name="Millares 2 3 3 2 2 5 2" xfId="2820"/>
    <cellStyle name="Millares 2 3 3 2 2 6" xfId="1432"/>
    <cellStyle name="Millares 2 3 3 2 2 6 2" xfId="3460"/>
    <cellStyle name="Millares 2 3 3 2 2 7" xfId="2180"/>
    <cellStyle name="Millares 2 3 3 2 3" xfId="216"/>
    <cellStyle name="Millares 2 3 3 2 3 2" xfId="600"/>
    <cellStyle name="Millares 2 3 3 2 3 2 2" xfId="1240"/>
    <cellStyle name="Millares 2 3 3 2 3 2 2 2" xfId="3268"/>
    <cellStyle name="Millares 2 3 3 2 3 2 3" xfId="1880"/>
    <cellStyle name="Millares 2 3 3 2 3 2 3 2" xfId="3908"/>
    <cellStyle name="Millares 2 3 3 2 3 2 4" xfId="2628"/>
    <cellStyle name="Millares 2 3 3 2 3 3" xfId="856"/>
    <cellStyle name="Millares 2 3 3 2 3 3 2" xfId="2884"/>
    <cellStyle name="Millares 2 3 3 2 3 4" xfId="1496"/>
    <cellStyle name="Millares 2 3 3 2 3 4 2" xfId="3524"/>
    <cellStyle name="Millares 2 3 3 2 3 5" xfId="2244"/>
    <cellStyle name="Millares 2 3 3 2 4" xfId="344"/>
    <cellStyle name="Millares 2 3 3 2 4 2" xfId="984"/>
    <cellStyle name="Millares 2 3 3 2 4 2 2" xfId="3012"/>
    <cellStyle name="Millares 2 3 3 2 4 3" xfId="1624"/>
    <cellStyle name="Millares 2 3 3 2 4 3 2" xfId="3652"/>
    <cellStyle name="Millares 2 3 3 2 4 4" xfId="2372"/>
    <cellStyle name="Millares 2 3 3 2 5" xfId="472"/>
    <cellStyle name="Millares 2 3 3 2 5 2" xfId="1112"/>
    <cellStyle name="Millares 2 3 3 2 5 2 2" xfId="3140"/>
    <cellStyle name="Millares 2 3 3 2 5 3" xfId="1752"/>
    <cellStyle name="Millares 2 3 3 2 5 3 2" xfId="3780"/>
    <cellStyle name="Millares 2 3 3 2 5 4" xfId="2500"/>
    <cellStyle name="Millares 2 3 3 2 6" xfId="728"/>
    <cellStyle name="Millares 2 3 3 2 6 2" xfId="2756"/>
    <cellStyle name="Millares 2 3 3 2 7" xfId="1368"/>
    <cellStyle name="Millares 2 3 3 2 7 2" xfId="3396"/>
    <cellStyle name="Millares 2 3 3 2 8" xfId="2008"/>
    <cellStyle name="Millares 2 3 3 2 8 2" xfId="4036"/>
    <cellStyle name="Millares 2 3 3 2 9" xfId="2116"/>
    <cellStyle name="Millares 2 3 3 3" xfId="120"/>
    <cellStyle name="Millares 2 3 3 3 2" xfId="248"/>
    <cellStyle name="Millares 2 3 3 3 2 2" xfId="632"/>
    <cellStyle name="Millares 2 3 3 3 2 2 2" xfId="1272"/>
    <cellStyle name="Millares 2 3 3 3 2 2 2 2" xfId="3300"/>
    <cellStyle name="Millares 2 3 3 3 2 2 3" xfId="1912"/>
    <cellStyle name="Millares 2 3 3 3 2 2 3 2" xfId="3940"/>
    <cellStyle name="Millares 2 3 3 3 2 2 4" xfId="2660"/>
    <cellStyle name="Millares 2 3 3 3 2 3" xfId="888"/>
    <cellStyle name="Millares 2 3 3 3 2 3 2" xfId="2916"/>
    <cellStyle name="Millares 2 3 3 3 2 4" xfId="1528"/>
    <cellStyle name="Millares 2 3 3 3 2 4 2" xfId="3556"/>
    <cellStyle name="Millares 2 3 3 3 2 5" xfId="2276"/>
    <cellStyle name="Millares 2 3 3 3 3" xfId="376"/>
    <cellStyle name="Millares 2 3 3 3 3 2" xfId="1016"/>
    <cellStyle name="Millares 2 3 3 3 3 2 2" xfId="3044"/>
    <cellStyle name="Millares 2 3 3 3 3 3" xfId="1656"/>
    <cellStyle name="Millares 2 3 3 3 3 3 2" xfId="3684"/>
    <cellStyle name="Millares 2 3 3 3 3 4" xfId="2404"/>
    <cellStyle name="Millares 2 3 3 3 4" xfId="504"/>
    <cellStyle name="Millares 2 3 3 3 4 2" xfId="1144"/>
    <cellStyle name="Millares 2 3 3 3 4 2 2" xfId="3172"/>
    <cellStyle name="Millares 2 3 3 3 4 3" xfId="1784"/>
    <cellStyle name="Millares 2 3 3 3 4 3 2" xfId="3812"/>
    <cellStyle name="Millares 2 3 3 3 4 4" xfId="2532"/>
    <cellStyle name="Millares 2 3 3 3 5" xfId="760"/>
    <cellStyle name="Millares 2 3 3 3 5 2" xfId="2788"/>
    <cellStyle name="Millares 2 3 3 3 6" xfId="1400"/>
    <cellStyle name="Millares 2 3 3 3 6 2" xfId="3428"/>
    <cellStyle name="Millares 2 3 3 3 7" xfId="2148"/>
    <cellStyle name="Millares 2 3 3 4" xfId="184"/>
    <cellStyle name="Millares 2 3 3 4 2" xfId="568"/>
    <cellStyle name="Millares 2 3 3 4 2 2" xfId="1208"/>
    <cellStyle name="Millares 2 3 3 4 2 2 2" xfId="3236"/>
    <cellStyle name="Millares 2 3 3 4 2 3" xfId="1848"/>
    <cellStyle name="Millares 2 3 3 4 2 3 2" xfId="3876"/>
    <cellStyle name="Millares 2 3 3 4 2 4" xfId="2596"/>
    <cellStyle name="Millares 2 3 3 4 3" xfId="824"/>
    <cellStyle name="Millares 2 3 3 4 3 2" xfId="2852"/>
    <cellStyle name="Millares 2 3 3 4 4" xfId="1464"/>
    <cellStyle name="Millares 2 3 3 4 4 2" xfId="3492"/>
    <cellStyle name="Millares 2 3 3 4 5" xfId="2212"/>
    <cellStyle name="Millares 2 3 3 5" xfId="312"/>
    <cellStyle name="Millares 2 3 3 5 2" xfId="952"/>
    <cellStyle name="Millares 2 3 3 5 2 2" xfId="2980"/>
    <cellStyle name="Millares 2 3 3 5 3" xfId="1592"/>
    <cellStyle name="Millares 2 3 3 5 3 2" xfId="3620"/>
    <cellStyle name="Millares 2 3 3 5 4" xfId="2340"/>
    <cellStyle name="Millares 2 3 3 6" xfId="440"/>
    <cellStyle name="Millares 2 3 3 6 2" xfId="1080"/>
    <cellStyle name="Millares 2 3 3 6 2 2" xfId="3108"/>
    <cellStyle name="Millares 2 3 3 6 3" xfId="1720"/>
    <cellStyle name="Millares 2 3 3 6 3 2" xfId="3748"/>
    <cellStyle name="Millares 2 3 3 6 4" xfId="2468"/>
    <cellStyle name="Millares 2 3 3 7" xfId="696"/>
    <cellStyle name="Millares 2 3 3 7 2" xfId="2724"/>
    <cellStyle name="Millares 2 3 3 8" xfId="1336"/>
    <cellStyle name="Millares 2 3 3 8 2" xfId="3364"/>
    <cellStyle name="Millares 2 3 3 9" xfId="1976"/>
    <cellStyle name="Millares 2 3 3 9 2" xfId="4004"/>
    <cellStyle name="Millares 2 3 4" xfId="72"/>
    <cellStyle name="Millares 2 3 4 2" xfId="136"/>
    <cellStyle name="Millares 2 3 4 2 2" xfId="264"/>
    <cellStyle name="Millares 2 3 4 2 2 2" xfId="648"/>
    <cellStyle name="Millares 2 3 4 2 2 2 2" xfId="1288"/>
    <cellStyle name="Millares 2 3 4 2 2 2 2 2" xfId="3316"/>
    <cellStyle name="Millares 2 3 4 2 2 2 3" xfId="1928"/>
    <cellStyle name="Millares 2 3 4 2 2 2 3 2" xfId="3956"/>
    <cellStyle name="Millares 2 3 4 2 2 2 4" xfId="2676"/>
    <cellStyle name="Millares 2 3 4 2 2 3" xfId="904"/>
    <cellStyle name="Millares 2 3 4 2 2 3 2" xfId="2932"/>
    <cellStyle name="Millares 2 3 4 2 2 4" xfId="1544"/>
    <cellStyle name="Millares 2 3 4 2 2 4 2" xfId="3572"/>
    <cellStyle name="Millares 2 3 4 2 2 5" xfId="2292"/>
    <cellStyle name="Millares 2 3 4 2 3" xfId="392"/>
    <cellStyle name="Millares 2 3 4 2 3 2" xfId="1032"/>
    <cellStyle name="Millares 2 3 4 2 3 2 2" xfId="3060"/>
    <cellStyle name="Millares 2 3 4 2 3 3" xfId="1672"/>
    <cellStyle name="Millares 2 3 4 2 3 3 2" xfId="3700"/>
    <cellStyle name="Millares 2 3 4 2 3 4" xfId="2420"/>
    <cellStyle name="Millares 2 3 4 2 4" xfId="520"/>
    <cellStyle name="Millares 2 3 4 2 4 2" xfId="1160"/>
    <cellStyle name="Millares 2 3 4 2 4 2 2" xfId="3188"/>
    <cellStyle name="Millares 2 3 4 2 4 3" xfId="1800"/>
    <cellStyle name="Millares 2 3 4 2 4 3 2" xfId="3828"/>
    <cellStyle name="Millares 2 3 4 2 4 4" xfId="2548"/>
    <cellStyle name="Millares 2 3 4 2 5" xfId="776"/>
    <cellStyle name="Millares 2 3 4 2 5 2" xfId="2804"/>
    <cellStyle name="Millares 2 3 4 2 6" xfId="1416"/>
    <cellStyle name="Millares 2 3 4 2 6 2" xfId="3444"/>
    <cellStyle name="Millares 2 3 4 2 7" xfId="2164"/>
    <cellStyle name="Millares 2 3 4 3" xfId="200"/>
    <cellStyle name="Millares 2 3 4 3 2" xfId="584"/>
    <cellStyle name="Millares 2 3 4 3 2 2" xfId="1224"/>
    <cellStyle name="Millares 2 3 4 3 2 2 2" xfId="3252"/>
    <cellStyle name="Millares 2 3 4 3 2 3" xfId="1864"/>
    <cellStyle name="Millares 2 3 4 3 2 3 2" xfId="3892"/>
    <cellStyle name="Millares 2 3 4 3 2 4" xfId="2612"/>
    <cellStyle name="Millares 2 3 4 3 3" xfId="840"/>
    <cellStyle name="Millares 2 3 4 3 3 2" xfId="2868"/>
    <cellStyle name="Millares 2 3 4 3 4" xfId="1480"/>
    <cellStyle name="Millares 2 3 4 3 4 2" xfId="3508"/>
    <cellStyle name="Millares 2 3 4 3 5" xfId="2228"/>
    <cellStyle name="Millares 2 3 4 4" xfId="328"/>
    <cellStyle name="Millares 2 3 4 4 2" xfId="968"/>
    <cellStyle name="Millares 2 3 4 4 2 2" xfId="2996"/>
    <cellStyle name="Millares 2 3 4 4 3" xfId="1608"/>
    <cellStyle name="Millares 2 3 4 4 3 2" xfId="3636"/>
    <cellStyle name="Millares 2 3 4 4 4" xfId="2356"/>
    <cellStyle name="Millares 2 3 4 5" xfId="456"/>
    <cellStyle name="Millares 2 3 4 5 2" xfId="1096"/>
    <cellStyle name="Millares 2 3 4 5 2 2" xfId="3124"/>
    <cellStyle name="Millares 2 3 4 5 3" xfId="1736"/>
    <cellStyle name="Millares 2 3 4 5 3 2" xfId="3764"/>
    <cellStyle name="Millares 2 3 4 5 4" xfId="2484"/>
    <cellStyle name="Millares 2 3 4 6" xfId="712"/>
    <cellStyle name="Millares 2 3 4 6 2" xfId="2740"/>
    <cellStyle name="Millares 2 3 4 7" xfId="1352"/>
    <cellStyle name="Millares 2 3 4 7 2" xfId="3380"/>
    <cellStyle name="Millares 2 3 4 8" xfId="1992"/>
    <cellStyle name="Millares 2 3 4 8 2" xfId="4020"/>
    <cellStyle name="Millares 2 3 4 9" xfId="2100"/>
    <cellStyle name="Millares 2 3 5" xfId="104"/>
    <cellStyle name="Millares 2 3 5 2" xfId="232"/>
    <cellStyle name="Millares 2 3 5 2 2" xfId="616"/>
    <cellStyle name="Millares 2 3 5 2 2 2" xfId="1256"/>
    <cellStyle name="Millares 2 3 5 2 2 2 2" xfId="3284"/>
    <cellStyle name="Millares 2 3 5 2 2 3" xfId="1896"/>
    <cellStyle name="Millares 2 3 5 2 2 3 2" xfId="3924"/>
    <cellStyle name="Millares 2 3 5 2 2 4" xfId="2644"/>
    <cellStyle name="Millares 2 3 5 2 3" xfId="872"/>
    <cellStyle name="Millares 2 3 5 2 3 2" xfId="2900"/>
    <cellStyle name="Millares 2 3 5 2 4" xfId="1512"/>
    <cellStyle name="Millares 2 3 5 2 4 2" xfId="3540"/>
    <cellStyle name="Millares 2 3 5 2 5" xfId="2260"/>
    <cellStyle name="Millares 2 3 5 3" xfId="360"/>
    <cellStyle name="Millares 2 3 5 3 2" xfId="1000"/>
    <cellStyle name="Millares 2 3 5 3 2 2" xfId="3028"/>
    <cellStyle name="Millares 2 3 5 3 3" xfId="1640"/>
    <cellStyle name="Millares 2 3 5 3 3 2" xfId="3668"/>
    <cellStyle name="Millares 2 3 5 3 4" xfId="2388"/>
    <cellStyle name="Millares 2 3 5 4" xfId="488"/>
    <cellStyle name="Millares 2 3 5 4 2" xfId="1128"/>
    <cellStyle name="Millares 2 3 5 4 2 2" xfId="3156"/>
    <cellStyle name="Millares 2 3 5 4 3" xfId="1768"/>
    <cellStyle name="Millares 2 3 5 4 3 2" xfId="3796"/>
    <cellStyle name="Millares 2 3 5 4 4" xfId="2516"/>
    <cellStyle name="Millares 2 3 5 5" xfId="744"/>
    <cellStyle name="Millares 2 3 5 5 2" xfId="2772"/>
    <cellStyle name="Millares 2 3 5 6" xfId="1384"/>
    <cellStyle name="Millares 2 3 5 6 2" xfId="3412"/>
    <cellStyle name="Millares 2 3 5 7" xfId="2132"/>
    <cellStyle name="Millares 2 3 6" xfId="168"/>
    <cellStyle name="Millares 2 3 6 2" xfId="552"/>
    <cellStyle name="Millares 2 3 6 2 2" xfId="1192"/>
    <cellStyle name="Millares 2 3 6 2 2 2" xfId="3220"/>
    <cellStyle name="Millares 2 3 6 2 3" xfId="1832"/>
    <cellStyle name="Millares 2 3 6 2 3 2" xfId="3860"/>
    <cellStyle name="Millares 2 3 6 2 4" xfId="2580"/>
    <cellStyle name="Millares 2 3 6 3" xfId="808"/>
    <cellStyle name="Millares 2 3 6 3 2" xfId="2836"/>
    <cellStyle name="Millares 2 3 6 4" xfId="1448"/>
    <cellStyle name="Millares 2 3 6 4 2" xfId="3476"/>
    <cellStyle name="Millares 2 3 6 5" xfId="2196"/>
    <cellStyle name="Millares 2 3 7" xfId="296"/>
    <cellStyle name="Millares 2 3 7 2" xfId="936"/>
    <cellStyle name="Millares 2 3 7 2 2" xfId="2964"/>
    <cellStyle name="Millares 2 3 7 3" xfId="1576"/>
    <cellStyle name="Millares 2 3 7 3 2" xfId="3604"/>
    <cellStyle name="Millares 2 3 7 4" xfId="2324"/>
    <cellStyle name="Millares 2 3 8" xfId="424"/>
    <cellStyle name="Millares 2 3 8 2" xfId="1064"/>
    <cellStyle name="Millares 2 3 8 2 2" xfId="3092"/>
    <cellStyle name="Millares 2 3 8 3" xfId="1704"/>
    <cellStyle name="Millares 2 3 8 3 2" xfId="3732"/>
    <cellStyle name="Millares 2 3 8 4" xfId="2452"/>
    <cellStyle name="Millares 2 3 9" xfId="680"/>
    <cellStyle name="Millares 2 3 9 2" xfId="2708"/>
    <cellStyle name="Millares 2 4" xfId="24"/>
    <cellStyle name="Millares 2 4 10" xfId="1964"/>
    <cellStyle name="Millares 2 4 10 2" xfId="3992"/>
    <cellStyle name="Millares 2 4 11" xfId="44"/>
    <cellStyle name="Millares 2 4 11 2" xfId="2072"/>
    <cellStyle name="Millares 2 4 12" xfId="2054"/>
    <cellStyle name="Millares 2 4 2" xfId="60"/>
    <cellStyle name="Millares 2 4 2 10" xfId="2088"/>
    <cellStyle name="Millares 2 4 2 2" xfId="92"/>
    <cellStyle name="Millares 2 4 2 2 2" xfId="156"/>
    <cellStyle name="Millares 2 4 2 2 2 2" xfId="284"/>
    <cellStyle name="Millares 2 4 2 2 2 2 2" xfId="668"/>
    <cellStyle name="Millares 2 4 2 2 2 2 2 2" xfId="1308"/>
    <cellStyle name="Millares 2 4 2 2 2 2 2 2 2" xfId="3336"/>
    <cellStyle name="Millares 2 4 2 2 2 2 2 3" xfId="1948"/>
    <cellStyle name="Millares 2 4 2 2 2 2 2 3 2" xfId="3976"/>
    <cellStyle name="Millares 2 4 2 2 2 2 2 4" xfId="2696"/>
    <cellStyle name="Millares 2 4 2 2 2 2 3" xfId="924"/>
    <cellStyle name="Millares 2 4 2 2 2 2 3 2" xfId="2952"/>
    <cellStyle name="Millares 2 4 2 2 2 2 4" xfId="1564"/>
    <cellStyle name="Millares 2 4 2 2 2 2 4 2" xfId="3592"/>
    <cellStyle name="Millares 2 4 2 2 2 2 5" xfId="2312"/>
    <cellStyle name="Millares 2 4 2 2 2 3" xfId="412"/>
    <cellStyle name="Millares 2 4 2 2 2 3 2" xfId="1052"/>
    <cellStyle name="Millares 2 4 2 2 2 3 2 2" xfId="3080"/>
    <cellStyle name="Millares 2 4 2 2 2 3 3" xfId="1692"/>
    <cellStyle name="Millares 2 4 2 2 2 3 3 2" xfId="3720"/>
    <cellStyle name="Millares 2 4 2 2 2 3 4" xfId="2440"/>
    <cellStyle name="Millares 2 4 2 2 2 4" xfId="540"/>
    <cellStyle name="Millares 2 4 2 2 2 4 2" xfId="1180"/>
    <cellStyle name="Millares 2 4 2 2 2 4 2 2" xfId="3208"/>
    <cellStyle name="Millares 2 4 2 2 2 4 3" xfId="1820"/>
    <cellStyle name="Millares 2 4 2 2 2 4 3 2" xfId="3848"/>
    <cellStyle name="Millares 2 4 2 2 2 4 4" xfId="2568"/>
    <cellStyle name="Millares 2 4 2 2 2 5" xfId="796"/>
    <cellStyle name="Millares 2 4 2 2 2 5 2" xfId="2824"/>
    <cellStyle name="Millares 2 4 2 2 2 6" xfId="1436"/>
    <cellStyle name="Millares 2 4 2 2 2 6 2" xfId="3464"/>
    <cellStyle name="Millares 2 4 2 2 2 7" xfId="2184"/>
    <cellStyle name="Millares 2 4 2 2 3" xfId="220"/>
    <cellStyle name="Millares 2 4 2 2 3 2" xfId="604"/>
    <cellStyle name="Millares 2 4 2 2 3 2 2" xfId="1244"/>
    <cellStyle name="Millares 2 4 2 2 3 2 2 2" xfId="3272"/>
    <cellStyle name="Millares 2 4 2 2 3 2 3" xfId="1884"/>
    <cellStyle name="Millares 2 4 2 2 3 2 3 2" xfId="3912"/>
    <cellStyle name="Millares 2 4 2 2 3 2 4" xfId="2632"/>
    <cellStyle name="Millares 2 4 2 2 3 3" xfId="860"/>
    <cellStyle name="Millares 2 4 2 2 3 3 2" xfId="2888"/>
    <cellStyle name="Millares 2 4 2 2 3 4" xfId="1500"/>
    <cellStyle name="Millares 2 4 2 2 3 4 2" xfId="3528"/>
    <cellStyle name="Millares 2 4 2 2 3 5" xfId="2248"/>
    <cellStyle name="Millares 2 4 2 2 4" xfId="348"/>
    <cellStyle name="Millares 2 4 2 2 4 2" xfId="988"/>
    <cellStyle name="Millares 2 4 2 2 4 2 2" xfId="3016"/>
    <cellStyle name="Millares 2 4 2 2 4 3" xfId="1628"/>
    <cellStyle name="Millares 2 4 2 2 4 3 2" xfId="3656"/>
    <cellStyle name="Millares 2 4 2 2 4 4" xfId="2376"/>
    <cellStyle name="Millares 2 4 2 2 5" xfId="476"/>
    <cellStyle name="Millares 2 4 2 2 5 2" xfId="1116"/>
    <cellStyle name="Millares 2 4 2 2 5 2 2" xfId="3144"/>
    <cellStyle name="Millares 2 4 2 2 5 3" xfId="1756"/>
    <cellStyle name="Millares 2 4 2 2 5 3 2" xfId="3784"/>
    <cellStyle name="Millares 2 4 2 2 5 4" xfId="2504"/>
    <cellStyle name="Millares 2 4 2 2 6" xfId="732"/>
    <cellStyle name="Millares 2 4 2 2 6 2" xfId="2760"/>
    <cellStyle name="Millares 2 4 2 2 7" xfId="1372"/>
    <cellStyle name="Millares 2 4 2 2 7 2" xfId="3400"/>
    <cellStyle name="Millares 2 4 2 2 8" xfId="2012"/>
    <cellStyle name="Millares 2 4 2 2 8 2" xfId="4040"/>
    <cellStyle name="Millares 2 4 2 2 9" xfId="2120"/>
    <cellStyle name="Millares 2 4 2 3" xfId="124"/>
    <cellStyle name="Millares 2 4 2 3 2" xfId="252"/>
    <cellStyle name="Millares 2 4 2 3 2 2" xfId="636"/>
    <cellStyle name="Millares 2 4 2 3 2 2 2" xfId="1276"/>
    <cellStyle name="Millares 2 4 2 3 2 2 2 2" xfId="3304"/>
    <cellStyle name="Millares 2 4 2 3 2 2 3" xfId="1916"/>
    <cellStyle name="Millares 2 4 2 3 2 2 3 2" xfId="3944"/>
    <cellStyle name="Millares 2 4 2 3 2 2 4" xfId="2664"/>
    <cellStyle name="Millares 2 4 2 3 2 3" xfId="892"/>
    <cellStyle name="Millares 2 4 2 3 2 3 2" xfId="2920"/>
    <cellStyle name="Millares 2 4 2 3 2 4" xfId="1532"/>
    <cellStyle name="Millares 2 4 2 3 2 4 2" xfId="3560"/>
    <cellStyle name="Millares 2 4 2 3 2 5" xfId="2280"/>
    <cellStyle name="Millares 2 4 2 3 3" xfId="380"/>
    <cellStyle name="Millares 2 4 2 3 3 2" xfId="1020"/>
    <cellStyle name="Millares 2 4 2 3 3 2 2" xfId="3048"/>
    <cellStyle name="Millares 2 4 2 3 3 3" xfId="1660"/>
    <cellStyle name="Millares 2 4 2 3 3 3 2" xfId="3688"/>
    <cellStyle name="Millares 2 4 2 3 3 4" xfId="2408"/>
    <cellStyle name="Millares 2 4 2 3 4" xfId="508"/>
    <cellStyle name="Millares 2 4 2 3 4 2" xfId="1148"/>
    <cellStyle name="Millares 2 4 2 3 4 2 2" xfId="3176"/>
    <cellStyle name="Millares 2 4 2 3 4 3" xfId="1788"/>
    <cellStyle name="Millares 2 4 2 3 4 3 2" xfId="3816"/>
    <cellStyle name="Millares 2 4 2 3 4 4" xfId="2536"/>
    <cellStyle name="Millares 2 4 2 3 5" xfId="764"/>
    <cellStyle name="Millares 2 4 2 3 5 2" xfId="2792"/>
    <cellStyle name="Millares 2 4 2 3 6" xfId="1404"/>
    <cellStyle name="Millares 2 4 2 3 6 2" xfId="3432"/>
    <cellStyle name="Millares 2 4 2 3 7" xfId="2152"/>
    <cellStyle name="Millares 2 4 2 4" xfId="188"/>
    <cellStyle name="Millares 2 4 2 4 2" xfId="572"/>
    <cellStyle name="Millares 2 4 2 4 2 2" xfId="1212"/>
    <cellStyle name="Millares 2 4 2 4 2 2 2" xfId="3240"/>
    <cellStyle name="Millares 2 4 2 4 2 3" xfId="1852"/>
    <cellStyle name="Millares 2 4 2 4 2 3 2" xfId="3880"/>
    <cellStyle name="Millares 2 4 2 4 2 4" xfId="2600"/>
    <cellStyle name="Millares 2 4 2 4 3" xfId="828"/>
    <cellStyle name="Millares 2 4 2 4 3 2" xfId="2856"/>
    <cellStyle name="Millares 2 4 2 4 4" xfId="1468"/>
    <cellStyle name="Millares 2 4 2 4 4 2" xfId="3496"/>
    <cellStyle name="Millares 2 4 2 4 5" xfId="2216"/>
    <cellStyle name="Millares 2 4 2 5" xfId="316"/>
    <cellStyle name="Millares 2 4 2 5 2" xfId="956"/>
    <cellStyle name="Millares 2 4 2 5 2 2" xfId="2984"/>
    <cellStyle name="Millares 2 4 2 5 3" xfId="1596"/>
    <cellStyle name="Millares 2 4 2 5 3 2" xfId="3624"/>
    <cellStyle name="Millares 2 4 2 5 4" xfId="2344"/>
    <cellStyle name="Millares 2 4 2 6" xfId="444"/>
    <cellStyle name="Millares 2 4 2 6 2" xfId="1084"/>
    <cellStyle name="Millares 2 4 2 6 2 2" xfId="3112"/>
    <cellStyle name="Millares 2 4 2 6 3" xfId="1724"/>
    <cellStyle name="Millares 2 4 2 6 3 2" xfId="3752"/>
    <cellStyle name="Millares 2 4 2 6 4" xfId="2472"/>
    <cellStyle name="Millares 2 4 2 7" xfId="700"/>
    <cellStyle name="Millares 2 4 2 7 2" xfId="2728"/>
    <cellStyle name="Millares 2 4 2 8" xfId="1340"/>
    <cellStyle name="Millares 2 4 2 8 2" xfId="3368"/>
    <cellStyle name="Millares 2 4 2 9" xfId="1980"/>
    <cellStyle name="Millares 2 4 2 9 2" xfId="4008"/>
    <cellStyle name="Millares 2 4 3" xfId="76"/>
    <cellStyle name="Millares 2 4 3 2" xfId="140"/>
    <cellStyle name="Millares 2 4 3 2 2" xfId="268"/>
    <cellStyle name="Millares 2 4 3 2 2 2" xfId="652"/>
    <cellStyle name="Millares 2 4 3 2 2 2 2" xfId="1292"/>
    <cellStyle name="Millares 2 4 3 2 2 2 2 2" xfId="3320"/>
    <cellStyle name="Millares 2 4 3 2 2 2 3" xfId="1932"/>
    <cellStyle name="Millares 2 4 3 2 2 2 3 2" xfId="3960"/>
    <cellStyle name="Millares 2 4 3 2 2 2 4" xfId="2680"/>
    <cellStyle name="Millares 2 4 3 2 2 3" xfId="908"/>
    <cellStyle name="Millares 2 4 3 2 2 3 2" xfId="2936"/>
    <cellStyle name="Millares 2 4 3 2 2 4" xfId="1548"/>
    <cellStyle name="Millares 2 4 3 2 2 4 2" xfId="3576"/>
    <cellStyle name="Millares 2 4 3 2 2 5" xfId="2296"/>
    <cellStyle name="Millares 2 4 3 2 3" xfId="396"/>
    <cellStyle name="Millares 2 4 3 2 3 2" xfId="1036"/>
    <cellStyle name="Millares 2 4 3 2 3 2 2" xfId="3064"/>
    <cellStyle name="Millares 2 4 3 2 3 3" xfId="1676"/>
    <cellStyle name="Millares 2 4 3 2 3 3 2" xfId="3704"/>
    <cellStyle name="Millares 2 4 3 2 3 4" xfId="2424"/>
    <cellStyle name="Millares 2 4 3 2 4" xfId="524"/>
    <cellStyle name="Millares 2 4 3 2 4 2" xfId="1164"/>
    <cellStyle name="Millares 2 4 3 2 4 2 2" xfId="3192"/>
    <cellStyle name="Millares 2 4 3 2 4 3" xfId="1804"/>
    <cellStyle name="Millares 2 4 3 2 4 3 2" xfId="3832"/>
    <cellStyle name="Millares 2 4 3 2 4 4" xfId="2552"/>
    <cellStyle name="Millares 2 4 3 2 5" xfId="780"/>
    <cellStyle name="Millares 2 4 3 2 5 2" xfId="2808"/>
    <cellStyle name="Millares 2 4 3 2 6" xfId="1420"/>
    <cellStyle name="Millares 2 4 3 2 6 2" xfId="3448"/>
    <cellStyle name="Millares 2 4 3 2 7" xfId="2168"/>
    <cellStyle name="Millares 2 4 3 3" xfId="204"/>
    <cellStyle name="Millares 2 4 3 3 2" xfId="588"/>
    <cellStyle name="Millares 2 4 3 3 2 2" xfId="1228"/>
    <cellStyle name="Millares 2 4 3 3 2 2 2" xfId="3256"/>
    <cellStyle name="Millares 2 4 3 3 2 3" xfId="1868"/>
    <cellStyle name="Millares 2 4 3 3 2 3 2" xfId="3896"/>
    <cellStyle name="Millares 2 4 3 3 2 4" xfId="2616"/>
    <cellStyle name="Millares 2 4 3 3 3" xfId="844"/>
    <cellStyle name="Millares 2 4 3 3 3 2" xfId="2872"/>
    <cellStyle name="Millares 2 4 3 3 4" xfId="1484"/>
    <cellStyle name="Millares 2 4 3 3 4 2" xfId="3512"/>
    <cellStyle name="Millares 2 4 3 3 5" xfId="2232"/>
    <cellStyle name="Millares 2 4 3 4" xfId="332"/>
    <cellStyle name="Millares 2 4 3 4 2" xfId="972"/>
    <cellStyle name="Millares 2 4 3 4 2 2" xfId="3000"/>
    <cellStyle name="Millares 2 4 3 4 3" xfId="1612"/>
    <cellStyle name="Millares 2 4 3 4 3 2" xfId="3640"/>
    <cellStyle name="Millares 2 4 3 4 4" xfId="2360"/>
    <cellStyle name="Millares 2 4 3 5" xfId="460"/>
    <cellStyle name="Millares 2 4 3 5 2" xfId="1100"/>
    <cellStyle name="Millares 2 4 3 5 2 2" xfId="3128"/>
    <cellStyle name="Millares 2 4 3 5 3" xfId="1740"/>
    <cellStyle name="Millares 2 4 3 5 3 2" xfId="3768"/>
    <cellStyle name="Millares 2 4 3 5 4" xfId="2488"/>
    <cellStyle name="Millares 2 4 3 6" xfId="716"/>
    <cellStyle name="Millares 2 4 3 6 2" xfId="2744"/>
    <cellStyle name="Millares 2 4 3 7" xfId="1356"/>
    <cellStyle name="Millares 2 4 3 7 2" xfId="3384"/>
    <cellStyle name="Millares 2 4 3 8" xfId="1996"/>
    <cellStyle name="Millares 2 4 3 8 2" xfId="4024"/>
    <cellStyle name="Millares 2 4 3 9" xfId="2104"/>
    <cellStyle name="Millares 2 4 4" xfId="108"/>
    <cellStyle name="Millares 2 4 4 2" xfId="236"/>
    <cellStyle name="Millares 2 4 4 2 2" xfId="620"/>
    <cellStyle name="Millares 2 4 4 2 2 2" xfId="1260"/>
    <cellStyle name="Millares 2 4 4 2 2 2 2" xfId="3288"/>
    <cellStyle name="Millares 2 4 4 2 2 3" xfId="1900"/>
    <cellStyle name="Millares 2 4 4 2 2 3 2" xfId="3928"/>
    <cellStyle name="Millares 2 4 4 2 2 4" xfId="2648"/>
    <cellStyle name="Millares 2 4 4 2 3" xfId="876"/>
    <cellStyle name="Millares 2 4 4 2 3 2" xfId="2904"/>
    <cellStyle name="Millares 2 4 4 2 4" xfId="1516"/>
    <cellStyle name="Millares 2 4 4 2 4 2" xfId="3544"/>
    <cellStyle name="Millares 2 4 4 2 5" xfId="2264"/>
    <cellStyle name="Millares 2 4 4 3" xfId="364"/>
    <cellStyle name="Millares 2 4 4 3 2" xfId="1004"/>
    <cellStyle name="Millares 2 4 4 3 2 2" xfId="3032"/>
    <cellStyle name="Millares 2 4 4 3 3" xfId="1644"/>
    <cellStyle name="Millares 2 4 4 3 3 2" xfId="3672"/>
    <cellStyle name="Millares 2 4 4 3 4" xfId="2392"/>
    <cellStyle name="Millares 2 4 4 4" xfId="492"/>
    <cellStyle name="Millares 2 4 4 4 2" xfId="1132"/>
    <cellStyle name="Millares 2 4 4 4 2 2" xfId="3160"/>
    <cellStyle name="Millares 2 4 4 4 3" xfId="1772"/>
    <cellStyle name="Millares 2 4 4 4 3 2" xfId="3800"/>
    <cellStyle name="Millares 2 4 4 4 4" xfId="2520"/>
    <cellStyle name="Millares 2 4 4 5" xfId="748"/>
    <cellStyle name="Millares 2 4 4 5 2" xfId="2776"/>
    <cellStyle name="Millares 2 4 4 6" xfId="1388"/>
    <cellStyle name="Millares 2 4 4 6 2" xfId="3416"/>
    <cellStyle name="Millares 2 4 4 7" xfId="2136"/>
    <cellStyle name="Millares 2 4 5" xfId="172"/>
    <cellStyle name="Millares 2 4 5 2" xfId="556"/>
    <cellStyle name="Millares 2 4 5 2 2" xfId="1196"/>
    <cellStyle name="Millares 2 4 5 2 2 2" xfId="3224"/>
    <cellStyle name="Millares 2 4 5 2 3" xfId="1836"/>
    <cellStyle name="Millares 2 4 5 2 3 2" xfId="3864"/>
    <cellStyle name="Millares 2 4 5 2 4" xfId="2584"/>
    <cellStyle name="Millares 2 4 5 3" xfId="812"/>
    <cellStyle name="Millares 2 4 5 3 2" xfId="2840"/>
    <cellStyle name="Millares 2 4 5 4" xfId="1452"/>
    <cellStyle name="Millares 2 4 5 4 2" xfId="3480"/>
    <cellStyle name="Millares 2 4 5 5" xfId="2200"/>
    <cellStyle name="Millares 2 4 6" xfId="300"/>
    <cellStyle name="Millares 2 4 6 2" xfId="940"/>
    <cellStyle name="Millares 2 4 6 2 2" xfId="2968"/>
    <cellStyle name="Millares 2 4 6 3" xfId="1580"/>
    <cellStyle name="Millares 2 4 6 3 2" xfId="3608"/>
    <cellStyle name="Millares 2 4 6 4" xfId="2328"/>
    <cellStyle name="Millares 2 4 7" xfId="428"/>
    <cellStyle name="Millares 2 4 7 2" xfId="1068"/>
    <cellStyle name="Millares 2 4 7 2 2" xfId="3096"/>
    <cellStyle name="Millares 2 4 7 3" xfId="1708"/>
    <cellStyle name="Millares 2 4 7 3 2" xfId="3736"/>
    <cellStyle name="Millares 2 4 7 4" xfId="2456"/>
    <cellStyle name="Millares 2 4 8" xfId="684"/>
    <cellStyle name="Millares 2 4 8 2" xfId="2712"/>
    <cellStyle name="Millares 2 4 9" xfId="1324"/>
    <cellStyle name="Millares 2 4 9 2" xfId="3352"/>
    <cellStyle name="Millares 2 5" xfId="52"/>
    <cellStyle name="Millares 2 5 10" xfId="2080"/>
    <cellStyle name="Millares 2 5 2" xfId="84"/>
    <cellStyle name="Millares 2 5 2 2" xfId="148"/>
    <cellStyle name="Millares 2 5 2 2 2" xfId="276"/>
    <cellStyle name="Millares 2 5 2 2 2 2" xfId="660"/>
    <cellStyle name="Millares 2 5 2 2 2 2 2" xfId="1300"/>
    <cellStyle name="Millares 2 5 2 2 2 2 2 2" xfId="3328"/>
    <cellStyle name="Millares 2 5 2 2 2 2 3" xfId="1940"/>
    <cellStyle name="Millares 2 5 2 2 2 2 3 2" xfId="3968"/>
    <cellStyle name="Millares 2 5 2 2 2 2 4" xfId="2688"/>
    <cellStyle name="Millares 2 5 2 2 2 3" xfId="916"/>
    <cellStyle name="Millares 2 5 2 2 2 3 2" xfId="2944"/>
    <cellStyle name="Millares 2 5 2 2 2 4" xfId="1556"/>
    <cellStyle name="Millares 2 5 2 2 2 4 2" xfId="3584"/>
    <cellStyle name="Millares 2 5 2 2 2 5" xfId="2304"/>
    <cellStyle name="Millares 2 5 2 2 3" xfId="404"/>
    <cellStyle name="Millares 2 5 2 2 3 2" xfId="1044"/>
    <cellStyle name="Millares 2 5 2 2 3 2 2" xfId="3072"/>
    <cellStyle name="Millares 2 5 2 2 3 3" xfId="1684"/>
    <cellStyle name="Millares 2 5 2 2 3 3 2" xfId="3712"/>
    <cellStyle name="Millares 2 5 2 2 3 4" xfId="2432"/>
    <cellStyle name="Millares 2 5 2 2 4" xfId="532"/>
    <cellStyle name="Millares 2 5 2 2 4 2" xfId="1172"/>
    <cellStyle name="Millares 2 5 2 2 4 2 2" xfId="3200"/>
    <cellStyle name="Millares 2 5 2 2 4 3" xfId="1812"/>
    <cellStyle name="Millares 2 5 2 2 4 3 2" xfId="3840"/>
    <cellStyle name="Millares 2 5 2 2 4 4" xfId="2560"/>
    <cellStyle name="Millares 2 5 2 2 5" xfId="788"/>
    <cellStyle name="Millares 2 5 2 2 5 2" xfId="2816"/>
    <cellStyle name="Millares 2 5 2 2 6" xfId="1428"/>
    <cellStyle name="Millares 2 5 2 2 6 2" xfId="3456"/>
    <cellStyle name="Millares 2 5 2 2 7" xfId="2176"/>
    <cellStyle name="Millares 2 5 2 3" xfId="212"/>
    <cellStyle name="Millares 2 5 2 3 2" xfId="596"/>
    <cellStyle name="Millares 2 5 2 3 2 2" xfId="1236"/>
    <cellStyle name="Millares 2 5 2 3 2 2 2" xfId="3264"/>
    <cellStyle name="Millares 2 5 2 3 2 3" xfId="1876"/>
    <cellStyle name="Millares 2 5 2 3 2 3 2" xfId="3904"/>
    <cellStyle name="Millares 2 5 2 3 2 4" xfId="2624"/>
    <cellStyle name="Millares 2 5 2 3 3" xfId="852"/>
    <cellStyle name="Millares 2 5 2 3 3 2" xfId="2880"/>
    <cellStyle name="Millares 2 5 2 3 4" xfId="1492"/>
    <cellStyle name="Millares 2 5 2 3 4 2" xfId="3520"/>
    <cellStyle name="Millares 2 5 2 3 5" xfId="2240"/>
    <cellStyle name="Millares 2 5 2 4" xfId="340"/>
    <cellStyle name="Millares 2 5 2 4 2" xfId="980"/>
    <cellStyle name="Millares 2 5 2 4 2 2" xfId="3008"/>
    <cellStyle name="Millares 2 5 2 4 3" xfId="1620"/>
    <cellStyle name="Millares 2 5 2 4 3 2" xfId="3648"/>
    <cellStyle name="Millares 2 5 2 4 4" xfId="2368"/>
    <cellStyle name="Millares 2 5 2 5" xfId="468"/>
    <cellStyle name="Millares 2 5 2 5 2" xfId="1108"/>
    <cellStyle name="Millares 2 5 2 5 2 2" xfId="3136"/>
    <cellStyle name="Millares 2 5 2 5 3" xfId="1748"/>
    <cellStyle name="Millares 2 5 2 5 3 2" xfId="3776"/>
    <cellStyle name="Millares 2 5 2 5 4" xfId="2496"/>
    <cellStyle name="Millares 2 5 2 6" xfId="724"/>
    <cellStyle name="Millares 2 5 2 6 2" xfId="2752"/>
    <cellStyle name="Millares 2 5 2 7" xfId="1364"/>
    <cellStyle name="Millares 2 5 2 7 2" xfId="3392"/>
    <cellStyle name="Millares 2 5 2 8" xfId="2004"/>
    <cellStyle name="Millares 2 5 2 8 2" xfId="4032"/>
    <cellStyle name="Millares 2 5 2 9" xfId="2112"/>
    <cellStyle name="Millares 2 5 3" xfId="116"/>
    <cellStyle name="Millares 2 5 3 2" xfId="244"/>
    <cellStyle name="Millares 2 5 3 2 2" xfId="628"/>
    <cellStyle name="Millares 2 5 3 2 2 2" xfId="1268"/>
    <cellStyle name="Millares 2 5 3 2 2 2 2" xfId="3296"/>
    <cellStyle name="Millares 2 5 3 2 2 3" xfId="1908"/>
    <cellStyle name="Millares 2 5 3 2 2 3 2" xfId="3936"/>
    <cellStyle name="Millares 2 5 3 2 2 4" xfId="2656"/>
    <cellStyle name="Millares 2 5 3 2 3" xfId="884"/>
    <cellStyle name="Millares 2 5 3 2 3 2" xfId="2912"/>
    <cellStyle name="Millares 2 5 3 2 4" xfId="1524"/>
    <cellStyle name="Millares 2 5 3 2 4 2" xfId="3552"/>
    <cellStyle name="Millares 2 5 3 2 5" xfId="2272"/>
    <cellStyle name="Millares 2 5 3 3" xfId="372"/>
    <cellStyle name="Millares 2 5 3 3 2" xfId="1012"/>
    <cellStyle name="Millares 2 5 3 3 2 2" xfId="3040"/>
    <cellStyle name="Millares 2 5 3 3 3" xfId="1652"/>
    <cellStyle name="Millares 2 5 3 3 3 2" xfId="3680"/>
    <cellStyle name="Millares 2 5 3 3 4" xfId="2400"/>
    <cellStyle name="Millares 2 5 3 4" xfId="500"/>
    <cellStyle name="Millares 2 5 3 4 2" xfId="1140"/>
    <cellStyle name="Millares 2 5 3 4 2 2" xfId="3168"/>
    <cellStyle name="Millares 2 5 3 4 3" xfId="1780"/>
    <cellStyle name="Millares 2 5 3 4 3 2" xfId="3808"/>
    <cellStyle name="Millares 2 5 3 4 4" xfId="2528"/>
    <cellStyle name="Millares 2 5 3 5" xfId="756"/>
    <cellStyle name="Millares 2 5 3 5 2" xfId="2784"/>
    <cellStyle name="Millares 2 5 3 6" xfId="1396"/>
    <cellStyle name="Millares 2 5 3 6 2" xfId="3424"/>
    <cellStyle name="Millares 2 5 3 7" xfId="2144"/>
    <cellStyle name="Millares 2 5 4" xfId="180"/>
    <cellStyle name="Millares 2 5 4 2" xfId="564"/>
    <cellStyle name="Millares 2 5 4 2 2" xfId="1204"/>
    <cellStyle name="Millares 2 5 4 2 2 2" xfId="3232"/>
    <cellStyle name="Millares 2 5 4 2 3" xfId="1844"/>
    <cellStyle name="Millares 2 5 4 2 3 2" xfId="3872"/>
    <cellStyle name="Millares 2 5 4 2 4" xfId="2592"/>
    <cellStyle name="Millares 2 5 4 3" xfId="820"/>
    <cellStyle name="Millares 2 5 4 3 2" xfId="2848"/>
    <cellStyle name="Millares 2 5 4 4" xfId="1460"/>
    <cellStyle name="Millares 2 5 4 4 2" xfId="3488"/>
    <cellStyle name="Millares 2 5 4 5" xfId="2208"/>
    <cellStyle name="Millares 2 5 5" xfId="308"/>
    <cellStyle name="Millares 2 5 5 2" xfId="948"/>
    <cellStyle name="Millares 2 5 5 2 2" xfId="2976"/>
    <cellStyle name="Millares 2 5 5 3" xfId="1588"/>
    <cellStyle name="Millares 2 5 5 3 2" xfId="3616"/>
    <cellStyle name="Millares 2 5 5 4" xfId="2336"/>
    <cellStyle name="Millares 2 5 6" xfId="436"/>
    <cellStyle name="Millares 2 5 6 2" xfId="1076"/>
    <cellStyle name="Millares 2 5 6 2 2" xfId="3104"/>
    <cellStyle name="Millares 2 5 6 3" xfId="1716"/>
    <cellStyle name="Millares 2 5 6 3 2" xfId="3744"/>
    <cellStyle name="Millares 2 5 6 4" xfId="2464"/>
    <cellStyle name="Millares 2 5 7" xfId="692"/>
    <cellStyle name="Millares 2 5 7 2" xfId="2720"/>
    <cellStyle name="Millares 2 5 8" xfId="1332"/>
    <cellStyle name="Millares 2 5 8 2" xfId="3360"/>
    <cellStyle name="Millares 2 5 9" xfId="1972"/>
    <cellStyle name="Millares 2 5 9 2" xfId="4000"/>
    <cellStyle name="Millares 2 6" xfId="68"/>
    <cellStyle name="Millares 2 6 2" xfId="132"/>
    <cellStyle name="Millares 2 6 2 2" xfId="260"/>
    <cellStyle name="Millares 2 6 2 2 2" xfId="644"/>
    <cellStyle name="Millares 2 6 2 2 2 2" xfId="1284"/>
    <cellStyle name="Millares 2 6 2 2 2 2 2" xfId="3312"/>
    <cellStyle name="Millares 2 6 2 2 2 3" xfId="1924"/>
    <cellStyle name="Millares 2 6 2 2 2 3 2" xfId="3952"/>
    <cellStyle name="Millares 2 6 2 2 2 4" xfId="2672"/>
    <cellStyle name="Millares 2 6 2 2 3" xfId="900"/>
    <cellStyle name="Millares 2 6 2 2 3 2" xfId="2928"/>
    <cellStyle name="Millares 2 6 2 2 4" xfId="1540"/>
    <cellStyle name="Millares 2 6 2 2 4 2" xfId="3568"/>
    <cellStyle name="Millares 2 6 2 2 5" xfId="2288"/>
    <cellStyle name="Millares 2 6 2 3" xfId="388"/>
    <cellStyle name="Millares 2 6 2 3 2" xfId="1028"/>
    <cellStyle name="Millares 2 6 2 3 2 2" xfId="3056"/>
    <cellStyle name="Millares 2 6 2 3 3" xfId="1668"/>
    <cellStyle name="Millares 2 6 2 3 3 2" xfId="3696"/>
    <cellStyle name="Millares 2 6 2 3 4" xfId="2416"/>
    <cellStyle name="Millares 2 6 2 4" xfId="516"/>
    <cellStyle name="Millares 2 6 2 4 2" xfId="1156"/>
    <cellStyle name="Millares 2 6 2 4 2 2" xfId="3184"/>
    <cellStyle name="Millares 2 6 2 4 3" xfId="1796"/>
    <cellStyle name="Millares 2 6 2 4 3 2" xfId="3824"/>
    <cellStyle name="Millares 2 6 2 4 4" xfId="2544"/>
    <cellStyle name="Millares 2 6 2 5" xfId="772"/>
    <cellStyle name="Millares 2 6 2 5 2" xfId="2800"/>
    <cellStyle name="Millares 2 6 2 6" xfId="1412"/>
    <cellStyle name="Millares 2 6 2 6 2" xfId="3440"/>
    <cellStyle name="Millares 2 6 2 7" xfId="2160"/>
    <cellStyle name="Millares 2 6 3" xfId="196"/>
    <cellStyle name="Millares 2 6 3 2" xfId="580"/>
    <cellStyle name="Millares 2 6 3 2 2" xfId="1220"/>
    <cellStyle name="Millares 2 6 3 2 2 2" xfId="3248"/>
    <cellStyle name="Millares 2 6 3 2 3" xfId="1860"/>
    <cellStyle name="Millares 2 6 3 2 3 2" xfId="3888"/>
    <cellStyle name="Millares 2 6 3 2 4" xfId="2608"/>
    <cellStyle name="Millares 2 6 3 3" xfId="836"/>
    <cellStyle name="Millares 2 6 3 3 2" xfId="2864"/>
    <cellStyle name="Millares 2 6 3 4" xfId="1476"/>
    <cellStyle name="Millares 2 6 3 4 2" xfId="3504"/>
    <cellStyle name="Millares 2 6 3 5" xfId="2224"/>
    <cellStyle name="Millares 2 6 4" xfId="324"/>
    <cellStyle name="Millares 2 6 4 2" xfId="964"/>
    <cellStyle name="Millares 2 6 4 2 2" xfId="2992"/>
    <cellStyle name="Millares 2 6 4 3" xfId="1604"/>
    <cellStyle name="Millares 2 6 4 3 2" xfId="3632"/>
    <cellStyle name="Millares 2 6 4 4" xfId="2352"/>
    <cellStyle name="Millares 2 6 5" xfId="452"/>
    <cellStyle name="Millares 2 6 5 2" xfId="1092"/>
    <cellStyle name="Millares 2 6 5 2 2" xfId="3120"/>
    <cellStyle name="Millares 2 6 5 3" xfId="1732"/>
    <cellStyle name="Millares 2 6 5 3 2" xfId="3760"/>
    <cellStyle name="Millares 2 6 5 4" xfId="2480"/>
    <cellStyle name="Millares 2 6 6" xfId="708"/>
    <cellStyle name="Millares 2 6 6 2" xfId="2736"/>
    <cellStyle name="Millares 2 6 7" xfId="1348"/>
    <cellStyle name="Millares 2 6 7 2" xfId="3376"/>
    <cellStyle name="Millares 2 6 8" xfId="1988"/>
    <cellStyle name="Millares 2 6 8 2" xfId="4016"/>
    <cellStyle name="Millares 2 6 9" xfId="2096"/>
    <cellStyle name="Millares 2 7" xfId="100"/>
    <cellStyle name="Millares 2 7 2" xfId="228"/>
    <cellStyle name="Millares 2 7 2 2" xfId="612"/>
    <cellStyle name="Millares 2 7 2 2 2" xfId="1252"/>
    <cellStyle name="Millares 2 7 2 2 2 2" xfId="3280"/>
    <cellStyle name="Millares 2 7 2 2 3" xfId="1892"/>
    <cellStyle name="Millares 2 7 2 2 3 2" xfId="3920"/>
    <cellStyle name="Millares 2 7 2 2 4" xfId="2640"/>
    <cellStyle name="Millares 2 7 2 3" xfId="868"/>
    <cellStyle name="Millares 2 7 2 3 2" xfId="2896"/>
    <cellStyle name="Millares 2 7 2 4" xfId="1508"/>
    <cellStyle name="Millares 2 7 2 4 2" xfId="3536"/>
    <cellStyle name="Millares 2 7 2 5" xfId="2256"/>
    <cellStyle name="Millares 2 7 3" xfId="356"/>
    <cellStyle name="Millares 2 7 3 2" xfId="996"/>
    <cellStyle name="Millares 2 7 3 2 2" xfId="3024"/>
    <cellStyle name="Millares 2 7 3 3" xfId="1636"/>
    <cellStyle name="Millares 2 7 3 3 2" xfId="3664"/>
    <cellStyle name="Millares 2 7 3 4" xfId="2384"/>
    <cellStyle name="Millares 2 7 4" xfId="484"/>
    <cellStyle name="Millares 2 7 4 2" xfId="1124"/>
    <cellStyle name="Millares 2 7 4 2 2" xfId="3152"/>
    <cellStyle name="Millares 2 7 4 3" xfId="1764"/>
    <cellStyle name="Millares 2 7 4 3 2" xfId="3792"/>
    <cellStyle name="Millares 2 7 4 4" xfId="2512"/>
    <cellStyle name="Millares 2 7 5" xfId="740"/>
    <cellStyle name="Millares 2 7 5 2" xfId="2768"/>
    <cellStyle name="Millares 2 7 6" xfId="1380"/>
    <cellStyle name="Millares 2 7 6 2" xfId="3408"/>
    <cellStyle name="Millares 2 7 7" xfId="2128"/>
    <cellStyle name="Millares 2 8" xfId="164"/>
    <cellStyle name="Millares 2 8 2" xfId="548"/>
    <cellStyle name="Millares 2 8 2 2" xfId="1188"/>
    <cellStyle name="Millares 2 8 2 2 2" xfId="3216"/>
    <cellStyle name="Millares 2 8 2 3" xfId="1828"/>
    <cellStyle name="Millares 2 8 2 3 2" xfId="3856"/>
    <cellStyle name="Millares 2 8 2 4" xfId="2576"/>
    <cellStyle name="Millares 2 8 3" xfId="804"/>
    <cellStyle name="Millares 2 8 3 2" xfId="2832"/>
    <cellStyle name="Millares 2 8 4" xfId="1444"/>
    <cellStyle name="Millares 2 8 4 2" xfId="3472"/>
    <cellStyle name="Millares 2 8 5" xfId="2192"/>
    <cellStyle name="Millares 2 9" xfId="292"/>
    <cellStyle name="Millares 2 9 2" xfId="932"/>
    <cellStyle name="Millares 2 9 2 2" xfId="2960"/>
    <cellStyle name="Millares 2 9 3" xfId="1572"/>
    <cellStyle name="Millares 2 9 3 2" xfId="3600"/>
    <cellStyle name="Millares 2 9 4" xfId="2320"/>
    <cellStyle name="Millares 20" xfId="35"/>
    <cellStyle name="Millares 20 2" xfId="2063"/>
    <cellStyle name="Millares 21" xfId="2019"/>
    <cellStyle name="Millares 21 2" xfId="4047"/>
    <cellStyle name="Millares 22" xfId="2020"/>
    <cellStyle name="Millares 22 2" xfId="4048"/>
    <cellStyle name="Millares 23" xfId="2021"/>
    <cellStyle name="Millares 23 2" xfId="4049"/>
    <cellStyle name="Millares 24" xfId="2022"/>
    <cellStyle name="Millares 24 2" xfId="4050"/>
    <cellStyle name="Millares 25" xfId="2023"/>
    <cellStyle name="Millares 25 2" xfId="4051"/>
    <cellStyle name="Millares 26" xfId="2030"/>
    <cellStyle name="Millares 26 2" xfId="4055"/>
    <cellStyle name="Millares 27" xfId="2031"/>
    <cellStyle name="Millares 27 2" xfId="4056"/>
    <cellStyle name="Millares 28" xfId="2032"/>
    <cellStyle name="Millares 28 2" xfId="4057"/>
    <cellStyle name="Millares 29" xfId="2033"/>
    <cellStyle name="Millares 29 2" xfId="2040"/>
    <cellStyle name="Millares 3" xfId="8"/>
    <cellStyle name="Millares 3 10" xfId="677"/>
    <cellStyle name="Millares 3 10 2" xfId="2705"/>
    <cellStyle name="Millares 3 11" xfId="1317"/>
    <cellStyle name="Millares 3 11 2" xfId="3345"/>
    <cellStyle name="Millares 3 12" xfId="1957"/>
    <cellStyle name="Millares 3 12 2" xfId="3985"/>
    <cellStyle name="Millares 3 13" xfId="37"/>
    <cellStyle name="Millares 3 13 2" xfId="2065"/>
    <cellStyle name="Millares 3 14" xfId="2026"/>
    <cellStyle name="Millares 3 14 2" xfId="4053"/>
    <cellStyle name="Millares 3 15" xfId="2042"/>
    <cellStyle name="Millares 3 2" xfId="23"/>
    <cellStyle name="Millares 3 2 10" xfId="1321"/>
    <cellStyle name="Millares 3 2 10 2" xfId="3349"/>
    <cellStyle name="Millares 3 2 11" xfId="1961"/>
    <cellStyle name="Millares 3 2 11 2" xfId="3989"/>
    <cellStyle name="Millares 3 2 12" xfId="41"/>
    <cellStyle name="Millares 3 2 12 2" xfId="2069"/>
    <cellStyle name="Millares 3 2 2" xfId="49"/>
    <cellStyle name="Millares 3 2 2 10" xfId="1969"/>
    <cellStyle name="Millares 3 2 2 10 2" xfId="3997"/>
    <cellStyle name="Millares 3 2 2 11" xfId="2077"/>
    <cellStyle name="Millares 3 2 2 2" xfId="65"/>
    <cellStyle name="Millares 3 2 2 2 10" xfId="2093"/>
    <cellStyle name="Millares 3 2 2 2 2" xfId="97"/>
    <cellStyle name="Millares 3 2 2 2 2 2" xfId="161"/>
    <cellStyle name="Millares 3 2 2 2 2 2 2" xfId="289"/>
    <cellStyle name="Millares 3 2 2 2 2 2 2 2" xfId="673"/>
    <cellStyle name="Millares 3 2 2 2 2 2 2 2 2" xfId="1313"/>
    <cellStyle name="Millares 3 2 2 2 2 2 2 2 2 2" xfId="3341"/>
    <cellStyle name="Millares 3 2 2 2 2 2 2 2 3" xfId="1953"/>
    <cellStyle name="Millares 3 2 2 2 2 2 2 2 3 2" xfId="3981"/>
    <cellStyle name="Millares 3 2 2 2 2 2 2 2 4" xfId="2701"/>
    <cellStyle name="Millares 3 2 2 2 2 2 2 3" xfId="929"/>
    <cellStyle name="Millares 3 2 2 2 2 2 2 3 2" xfId="2957"/>
    <cellStyle name="Millares 3 2 2 2 2 2 2 4" xfId="1569"/>
    <cellStyle name="Millares 3 2 2 2 2 2 2 4 2" xfId="3597"/>
    <cellStyle name="Millares 3 2 2 2 2 2 2 5" xfId="2317"/>
    <cellStyle name="Millares 3 2 2 2 2 2 3" xfId="417"/>
    <cellStyle name="Millares 3 2 2 2 2 2 3 2" xfId="1057"/>
    <cellStyle name="Millares 3 2 2 2 2 2 3 2 2" xfId="3085"/>
    <cellStyle name="Millares 3 2 2 2 2 2 3 3" xfId="1697"/>
    <cellStyle name="Millares 3 2 2 2 2 2 3 3 2" xfId="3725"/>
    <cellStyle name="Millares 3 2 2 2 2 2 3 4" xfId="2445"/>
    <cellStyle name="Millares 3 2 2 2 2 2 4" xfId="545"/>
    <cellStyle name="Millares 3 2 2 2 2 2 4 2" xfId="1185"/>
    <cellStyle name="Millares 3 2 2 2 2 2 4 2 2" xfId="3213"/>
    <cellStyle name="Millares 3 2 2 2 2 2 4 3" xfId="1825"/>
    <cellStyle name="Millares 3 2 2 2 2 2 4 3 2" xfId="3853"/>
    <cellStyle name="Millares 3 2 2 2 2 2 4 4" xfId="2573"/>
    <cellStyle name="Millares 3 2 2 2 2 2 5" xfId="801"/>
    <cellStyle name="Millares 3 2 2 2 2 2 5 2" xfId="2829"/>
    <cellStyle name="Millares 3 2 2 2 2 2 6" xfId="1441"/>
    <cellStyle name="Millares 3 2 2 2 2 2 6 2" xfId="3469"/>
    <cellStyle name="Millares 3 2 2 2 2 2 7" xfId="2189"/>
    <cellStyle name="Millares 3 2 2 2 2 3" xfId="225"/>
    <cellStyle name="Millares 3 2 2 2 2 3 2" xfId="609"/>
    <cellStyle name="Millares 3 2 2 2 2 3 2 2" xfId="1249"/>
    <cellStyle name="Millares 3 2 2 2 2 3 2 2 2" xfId="3277"/>
    <cellStyle name="Millares 3 2 2 2 2 3 2 3" xfId="1889"/>
    <cellStyle name="Millares 3 2 2 2 2 3 2 3 2" xfId="3917"/>
    <cellStyle name="Millares 3 2 2 2 2 3 2 4" xfId="2637"/>
    <cellStyle name="Millares 3 2 2 2 2 3 3" xfId="865"/>
    <cellStyle name="Millares 3 2 2 2 2 3 3 2" xfId="2893"/>
    <cellStyle name="Millares 3 2 2 2 2 3 4" xfId="1505"/>
    <cellStyle name="Millares 3 2 2 2 2 3 4 2" xfId="3533"/>
    <cellStyle name="Millares 3 2 2 2 2 3 5" xfId="2253"/>
    <cellStyle name="Millares 3 2 2 2 2 4" xfId="353"/>
    <cellStyle name="Millares 3 2 2 2 2 4 2" xfId="993"/>
    <cellStyle name="Millares 3 2 2 2 2 4 2 2" xfId="3021"/>
    <cellStyle name="Millares 3 2 2 2 2 4 3" xfId="1633"/>
    <cellStyle name="Millares 3 2 2 2 2 4 3 2" xfId="3661"/>
    <cellStyle name="Millares 3 2 2 2 2 4 4" xfId="2381"/>
    <cellStyle name="Millares 3 2 2 2 2 5" xfId="481"/>
    <cellStyle name="Millares 3 2 2 2 2 5 2" xfId="1121"/>
    <cellStyle name="Millares 3 2 2 2 2 5 2 2" xfId="3149"/>
    <cellStyle name="Millares 3 2 2 2 2 5 3" xfId="1761"/>
    <cellStyle name="Millares 3 2 2 2 2 5 3 2" xfId="3789"/>
    <cellStyle name="Millares 3 2 2 2 2 5 4" xfId="2509"/>
    <cellStyle name="Millares 3 2 2 2 2 6" xfId="737"/>
    <cellStyle name="Millares 3 2 2 2 2 6 2" xfId="2765"/>
    <cellStyle name="Millares 3 2 2 2 2 7" xfId="1377"/>
    <cellStyle name="Millares 3 2 2 2 2 7 2" xfId="3405"/>
    <cellStyle name="Millares 3 2 2 2 2 8" xfId="2017"/>
    <cellStyle name="Millares 3 2 2 2 2 8 2" xfId="4045"/>
    <cellStyle name="Millares 3 2 2 2 2 9" xfId="2125"/>
    <cellStyle name="Millares 3 2 2 2 3" xfId="129"/>
    <cellStyle name="Millares 3 2 2 2 3 2" xfId="257"/>
    <cellStyle name="Millares 3 2 2 2 3 2 2" xfId="641"/>
    <cellStyle name="Millares 3 2 2 2 3 2 2 2" xfId="1281"/>
    <cellStyle name="Millares 3 2 2 2 3 2 2 2 2" xfId="3309"/>
    <cellStyle name="Millares 3 2 2 2 3 2 2 3" xfId="1921"/>
    <cellStyle name="Millares 3 2 2 2 3 2 2 3 2" xfId="3949"/>
    <cellStyle name="Millares 3 2 2 2 3 2 2 4" xfId="2669"/>
    <cellStyle name="Millares 3 2 2 2 3 2 3" xfId="897"/>
    <cellStyle name="Millares 3 2 2 2 3 2 3 2" xfId="2925"/>
    <cellStyle name="Millares 3 2 2 2 3 2 4" xfId="1537"/>
    <cellStyle name="Millares 3 2 2 2 3 2 4 2" xfId="3565"/>
    <cellStyle name="Millares 3 2 2 2 3 2 5" xfId="2285"/>
    <cellStyle name="Millares 3 2 2 2 3 3" xfId="385"/>
    <cellStyle name="Millares 3 2 2 2 3 3 2" xfId="1025"/>
    <cellStyle name="Millares 3 2 2 2 3 3 2 2" xfId="3053"/>
    <cellStyle name="Millares 3 2 2 2 3 3 3" xfId="1665"/>
    <cellStyle name="Millares 3 2 2 2 3 3 3 2" xfId="3693"/>
    <cellStyle name="Millares 3 2 2 2 3 3 4" xfId="2413"/>
    <cellStyle name="Millares 3 2 2 2 3 4" xfId="513"/>
    <cellStyle name="Millares 3 2 2 2 3 4 2" xfId="1153"/>
    <cellStyle name="Millares 3 2 2 2 3 4 2 2" xfId="3181"/>
    <cellStyle name="Millares 3 2 2 2 3 4 3" xfId="1793"/>
    <cellStyle name="Millares 3 2 2 2 3 4 3 2" xfId="3821"/>
    <cellStyle name="Millares 3 2 2 2 3 4 4" xfId="2541"/>
    <cellStyle name="Millares 3 2 2 2 3 5" xfId="769"/>
    <cellStyle name="Millares 3 2 2 2 3 5 2" xfId="2797"/>
    <cellStyle name="Millares 3 2 2 2 3 6" xfId="1409"/>
    <cellStyle name="Millares 3 2 2 2 3 6 2" xfId="3437"/>
    <cellStyle name="Millares 3 2 2 2 3 7" xfId="2157"/>
    <cellStyle name="Millares 3 2 2 2 4" xfId="193"/>
    <cellStyle name="Millares 3 2 2 2 4 2" xfId="577"/>
    <cellStyle name="Millares 3 2 2 2 4 2 2" xfId="1217"/>
    <cellStyle name="Millares 3 2 2 2 4 2 2 2" xfId="3245"/>
    <cellStyle name="Millares 3 2 2 2 4 2 3" xfId="1857"/>
    <cellStyle name="Millares 3 2 2 2 4 2 3 2" xfId="3885"/>
    <cellStyle name="Millares 3 2 2 2 4 2 4" xfId="2605"/>
    <cellStyle name="Millares 3 2 2 2 4 3" xfId="833"/>
    <cellStyle name="Millares 3 2 2 2 4 3 2" xfId="2861"/>
    <cellStyle name="Millares 3 2 2 2 4 4" xfId="1473"/>
    <cellStyle name="Millares 3 2 2 2 4 4 2" xfId="3501"/>
    <cellStyle name="Millares 3 2 2 2 4 5" xfId="2221"/>
    <cellStyle name="Millares 3 2 2 2 5" xfId="321"/>
    <cellStyle name="Millares 3 2 2 2 5 2" xfId="961"/>
    <cellStyle name="Millares 3 2 2 2 5 2 2" xfId="2989"/>
    <cellStyle name="Millares 3 2 2 2 5 3" xfId="1601"/>
    <cellStyle name="Millares 3 2 2 2 5 3 2" xfId="3629"/>
    <cellStyle name="Millares 3 2 2 2 5 4" xfId="2349"/>
    <cellStyle name="Millares 3 2 2 2 6" xfId="449"/>
    <cellStyle name="Millares 3 2 2 2 6 2" xfId="1089"/>
    <cellStyle name="Millares 3 2 2 2 6 2 2" xfId="3117"/>
    <cellStyle name="Millares 3 2 2 2 6 3" xfId="1729"/>
    <cellStyle name="Millares 3 2 2 2 6 3 2" xfId="3757"/>
    <cellStyle name="Millares 3 2 2 2 6 4" xfId="2477"/>
    <cellStyle name="Millares 3 2 2 2 7" xfId="705"/>
    <cellStyle name="Millares 3 2 2 2 7 2" xfId="2733"/>
    <cellStyle name="Millares 3 2 2 2 8" xfId="1345"/>
    <cellStyle name="Millares 3 2 2 2 8 2" xfId="3373"/>
    <cellStyle name="Millares 3 2 2 2 9" xfId="1985"/>
    <cellStyle name="Millares 3 2 2 2 9 2" xfId="4013"/>
    <cellStyle name="Millares 3 2 2 3" xfId="81"/>
    <cellStyle name="Millares 3 2 2 3 2" xfId="145"/>
    <cellStyle name="Millares 3 2 2 3 2 2" xfId="273"/>
    <cellStyle name="Millares 3 2 2 3 2 2 2" xfId="657"/>
    <cellStyle name="Millares 3 2 2 3 2 2 2 2" xfId="1297"/>
    <cellStyle name="Millares 3 2 2 3 2 2 2 2 2" xfId="3325"/>
    <cellStyle name="Millares 3 2 2 3 2 2 2 3" xfId="1937"/>
    <cellStyle name="Millares 3 2 2 3 2 2 2 3 2" xfId="3965"/>
    <cellStyle name="Millares 3 2 2 3 2 2 2 4" xfId="2685"/>
    <cellStyle name="Millares 3 2 2 3 2 2 3" xfId="913"/>
    <cellStyle name="Millares 3 2 2 3 2 2 3 2" xfId="2941"/>
    <cellStyle name="Millares 3 2 2 3 2 2 4" xfId="1553"/>
    <cellStyle name="Millares 3 2 2 3 2 2 4 2" xfId="3581"/>
    <cellStyle name="Millares 3 2 2 3 2 2 5" xfId="2301"/>
    <cellStyle name="Millares 3 2 2 3 2 3" xfId="401"/>
    <cellStyle name="Millares 3 2 2 3 2 3 2" xfId="1041"/>
    <cellStyle name="Millares 3 2 2 3 2 3 2 2" xfId="3069"/>
    <cellStyle name="Millares 3 2 2 3 2 3 3" xfId="1681"/>
    <cellStyle name="Millares 3 2 2 3 2 3 3 2" xfId="3709"/>
    <cellStyle name="Millares 3 2 2 3 2 3 4" xfId="2429"/>
    <cellStyle name="Millares 3 2 2 3 2 4" xfId="529"/>
    <cellStyle name="Millares 3 2 2 3 2 4 2" xfId="1169"/>
    <cellStyle name="Millares 3 2 2 3 2 4 2 2" xfId="3197"/>
    <cellStyle name="Millares 3 2 2 3 2 4 3" xfId="1809"/>
    <cellStyle name="Millares 3 2 2 3 2 4 3 2" xfId="3837"/>
    <cellStyle name="Millares 3 2 2 3 2 4 4" xfId="2557"/>
    <cellStyle name="Millares 3 2 2 3 2 5" xfId="785"/>
    <cellStyle name="Millares 3 2 2 3 2 5 2" xfId="2813"/>
    <cellStyle name="Millares 3 2 2 3 2 6" xfId="1425"/>
    <cellStyle name="Millares 3 2 2 3 2 6 2" xfId="3453"/>
    <cellStyle name="Millares 3 2 2 3 2 7" xfId="2173"/>
    <cellStyle name="Millares 3 2 2 3 3" xfId="209"/>
    <cellStyle name="Millares 3 2 2 3 3 2" xfId="593"/>
    <cellStyle name="Millares 3 2 2 3 3 2 2" xfId="1233"/>
    <cellStyle name="Millares 3 2 2 3 3 2 2 2" xfId="3261"/>
    <cellStyle name="Millares 3 2 2 3 3 2 3" xfId="1873"/>
    <cellStyle name="Millares 3 2 2 3 3 2 3 2" xfId="3901"/>
    <cellStyle name="Millares 3 2 2 3 3 2 4" xfId="2621"/>
    <cellStyle name="Millares 3 2 2 3 3 3" xfId="849"/>
    <cellStyle name="Millares 3 2 2 3 3 3 2" xfId="2877"/>
    <cellStyle name="Millares 3 2 2 3 3 4" xfId="1489"/>
    <cellStyle name="Millares 3 2 2 3 3 4 2" xfId="3517"/>
    <cellStyle name="Millares 3 2 2 3 3 5" xfId="2237"/>
    <cellStyle name="Millares 3 2 2 3 4" xfId="337"/>
    <cellStyle name="Millares 3 2 2 3 4 2" xfId="977"/>
    <cellStyle name="Millares 3 2 2 3 4 2 2" xfId="3005"/>
    <cellStyle name="Millares 3 2 2 3 4 3" xfId="1617"/>
    <cellStyle name="Millares 3 2 2 3 4 3 2" xfId="3645"/>
    <cellStyle name="Millares 3 2 2 3 4 4" xfId="2365"/>
    <cellStyle name="Millares 3 2 2 3 5" xfId="465"/>
    <cellStyle name="Millares 3 2 2 3 5 2" xfId="1105"/>
    <cellStyle name="Millares 3 2 2 3 5 2 2" xfId="3133"/>
    <cellStyle name="Millares 3 2 2 3 5 3" xfId="1745"/>
    <cellStyle name="Millares 3 2 2 3 5 3 2" xfId="3773"/>
    <cellStyle name="Millares 3 2 2 3 5 4" xfId="2493"/>
    <cellStyle name="Millares 3 2 2 3 6" xfId="721"/>
    <cellStyle name="Millares 3 2 2 3 6 2" xfId="2749"/>
    <cellStyle name="Millares 3 2 2 3 7" xfId="1361"/>
    <cellStyle name="Millares 3 2 2 3 7 2" xfId="3389"/>
    <cellStyle name="Millares 3 2 2 3 8" xfId="2001"/>
    <cellStyle name="Millares 3 2 2 3 8 2" xfId="4029"/>
    <cellStyle name="Millares 3 2 2 3 9" xfId="2109"/>
    <cellStyle name="Millares 3 2 2 4" xfId="113"/>
    <cellStyle name="Millares 3 2 2 4 2" xfId="241"/>
    <cellStyle name="Millares 3 2 2 4 2 2" xfId="625"/>
    <cellStyle name="Millares 3 2 2 4 2 2 2" xfId="1265"/>
    <cellStyle name="Millares 3 2 2 4 2 2 2 2" xfId="3293"/>
    <cellStyle name="Millares 3 2 2 4 2 2 3" xfId="1905"/>
    <cellStyle name="Millares 3 2 2 4 2 2 3 2" xfId="3933"/>
    <cellStyle name="Millares 3 2 2 4 2 2 4" xfId="2653"/>
    <cellStyle name="Millares 3 2 2 4 2 3" xfId="881"/>
    <cellStyle name="Millares 3 2 2 4 2 3 2" xfId="2909"/>
    <cellStyle name="Millares 3 2 2 4 2 4" xfId="1521"/>
    <cellStyle name="Millares 3 2 2 4 2 4 2" xfId="3549"/>
    <cellStyle name="Millares 3 2 2 4 2 5" xfId="2269"/>
    <cellStyle name="Millares 3 2 2 4 3" xfId="369"/>
    <cellStyle name="Millares 3 2 2 4 3 2" xfId="1009"/>
    <cellStyle name="Millares 3 2 2 4 3 2 2" xfId="3037"/>
    <cellStyle name="Millares 3 2 2 4 3 3" xfId="1649"/>
    <cellStyle name="Millares 3 2 2 4 3 3 2" xfId="3677"/>
    <cellStyle name="Millares 3 2 2 4 3 4" xfId="2397"/>
    <cellStyle name="Millares 3 2 2 4 4" xfId="497"/>
    <cellStyle name="Millares 3 2 2 4 4 2" xfId="1137"/>
    <cellStyle name="Millares 3 2 2 4 4 2 2" xfId="3165"/>
    <cellStyle name="Millares 3 2 2 4 4 3" xfId="1777"/>
    <cellStyle name="Millares 3 2 2 4 4 3 2" xfId="3805"/>
    <cellStyle name="Millares 3 2 2 4 4 4" xfId="2525"/>
    <cellStyle name="Millares 3 2 2 4 5" xfId="753"/>
    <cellStyle name="Millares 3 2 2 4 5 2" xfId="2781"/>
    <cellStyle name="Millares 3 2 2 4 6" xfId="1393"/>
    <cellStyle name="Millares 3 2 2 4 6 2" xfId="3421"/>
    <cellStyle name="Millares 3 2 2 4 7" xfId="2141"/>
    <cellStyle name="Millares 3 2 2 5" xfId="177"/>
    <cellStyle name="Millares 3 2 2 5 2" xfId="561"/>
    <cellStyle name="Millares 3 2 2 5 2 2" xfId="1201"/>
    <cellStyle name="Millares 3 2 2 5 2 2 2" xfId="3229"/>
    <cellStyle name="Millares 3 2 2 5 2 3" xfId="1841"/>
    <cellStyle name="Millares 3 2 2 5 2 3 2" xfId="3869"/>
    <cellStyle name="Millares 3 2 2 5 2 4" xfId="2589"/>
    <cellStyle name="Millares 3 2 2 5 3" xfId="817"/>
    <cellStyle name="Millares 3 2 2 5 3 2" xfId="2845"/>
    <cellStyle name="Millares 3 2 2 5 4" xfId="1457"/>
    <cellStyle name="Millares 3 2 2 5 4 2" xfId="3485"/>
    <cellStyle name="Millares 3 2 2 5 5" xfId="2205"/>
    <cellStyle name="Millares 3 2 2 6" xfId="305"/>
    <cellStyle name="Millares 3 2 2 6 2" xfId="945"/>
    <cellStyle name="Millares 3 2 2 6 2 2" xfId="2973"/>
    <cellStyle name="Millares 3 2 2 6 3" xfId="1585"/>
    <cellStyle name="Millares 3 2 2 6 3 2" xfId="3613"/>
    <cellStyle name="Millares 3 2 2 6 4" xfId="2333"/>
    <cellStyle name="Millares 3 2 2 7" xfId="433"/>
    <cellStyle name="Millares 3 2 2 7 2" xfId="1073"/>
    <cellStyle name="Millares 3 2 2 7 2 2" xfId="3101"/>
    <cellStyle name="Millares 3 2 2 7 3" xfId="1713"/>
    <cellStyle name="Millares 3 2 2 7 3 2" xfId="3741"/>
    <cellStyle name="Millares 3 2 2 7 4" xfId="2461"/>
    <cellStyle name="Millares 3 2 2 8" xfId="689"/>
    <cellStyle name="Millares 3 2 2 8 2" xfId="2717"/>
    <cellStyle name="Millares 3 2 2 9" xfId="1329"/>
    <cellStyle name="Millares 3 2 2 9 2" xfId="3357"/>
    <cellStyle name="Millares 3 2 3" xfId="57"/>
    <cellStyle name="Millares 3 2 3 10" xfId="2085"/>
    <cellStyle name="Millares 3 2 3 2" xfId="89"/>
    <cellStyle name="Millares 3 2 3 2 2" xfId="153"/>
    <cellStyle name="Millares 3 2 3 2 2 2" xfId="281"/>
    <cellStyle name="Millares 3 2 3 2 2 2 2" xfId="665"/>
    <cellStyle name="Millares 3 2 3 2 2 2 2 2" xfId="1305"/>
    <cellStyle name="Millares 3 2 3 2 2 2 2 2 2" xfId="3333"/>
    <cellStyle name="Millares 3 2 3 2 2 2 2 3" xfId="1945"/>
    <cellStyle name="Millares 3 2 3 2 2 2 2 3 2" xfId="3973"/>
    <cellStyle name="Millares 3 2 3 2 2 2 2 4" xfId="2693"/>
    <cellStyle name="Millares 3 2 3 2 2 2 3" xfId="921"/>
    <cellStyle name="Millares 3 2 3 2 2 2 3 2" xfId="2949"/>
    <cellStyle name="Millares 3 2 3 2 2 2 4" xfId="1561"/>
    <cellStyle name="Millares 3 2 3 2 2 2 4 2" xfId="3589"/>
    <cellStyle name="Millares 3 2 3 2 2 2 5" xfId="2309"/>
    <cellStyle name="Millares 3 2 3 2 2 3" xfId="409"/>
    <cellStyle name="Millares 3 2 3 2 2 3 2" xfId="1049"/>
    <cellStyle name="Millares 3 2 3 2 2 3 2 2" xfId="3077"/>
    <cellStyle name="Millares 3 2 3 2 2 3 3" xfId="1689"/>
    <cellStyle name="Millares 3 2 3 2 2 3 3 2" xfId="3717"/>
    <cellStyle name="Millares 3 2 3 2 2 3 4" xfId="2437"/>
    <cellStyle name="Millares 3 2 3 2 2 4" xfId="537"/>
    <cellStyle name="Millares 3 2 3 2 2 4 2" xfId="1177"/>
    <cellStyle name="Millares 3 2 3 2 2 4 2 2" xfId="3205"/>
    <cellStyle name="Millares 3 2 3 2 2 4 3" xfId="1817"/>
    <cellStyle name="Millares 3 2 3 2 2 4 3 2" xfId="3845"/>
    <cellStyle name="Millares 3 2 3 2 2 4 4" xfId="2565"/>
    <cellStyle name="Millares 3 2 3 2 2 5" xfId="793"/>
    <cellStyle name="Millares 3 2 3 2 2 5 2" xfId="2821"/>
    <cellStyle name="Millares 3 2 3 2 2 6" xfId="1433"/>
    <cellStyle name="Millares 3 2 3 2 2 6 2" xfId="3461"/>
    <cellStyle name="Millares 3 2 3 2 2 7" xfId="2181"/>
    <cellStyle name="Millares 3 2 3 2 3" xfId="217"/>
    <cellStyle name="Millares 3 2 3 2 3 2" xfId="601"/>
    <cellStyle name="Millares 3 2 3 2 3 2 2" xfId="1241"/>
    <cellStyle name="Millares 3 2 3 2 3 2 2 2" xfId="3269"/>
    <cellStyle name="Millares 3 2 3 2 3 2 3" xfId="1881"/>
    <cellStyle name="Millares 3 2 3 2 3 2 3 2" xfId="3909"/>
    <cellStyle name="Millares 3 2 3 2 3 2 4" xfId="2629"/>
    <cellStyle name="Millares 3 2 3 2 3 3" xfId="857"/>
    <cellStyle name="Millares 3 2 3 2 3 3 2" xfId="2885"/>
    <cellStyle name="Millares 3 2 3 2 3 4" xfId="1497"/>
    <cellStyle name="Millares 3 2 3 2 3 4 2" xfId="3525"/>
    <cellStyle name="Millares 3 2 3 2 3 5" xfId="2245"/>
    <cellStyle name="Millares 3 2 3 2 4" xfId="345"/>
    <cellStyle name="Millares 3 2 3 2 4 2" xfId="985"/>
    <cellStyle name="Millares 3 2 3 2 4 2 2" xfId="3013"/>
    <cellStyle name="Millares 3 2 3 2 4 3" xfId="1625"/>
    <cellStyle name="Millares 3 2 3 2 4 3 2" xfId="3653"/>
    <cellStyle name="Millares 3 2 3 2 4 4" xfId="2373"/>
    <cellStyle name="Millares 3 2 3 2 5" xfId="473"/>
    <cellStyle name="Millares 3 2 3 2 5 2" xfId="1113"/>
    <cellStyle name="Millares 3 2 3 2 5 2 2" xfId="3141"/>
    <cellStyle name="Millares 3 2 3 2 5 3" xfId="1753"/>
    <cellStyle name="Millares 3 2 3 2 5 3 2" xfId="3781"/>
    <cellStyle name="Millares 3 2 3 2 5 4" xfId="2501"/>
    <cellStyle name="Millares 3 2 3 2 6" xfId="729"/>
    <cellStyle name="Millares 3 2 3 2 6 2" xfId="2757"/>
    <cellStyle name="Millares 3 2 3 2 7" xfId="1369"/>
    <cellStyle name="Millares 3 2 3 2 7 2" xfId="3397"/>
    <cellStyle name="Millares 3 2 3 2 8" xfId="2009"/>
    <cellStyle name="Millares 3 2 3 2 8 2" xfId="4037"/>
    <cellStyle name="Millares 3 2 3 2 9" xfId="2117"/>
    <cellStyle name="Millares 3 2 3 3" xfId="121"/>
    <cellStyle name="Millares 3 2 3 3 2" xfId="249"/>
    <cellStyle name="Millares 3 2 3 3 2 2" xfId="633"/>
    <cellStyle name="Millares 3 2 3 3 2 2 2" xfId="1273"/>
    <cellStyle name="Millares 3 2 3 3 2 2 2 2" xfId="3301"/>
    <cellStyle name="Millares 3 2 3 3 2 2 3" xfId="1913"/>
    <cellStyle name="Millares 3 2 3 3 2 2 3 2" xfId="3941"/>
    <cellStyle name="Millares 3 2 3 3 2 2 4" xfId="2661"/>
    <cellStyle name="Millares 3 2 3 3 2 3" xfId="889"/>
    <cellStyle name="Millares 3 2 3 3 2 3 2" xfId="2917"/>
    <cellStyle name="Millares 3 2 3 3 2 4" xfId="1529"/>
    <cellStyle name="Millares 3 2 3 3 2 4 2" xfId="3557"/>
    <cellStyle name="Millares 3 2 3 3 2 5" xfId="2277"/>
    <cellStyle name="Millares 3 2 3 3 3" xfId="377"/>
    <cellStyle name="Millares 3 2 3 3 3 2" xfId="1017"/>
    <cellStyle name="Millares 3 2 3 3 3 2 2" xfId="3045"/>
    <cellStyle name="Millares 3 2 3 3 3 3" xfId="1657"/>
    <cellStyle name="Millares 3 2 3 3 3 3 2" xfId="3685"/>
    <cellStyle name="Millares 3 2 3 3 3 4" xfId="2405"/>
    <cellStyle name="Millares 3 2 3 3 4" xfId="505"/>
    <cellStyle name="Millares 3 2 3 3 4 2" xfId="1145"/>
    <cellStyle name="Millares 3 2 3 3 4 2 2" xfId="3173"/>
    <cellStyle name="Millares 3 2 3 3 4 3" xfId="1785"/>
    <cellStyle name="Millares 3 2 3 3 4 3 2" xfId="3813"/>
    <cellStyle name="Millares 3 2 3 3 4 4" xfId="2533"/>
    <cellStyle name="Millares 3 2 3 3 5" xfId="761"/>
    <cellStyle name="Millares 3 2 3 3 5 2" xfId="2789"/>
    <cellStyle name="Millares 3 2 3 3 6" xfId="1401"/>
    <cellStyle name="Millares 3 2 3 3 6 2" xfId="3429"/>
    <cellStyle name="Millares 3 2 3 3 7" xfId="2149"/>
    <cellStyle name="Millares 3 2 3 4" xfId="185"/>
    <cellStyle name="Millares 3 2 3 4 2" xfId="569"/>
    <cellStyle name="Millares 3 2 3 4 2 2" xfId="1209"/>
    <cellStyle name="Millares 3 2 3 4 2 2 2" xfId="3237"/>
    <cellStyle name="Millares 3 2 3 4 2 3" xfId="1849"/>
    <cellStyle name="Millares 3 2 3 4 2 3 2" xfId="3877"/>
    <cellStyle name="Millares 3 2 3 4 2 4" xfId="2597"/>
    <cellStyle name="Millares 3 2 3 4 3" xfId="825"/>
    <cellStyle name="Millares 3 2 3 4 3 2" xfId="2853"/>
    <cellStyle name="Millares 3 2 3 4 4" xfId="1465"/>
    <cellStyle name="Millares 3 2 3 4 4 2" xfId="3493"/>
    <cellStyle name="Millares 3 2 3 4 5" xfId="2213"/>
    <cellStyle name="Millares 3 2 3 5" xfId="313"/>
    <cellStyle name="Millares 3 2 3 5 2" xfId="953"/>
    <cellStyle name="Millares 3 2 3 5 2 2" xfId="2981"/>
    <cellStyle name="Millares 3 2 3 5 3" xfId="1593"/>
    <cellStyle name="Millares 3 2 3 5 3 2" xfId="3621"/>
    <cellStyle name="Millares 3 2 3 5 4" xfId="2341"/>
    <cellStyle name="Millares 3 2 3 6" xfId="441"/>
    <cellStyle name="Millares 3 2 3 6 2" xfId="1081"/>
    <cellStyle name="Millares 3 2 3 6 2 2" xfId="3109"/>
    <cellStyle name="Millares 3 2 3 6 3" xfId="1721"/>
    <cellStyle name="Millares 3 2 3 6 3 2" xfId="3749"/>
    <cellStyle name="Millares 3 2 3 6 4" xfId="2469"/>
    <cellStyle name="Millares 3 2 3 7" xfId="697"/>
    <cellStyle name="Millares 3 2 3 7 2" xfId="2725"/>
    <cellStyle name="Millares 3 2 3 8" xfId="1337"/>
    <cellStyle name="Millares 3 2 3 8 2" xfId="3365"/>
    <cellStyle name="Millares 3 2 3 9" xfId="1977"/>
    <cellStyle name="Millares 3 2 3 9 2" xfId="4005"/>
    <cellStyle name="Millares 3 2 4" xfId="73"/>
    <cellStyle name="Millares 3 2 4 2" xfId="137"/>
    <cellStyle name="Millares 3 2 4 2 2" xfId="265"/>
    <cellStyle name="Millares 3 2 4 2 2 2" xfId="649"/>
    <cellStyle name="Millares 3 2 4 2 2 2 2" xfId="1289"/>
    <cellStyle name="Millares 3 2 4 2 2 2 2 2" xfId="3317"/>
    <cellStyle name="Millares 3 2 4 2 2 2 3" xfId="1929"/>
    <cellStyle name="Millares 3 2 4 2 2 2 3 2" xfId="3957"/>
    <cellStyle name="Millares 3 2 4 2 2 2 4" xfId="2677"/>
    <cellStyle name="Millares 3 2 4 2 2 3" xfId="905"/>
    <cellStyle name="Millares 3 2 4 2 2 3 2" xfId="2933"/>
    <cellStyle name="Millares 3 2 4 2 2 4" xfId="1545"/>
    <cellStyle name="Millares 3 2 4 2 2 4 2" xfId="3573"/>
    <cellStyle name="Millares 3 2 4 2 2 5" xfId="2293"/>
    <cellStyle name="Millares 3 2 4 2 3" xfId="393"/>
    <cellStyle name="Millares 3 2 4 2 3 2" xfId="1033"/>
    <cellStyle name="Millares 3 2 4 2 3 2 2" xfId="3061"/>
    <cellStyle name="Millares 3 2 4 2 3 3" xfId="1673"/>
    <cellStyle name="Millares 3 2 4 2 3 3 2" xfId="3701"/>
    <cellStyle name="Millares 3 2 4 2 3 4" xfId="2421"/>
    <cellStyle name="Millares 3 2 4 2 4" xfId="521"/>
    <cellStyle name="Millares 3 2 4 2 4 2" xfId="1161"/>
    <cellStyle name="Millares 3 2 4 2 4 2 2" xfId="3189"/>
    <cellStyle name="Millares 3 2 4 2 4 3" xfId="1801"/>
    <cellStyle name="Millares 3 2 4 2 4 3 2" xfId="3829"/>
    <cellStyle name="Millares 3 2 4 2 4 4" xfId="2549"/>
    <cellStyle name="Millares 3 2 4 2 5" xfId="777"/>
    <cellStyle name="Millares 3 2 4 2 5 2" xfId="2805"/>
    <cellStyle name="Millares 3 2 4 2 6" xfId="1417"/>
    <cellStyle name="Millares 3 2 4 2 6 2" xfId="3445"/>
    <cellStyle name="Millares 3 2 4 2 7" xfId="2165"/>
    <cellStyle name="Millares 3 2 4 3" xfId="201"/>
    <cellStyle name="Millares 3 2 4 3 2" xfId="585"/>
    <cellStyle name="Millares 3 2 4 3 2 2" xfId="1225"/>
    <cellStyle name="Millares 3 2 4 3 2 2 2" xfId="3253"/>
    <cellStyle name="Millares 3 2 4 3 2 3" xfId="1865"/>
    <cellStyle name="Millares 3 2 4 3 2 3 2" xfId="3893"/>
    <cellStyle name="Millares 3 2 4 3 2 4" xfId="2613"/>
    <cellStyle name="Millares 3 2 4 3 3" xfId="841"/>
    <cellStyle name="Millares 3 2 4 3 3 2" xfId="2869"/>
    <cellStyle name="Millares 3 2 4 3 4" xfId="1481"/>
    <cellStyle name="Millares 3 2 4 3 4 2" xfId="3509"/>
    <cellStyle name="Millares 3 2 4 3 5" xfId="2229"/>
    <cellStyle name="Millares 3 2 4 4" xfId="329"/>
    <cellStyle name="Millares 3 2 4 4 2" xfId="969"/>
    <cellStyle name="Millares 3 2 4 4 2 2" xfId="2997"/>
    <cellStyle name="Millares 3 2 4 4 3" xfId="1609"/>
    <cellStyle name="Millares 3 2 4 4 3 2" xfId="3637"/>
    <cellStyle name="Millares 3 2 4 4 4" xfId="2357"/>
    <cellStyle name="Millares 3 2 4 5" xfId="457"/>
    <cellStyle name="Millares 3 2 4 5 2" xfId="1097"/>
    <cellStyle name="Millares 3 2 4 5 2 2" xfId="3125"/>
    <cellStyle name="Millares 3 2 4 5 3" xfId="1737"/>
    <cellStyle name="Millares 3 2 4 5 3 2" xfId="3765"/>
    <cellStyle name="Millares 3 2 4 5 4" xfId="2485"/>
    <cellStyle name="Millares 3 2 4 6" xfId="713"/>
    <cellStyle name="Millares 3 2 4 6 2" xfId="2741"/>
    <cellStyle name="Millares 3 2 4 7" xfId="1353"/>
    <cellStyle name="Millares 3 2 4 7 2" xfId="3381"/>
    <cellStyle name="Millares 3 2 4 8" xfId="1993"/>
    <cellStyle name="Millares 3 2 4 8 2" xfId="4021"/>
    <cellStyle name="Millares 3 2 4 9" xfId="2101"/>
    <cellStyle name="Millares 3 2 5" xfId="105"/>
    <cellStyle name="Millares 3 2 5 2" xfId="233"/>
    <cellStyle name="Millares 3 2 5 2 2" xfId="617"/>
    <cellStyle name="Millares 3 2 5 2 2 2" xfId="1257"/>
    <cellStyle name="Millares 3 2 5 2 2 2 2" xfId="3285"/>
    <cellStyle name="Millares 3 2 5 2 2 3" xfId="1897"/>
    <cellStyle name="Millares 3 2 5 2 2 3 2" xfId="3925"/>
    <cellStyle name="Millares 3 2 5 2 2 4" xfId="2645"/>
    <cellStyle name="Millares 3 2 5 2 3" xfId="873"/>
    <cellStyle name="Millares 3 2 5 2 3 2" xfId="2901"/>
    <cellStyle name="Millares 3 2 5 2 4" xfId="1513"/>
    <cellStyle name="Millares 3 2 5 2 4 2" xfId="3541"/>
    <cellStyle name="Millares 3 2 5 2 5" xfId="2261"/>
    <cellStyle name="Millares 3 2 5 3" xfId="361"/>
    <cellStyle name="Millares 3 2 5 3 2" xfId="1001"/>
    <cellStyle name="Millares 3 2 5 3 2 2" xfId="3029"/>
    <cellStyle name="Millares 3 2 5 3 3" xfId="1641"/>
    <cellStyle name="Millares 3 2 5 3 3 2" xfId="3669"/>
    <cellStyle name="Millares 3 2 5 3 4" xfId="2389"/>
    <cellStyle name="Millares 3 2 5 4" xfId="489"/>
    <cellStyle name="Millares 3 2 5 4 2" xfId="1129"/>
    <cellStyle name="Millares 3 2 5 4 2 2" xfId="3157"/>
    <cellStyle name="Millares 3 2 5 4 3" xfId="1769"/>
    <cellStyle name="Millares 3 2 5 4 3 2" xfId="3797"/>
    <cellStyle name="Millares 3 2 5 4 4" xfId="2517"/>
    <cellStyle name="Millares 3 2 5 5" xfId="745"/>
    <cellStyle name="Millares 3 2 5 5 2" xfId="2773"/>
    <cellStyle name="Millares 3 2 5 6" xfId="1385"/>
    <cellStyle name="Millares 3 2 5 6 2" xfId="3413"/>
    <cellStyle name="Millares 3 2 5 7" xfId="2133"/>
    <cellStyle name="Millares 3 2 6" xfId="169"/>
    <cellStyle name="Millares 3 2 6 2" xfId="553"/>
    <cellStyle name="Millares 3 2 6 2 2" xfId="1193"/>
    <cellStyle name="Millares 3 2 6 2 2 2" xfId="3221"/>
    <cellStyle name="Millares 3 2 6 2 3" xfId="1833"/>
    <cellStyle name="Millares 3 2 6 2 3 2" xfId="3861"/>
    <cellStyle name="Millares 3 2 6 2 4" xfId="2581"/>
    <cellStyle name="Millares 3 2 6 3" xfId="809"/>
    <cellStyle name="Millares 3 2 6 3 2" xfId="2837"/>
    <cellStyle name="Millares 3 2 6 4" xfId="1449"/>
    <cellStyle name="Millares 3 2 6 4 2" xfId="3477"/>
    <cellStyle name="Millares 3 2 6 5" xfId="2197"/>
    <cellStyle name="Millares 3 2 7" xfId="297"/>
    <cellStyle name="Millares 3 2 7 2" xfId="937"/>
    <cellStyle name="Millares 3 2 7 2 2" xfId="2965"/>
    <cellStyle name="Millares 3 2 7 3" xfId="1577"/>
    <cellStyle name="Millares 3 2 7 3 2" xfId="3605"/>
    <cellStyle name="Millares 3 2 7 4" xfId="2325"/>
    <cellStyle name="Millares 3 2 8" xfId="425"/>
    <cellStyle name="Millares 3 2 8 2" xfId="1065"/>
    <cellStyle name="Millares 3 2 8 2 2" xfId="3093"/>
    <cellStyle name="Millares 3 2 8 3" xfId="1705"/>
    <cellStyle name="Millares 3 2 8 3 2" xfId="3733"/>
    <cellStyle name="Millares 3 2 8 4" xfId="2453"/>
    <cellStyle name="Millares 3 2 9" xfId="681"/>
    <cellStyle name="Millares 3 2 9 2" xfId="2709"/>
    <cellStyle name="Millares 3 3" xfId="45"/>
    <cellStyle name="Millares 3 3 10" xfId="1965"/>
    <cellStyle name="Millares 3 3 10 2" xfId="3993"/>
    <cellStyle name="Millares 3 3 11" xfId="2073"/>
    <cellStyle name="Millares 3 3 2" xfId="61"/>
    <cellStyle name="Millares 3 3 2 10" xfId="2089"/>
    <cellStyle name="Millares 3 3 2 2" xfId="93"/>
    <cellStyle name="Millares 3 3 2 2 2" xfId="157"/>
    <cellStyle name="Millares 3 3 2 2 2 2" xfId="285"/>
    <cellStyle name="Millares 3 3 2 2 2 2 2" xfId="669"/>
    <cellStyle name="Millares 3 3 2 2 2 2 2 2" xfId="1309"/>
    <cellStyle name="Millares 3 3 2 2 2 2 2 2 2" xfId="3337"/>
    <cellStyle name="Millares 3 3 2 2 2 2 2 3" xfId="1949"/>
    <cellStyle name="Millares 3 3 2 2 2 2 2 3 2" xfId="3977"/>
    <cellStyle name="Millares 3 3 2 2 2 2 2 4" xfId="2697"/>
    <cellStyle name="Millares 3 3 2 2 2 2 3" xfId="925"/>
    <cellStyle name="Millares 3 3 2 2 2 2 3 2" xfId="2953"/>
    <cellStyle name="Millares 3 3 2 2 2 2 4" xfId="1565"/>
    <cellStyle name="Millares 3 3 2 2 2 2 4 2" xfId="3593"/>
    <cellStyle name="Millares 3 3 2 2 2 2 5" xfId="2313"/>
    <cellStyle name="Millares 3 3 2 2 2 3" xfId="413"/>
    <cellStyle name="Millares 3 3 2 2 2 3 2" xfId="1053"/>
    <cellStyle name="Millares 3 3 2 2 2 3 2 2" xfId="3081"/>
    <cellStyle name="Millares 3 3 2 2 2 3 3" xfId="1693"/>
    <cellStyle name="Millares 3 3 2 2 2 3 3 2" xfId="3721"/>
    <cellStyle name="Millares 3 3 2 2 2 3 4" xfId="2441"/>
    <cellStyle name="Millares 3 3 2 2 2 4" xfId="541"/>
    <cellStyle name="Millares 3 3 2 2 2 4 2" xfId="1181"/>
    <cellStyle name="Millares 3 3 2 2 2 4 2 2" xfId="3209"/>
    <cellStyle name="Millares 3 3 2 2 2 4 3" xfId="1821"/>
    <cellStyle name="Millares 3 3 2 2 2 4 3 2" xfId="3849"/>
    <cellStyle name="Millares 3 3 2 2 2 4 4" xfId="2569"/>
    <cellStyle name="Millares 3 3 2 2 2 5" xfId="797"/>
    <cellStyle name="Millares 3 3 2 2 2 5 2" xfId="2825"/>
    <cellStyle name="Millares 3 3 2 2 2 6" xfId="1437"/>
    <cellStyle name="Millares 3 3 2 2 2 6 2" xfId="3465"/>
    <cellStyle name="Millares 3 3 2 2 2 7" xfId="2185"/>
    <cellStyle name="Millares 3 3 2 2 3" xfId="221"/>
    <cellStyle name="Millares 3 3 2 2 3 2" xfId="605"/>
    <cellStyle name="Millares 3 3 2 2 3 2 2" xfId="1245"/>
    <cellStyle name="Millares 3 3 2 2 3 2 2 2" xfId="3273"/>
    <cellStyle name="Millares 3 3 2 2 3 2 3" xfId="1885"/>
    <cellStyle name="Millares 3 3 2 2 3 2 3 2" xfId="3913"/>
    <cellStyle name="Millares 3 3 2 2 3 2 4" xfId="2633"/>
    <cellStyle name="Millares 3 3 2 2 3 3" xfId="861"/>
    <cellStyle name="Millares 3 3 2 2 3 3 2" xfId="2889"/>
    <cellStyle name="Millares 3 3 2 2 3 4" xfId="1501"/>
    <cellStyle name="Millares 3 3 2 2 3 4 2" xfId="3529"/>
    <cellStyle name="Millares 3 3 2 2 3 5" xfId="2249"/>
    <cellStyle name="Millares 3 3 2 2 4" xfId="349"/>
    <cellStyle name="Millares 3 3 2 2 4 2" xfId="989"/>
    <cellStyle name="Millares 3 3 2 2 4 2 2" xfId="3017"/>
    <cellStyle name="Millares 3 3 2 2 4 3" xfId="1629"/>
    <cellStyle name="Millares 3 3 2 2 4 3 2" xfId="3657"/>
    <cellStyle name="Millares 3 3 2 2 4 4" xfId="2377"/>
    <cellStyle name="Millares 3 3 2 2 5" xfId="477"/>
    <cellStyle name="Millares 3 3 2 2 5 2" xfId="1117"/>
    <cellStyle name="Millares 3 3 2 2 5 2 2" xfId="3145"/>
    <cellStyle name="Millares 3 3 2 2 5 3" xfId="1757"/>
    <cellStyle name="Millares 3 3 2 2 5 3 2" xfId="3785"/>
    <cellStyle name="Millares 3 3 2 2 5 4" xfId="2505"/>
    <cellStyle name="Millares 3 3 2 2 6" xfId="733"/>
    <cellStyle name="Millares 3 3 2 2 6 2" xfId="2761"/>
    <cellStyle name="Millares 3 3 2 2 7" xfId="1373"/>
    <cellStyle name="Millares 3 3 2 2 7 2" xfId="3401"/>
    <cellStyle name="Millares 3 3 2 2 8" xfId="2013"/>
    <cellStyle name="Millares 3 3 2 2 8 2" xfId="4041"/>
    <cellStyle name="Millares 3 3 2 2 9" xfId="2121"/>
    <cellStyle name="Millares 3 3 2 3" xfId="125"/>
    <cellStyle name="Millares 3 3 2 3 2" xfId="253"/>
    <cellStyle name="Millares 3 3 2 3 2 2" xfId="637"/>
    <cellStyle name="Millares 3 3 2 3 2 2 2" xfId="1277"/>
    <cellStyle name="Millares 3 3 2 3 2 2 2 2" xfId="3305"/>
    <cellStyle name="Millares 3 3 2 3 2 2 3" xfId="1917"/>
    <cellStyle name="Millares 3 3 2 3 2 2 3 2" xfId="3945"/>
    <cellStyle name="Millares 3 3 2 3 2 2 4" xfId="2665"/>
    <cellStyle name="Millares 3 3 2 3 2 3" xfId="893"/>
    <cellStyle name="Millares 3 3 2 3 2 3 2" xfId="2921"/>
    <cellStyle name="Millares 3 3 2 3 2 4" xfId="1533"/>
    <cellStyle name="Millares 3 3 2 3 2 4 2" xfId="3561"/>
    <cellStyle name="Millares 3 3 2 3 2 5" xfId="2281"/>
    <cellStyle name="Millares 3 3 2 3 3" xfId="381"/>
    <cellStyle name="Millares 3 3 2 3 3 2" xfId="1021"/>
    <cellStyle name="Millares 3 3 2 3 3 2 2" xfId="3049"/>
    <cellStyle name="Millares 3 3 2 3 3 3" xfId="1661"/>
    <cellStyle name="Millares 3 3 2 3 3 3 2" xfId="3689"/>
    <cellStyle name="Millares 3 3 2 3 3 4" xfId="2409"/>
    <cellStyle name="Millares 3 3 2 3 4" xfId="509"/>
    <cellStyle name="Millares 3 3 2 3 4 2" xfId="1149"/>
    <cellStyle name="Millares 3 3 2 3 4 2 2" xfId="3177"/>
    <cellStyle name="Millares 3 3 2 3 4 3" xfId="1789"/>
    <cellStyle name="Millares 3 3 2 3 4 3 2" xfId="3817"/>
    <cellStyle name="Millares 3 3 2 3 4 4" xfId="2537"/>
    <cellStyle name="Millares 3 3 2 3 5" xfId="765"/>
    <cellStyle name="Millares 3 3 2 3 5 2" xfId="2793"/>
    <cellStyle name="Millares 3 3 2 3 6" xfId="1405"/>
    <cellStyle name="Millares 3 3 2 3 6 2" xfId="3433"/>
    <cellStyle name="Millares 3 3 2 3 7" xfId="2153"/>
    <cellStyle name="Millares 3 3 2 4" xfId="189"/>
    <cellStyle name="Millares 3 3 2 4 2" xfId="573"/>
    <cellStyle name="Millares 3 3 2 4 2 2" xfId="1213"/>
    <cellStyle name="Millares 3 3 2 4 2 2 2" xfId="3241"/>
    <cellStyle name="Millares 3 3 2 4 2 3" xfId="1853"/>
    <cellStyle name="Millares 3 3 2 4 2 3 2" xfId="3881"/>
    <cellStyle name="Millares 3 3 2 4 2 4" xfId="2601"/>
    <cellStyle name="Millares 3 3 2 4 3" xfId="829"/>
    <cellStyle name="Millares 3 3 2 4 3 2" xfId="2857"/>
    <cellStyle name="Millares 3 3 2 4 4" xfId="1469"/>
    <cellStyle name="Millares 3 3 2 4 4 2" xfId="3497"/>
    <cellStyle name="Millares 3 3 2 4 5" xfId="2217"/>
    <cellStyle name="Millares 3 3 2 5" xfId="317"/>
    <cellStyle name="Millares 3 3 2 5 2" xfId="957"/>
    <cellStyle name="Millares 3 3 2 5 2 2" xfId="2985"/>
    <cellStyle name="Millares 3 3 2 5 3" xfId="1597"/>
    <cellStyle name="Millares 3 3 2 5 3 2" xfId="3625"/>
    <cellStyle name="Millares 3 3 2 5 4" xfId="2345"/>
    <cellStyle name="Millares 3 3 2 6" xfId="445"/>
    <cellStyle name="Millares 3 3 2 6 2" xfId="1085"/>
    <cellStyle name="Millares 3 3 2 6 2 2" xfId="3113"/>
    <cellStyle name="Millares 3 3 2 6 3" xfId="1725"/>
    <cellStyle name="Millares 3 3 2 6 3 2" xfId="3753"/>
    <cellStyle name="Millares 3 3 2 6 4" xfId="2473"/>
    <cellStyle name="Millares 3 3 2 7" xfId="701"/>
    <cellStyle name="Millares 3 3 2 7 2" xfId="2729"/>
    <cellStyle name="Millares 3 3 2 8" xfId="1341"/>
    <cellStyle name="Millares 3 3 2 8 2" xfId="3369"/>
    <cellStyle name="Millares 3 3 2 9" xfId="1981"/>
    <cellStyle name="Millares 3 3 2 9 2" xfId="4009"/>
    <cellStyle name="Millares 3 3 3" xfId="77"/>
    <cellStyle name="Millares 3 3 3 2" xfId="141"/>
    <cellStyle name="Millares 3 3 3 2 2" xfId="269"/>
    <cellStyle name="Millares 3 3 3 2 2 2" xfId="653"/>
    <cellStyle name="Millares 3 3 3 2 2 2 2" xfId="1293"/>
    <cellStyle name="Millares 3 3 3 2 2 2 2 2" xfId="3321"/>
    <cellStyle name="Millares 3 3 3 2 2 2 3" xfId="1933"/>
    <cellStyle name="Millares 3 3 3 2 2 2 3 2" xfId="3961"/>
    <cellStyle name="Millares 3 3 3 2 2 2 4" xfId="2681"/>
    <cellStyle name="Millares 3 3 3 2 2 3" xfId="909"/>
    <cellStyle name="Millares 3 3 3 2 2 3 2" xfId="2937"/>
    <cellStyle name="Millares 3 3 3 2 2 4" xfId="1549"/>
    <cellStyle name="Millares 3 3 3 2 2 4 2" xfId="3577"/>
    <cellStyle name="Millares 3 3 3 2 2 5" xfId="2297"/>
    <cellStyle name="Millares 3 3 3 2 3" xfId="397"/>
    <cellStyle name="Millares 3 3 3 2 3 2" xfId="1037"/>
    <cellStyle name="Millares 3 3 3 2 3 2 2" xfId="3065"/>
    <cellStyle name="Millares 3 3 3 2 3 3" xfId="1677"/>
    <cellStyle name="Millares 3 3 3 2 3 3 2" xfId="3705"/>
    <cellStyle name="Millares 3 3 3 2 3 4" xfId="2425"/>
    <cellStyle name="Millares 3 3 3 2 4" xfId="525"/>
    <cellStyle name="Millares 3 3 3 2 4 2" xfId="1165"/>
    <cellStyle name="Millares 3 3 3 2 4 2 2" xfId="3193"/>
    <cellStyle name="Millares 3 3 3 2 4 3" xfId="1805"/>
    <cellStyle name="Millares 3 3 3 2 4 3 2" xfId="3833"/>
    <cellStyle name="Millares 3 3 3 2 4 4" xfId="2553"/>
    <cellStyle name="Millares 3 3 3 2 5" xfId="781"/>
    <cellStyle name="Millares 3 3 3 2 5 2" xfId="2809"/>
    <cellStyle name="Millares 3 3 3 2 6" xfId="1421"/>
    <cellStyle name="Millares 3 3 3 2 6 2" xfId="3449"/>
    <cellStyle name="Millares 3 3 3 2 7" xfId="2169"/>
    <cellStyle name="Millares 3 3 3 3" xfId="205"/>
    <cellStyle name="Millares 3 3 3 3 2" xfId="589"/>
    <cellStyle name="Millares 3 3 3 3 2 2" xfId="1229"/>
    <cellStyle name="Millares 3 3 3 3 2 2 2" xfId="3257"/>
    <cellStyle name="Millares 3 3 3 3 2 3" xfId="1869"/>
    <cellStyle name="Millares 3 3 3 3 2 3 2" xfId="3897"/>
    <cellStyle name="Millares 3 3 3 3 2 4" xfId="2617"/>
    <cellStyle name="Millares 3 3 3 3 3" xfId="845"/>
    <cellStyle name="Millares 3 3 3 3 3 2" xfId="2873"/>
    <cellStyle name="Millares 3 3 3 3 4" xfId="1485"/>
    <cellStyle name="Millares 3 3 3 3 4 2" xfId="3513"/>
    <cellStyle name="Millares 3 3 3 3 5" xfId="2233"/>
    <cellStyle name="Millares 3 3 3 4" xfId="333"/>
    <cellStyle name="Millares 3 3 3 4 2" xfId="973"/>
    <cellStyle name="Millares 3 3 3 4 2 2" xfId="3001"/>
    <cellStyle name="Millares 3 3 3 4 3" xfId="1613"/>
    <cellStyle name="Millares 3 3 3 4 3 2" xfId="3641"/>
    <cellStyle name="Millares 3 3 3 4 4" xfId="2361"/>
    <cellStyle name="Millares 3 3 3 5" xfId="461"/>
    <cellStyle name="Millares 3 3 3 5 2" xfId="1101"/>
    <cellStyle name="Millares 3 3 3 5 2 2" xfId="3129"/>
    <cellStyle name="Millares 3 3 3 5 3" xfId="1741"/>
    <cellStyle name="Millares 3 3 3 5 3 2" xfId="3769"/>
    <cellStyle name="Millares 3 3 3 5 4" xfId="2489"/>
    <cellStyle name="Millares 3 3 3 6" xfId="717"/>
    <cellStyle name="Millares 3 3 3 6 2" xfId="2745"/>
    <cellStyle name="Millares 3 3 3 7" xfId="1357"/>
    <cellStyle name="Millares 3 3 3 7 2" xfId="3385"/>
    <cellStyle name="Millares 3 3 3 8" xfId="1997"/>
    <cellStyle name="Millares 3 3 3 8 2" xfId="4025"/>
    <cellStyle name="Millares 3 3 3 9" xfId="2105"/>
    <cellStyle name="Millares 3 3 4" xfId="109"/>
    <cellStyle name="Millares 3 3 4 2" xfId="237"/>
    <cellStyle name="Millares 3 3 4 2 2" xfId="621"/>
    <cellStyle name="Millares 3 3 4 2 2 2" xfId="1261"/>
    <cellStyle name="Millares 3 3 4 2 2 2 2" xfId="3289"/>
    <cellStyle name="Millares 3 3 4 2 2 3" xfId="1901"/>
    <cellStyle name="Millares 3 3 4 2 2 3 2" xfId="3929"/>
    <cellStyle name="Millares 3 3 4 2 2 4" xfId="2649"/>
    <cellStyle name="Millares 3 3 4 2 3" xfId="877"/>
    <cellStyle name="Millares 3 3 4 2 3 2" xfId="2905"/>
    <cellStyle name="Millares 3 3 4 2 4" xfId="1517"/>
    <cellStyle name="Millares 3 3 4 2 4 2" xfId="3545"/>
    <cellStyle name="Millares 3 3 4 2 5" xfId="2265"/>
    <cellStyle name="Millares 3 3 4 3" xfId="365"/>
    <cellStyle name="Millares 3 3 4 3 2" xfId="1005"/>
    <cellStyle name="Millares 3 3 4 3 2 2" xfId="3033"/>
    <cellStyle name="Millares 3 3 4 3 3" xfId="1645"/>
    <cellStyle name="Millares 3 3 4 3 3 2" xfId="3673"/>
    <cellStyle name="Millares 3 3 4 3 4" xfId="2393"/>
    <cellStyle name="Millares 3 3 4 4" xfId="493"/>
    <cellStyle name="Millares 3 3 4 4 2" xfId="1133"/>
    <cellStyle name="Millares 3 3 4 4 2 2" xfId="3161"/>
    <cellStyle name="Millares 3 3 4 4 3" xfId="1773"/>
    <cellStyle name="Millares 3 3 4 4 3 2" xfId="3801"/>
    <cellStyle name="Millares 3 3 4 4 4" xfId="2521"/>
    <cellStyle name="Millares 3 3 4 5" xfId="749"/>
    <cellStyle name="Millares 3 3 4 5 2" xfId="2777"/>
    <cellStyle name="Millares 3 3 4 6" xfId="1389"/>
    <cellStyle name="Millares 3 3 4 6 2" xfId="3417"/>
    <cellStyle name="Millares 3 3 4 7" xfId="2137"/>
    <cellStyle name="Millares 3 3 5" xfId="173"/>
    <cellStyle name="Millares 3 3 5 2" xfId="557"/>
    <cellStyle name="Millares 3 3 5 2 2" xfId="1197"/>
    <cellStyle name="Millares 3 3 5 2 2 2" xfId="3225"/>
    <cellStyle name="Millares 3 3 5 2 3" xfId="1837"/>
    <cellStyle name="Millares 3 3 5 2 3 2" xfId="3865"/>
    <cellStyle name="Millares 3 3 5 2 4" xfId="2585"/>
    <cellStyle name="Millares 3 3 5 3" xfId="813"/>
    <cellStyle name="Millares 3 3 5 3 2" xfId="2841"/>
    <cellStyle name="Millares 3 3 5 4" xfId="1453"/>
    <cellStyle name="Millares 3 3 5 4 2" xfId="3481"/>
    <cellStyle name="Millares 3 3 5 5" xfId="2201"/>
    <cellStyle name="Millares 3 3 6" xfId="301"/>
    <cellStyle name="Millares 3 3 6 2" xfId="941"/>
    <cellStyle name="Millares 3 3 6 2 2" xfId="2969"/>
    <cellStyle name="Millares 3 3 6 3" xfId="1581"/>
    <cellStyle name="Millares 3 3 6 3 2" xfId="3609"/>
    <cellStyle name="Millares 3 3 6 4" xfId="2329"/>
    <cellStyle name="Millares 3 3 7" xfId="429"/>
    <cellStyle name="Millares 3 3 7 2" xfId="1069"/>
    <cellStyle name="Millares 3 3 7 2 2" xfId="3097"/>
    <cellStyle name="Millares 3 3 7 3" xfId="1709"/>
    <cellStyle name="Millares 3 3 7 3 2" xfId="3737"/>
    <cellStyle name="Millares 3 3 7 4" xfId="2457"/>
    <cellStyle name="Millares 3 3 8" xfId="685"/>
    <cellStyle name="Millares 3 3 8 2" xfId="2713"/>
    <cellStyle name="Millares 3 3 9" xfId="1325"/>
    <cellStyle name="Millares 3 3 9 2" xfId="3353"/>
    <cellStyle name="Millares 3 4" xfId="53"/>
    <cellStyle name="Millares 3 4 10" xfId="2081"/>
    <cellStyle name="Millares 3 4 2" xfId="85"/>
    <cellStyle name="Millares 3 4 2 2" xfId="149"/>
    <cellStyle name="Millares 3 4 2 2 2" xfId="277"/>
    <cellStyle name="Millares 3 4 2 2 2 2" xfId="661"/>
    <cellStyle name="Millares 3 4 2 2 2 2 2" xfId="1301"/>
    <cellStyle name="Millares 3 4 2 2 2 2 2 2" xfId="3329"/>
    <cellStyle name="Millares 3 4 2 2 2 2 3" xfId="1941"/>
    <cellStyle name="Millares 3 4 2 2 2 2 3 2" xfId="3969"/>
    <cellStyle name="Millares 3 4 2 2 2 2 4" xfId="2689"/>
    <cellStyle name="Millares 3 4 2 2 2 3" xfId="917"/>
    <cellStyle name="Millares 3 4 2 2 2 3 2" xfId="2945"/>
    <cellStyle name="Millares 3 4 2 2 2 4" xfId="1557"/>
    <cellStyle name="Millares 3 4 2 2 2 4 2" xfId="3585"/>
    <cellStyle name="Millares 3 4 2 2 2 5" xfId="2305"/>
    <cellStyle name="Millares 3 4 2 2 3" xfId="405"/>
    <cellStyle name="Millares 3 4 2 2 3 2" xfId="1045"/>
    <cellStyle name="Millares 3 4 2 2 3 2 2" xfId="3073"/>
    <cellStyle name="Millares 3 4 2 2 3 3" xfId="1685"/>
    <cellStyle name="Millares 3 4 2 2 3 3 2" xfId="3713"/>
    <cellStyle name="Millares 3 4 2 2 3 4" xfId="2433"/>
    <cellStyle name="Millares 3 4 2 2 4" xfId="533"/>
    <cellStyle name="Millares 3 4 2 2 4 2" xfId="1173"/>
    <cellStyle name="Millares 3 4 2 2 4 2 2" xfId="3201"/>
    <cellStyle name="Millares 3 4 2 2 4 3" xfId="1813"/>
    <cellStyle name="Millares 3 4 2 2 4 3 2" xfId="3841"/>
    <cellStyle name="Millares 3 4 2 2 4 4" xfId="2561"/>
    <cellStyle name="Millares 3 4 2 2 5" xfId="789"/>
    <cellStyle name="Millares 3 4 2 2 5 2" xfId="2817"/>
    <cellStyle name="Millares 3 4 2 2 6" xfId="1429"/>
    <cellStyle name="Millares 3 4 2 2 6 2" xfId="3457"/>
    <cellStyle name="Millares 3 4 2 2 7" xfId="2177"/>
    <cellStyle name="Millares 3 4 2 3" xfId="213"/>
    <cellStyle name="Millares 3 4 2 3 2" xfId="597"/>
    <cellStyle name="Millares 3 4 2 3 2 2" xfId="1237"/>
    <cellStyle name="Millares 3 4 2 3 2 2 2" xfId="3265"/>
    <cellStyle name="Millares 3 4 2 3 2 3" xfId="1877"/>
    <cellStyle name="Millares 3 4 2 3 2 3 2" xfId="3905"/>
    <cellStyle name="Millares 3 4 2 3 2 4" xfId="2625"/>
    <cellStyle name="Millares 3 4 2 3 3" xfId="853"/>
    <cellStyle name="Millares 3 4 2 3 3 2" xfId="2881"/>
    <cellStyle name="Millares 3 4 2 3 4" xfId="1493"/>
    <cellStyle name="Millares 3 4 2 3 4 2" xfId="3521"/>
    <cellStyle name="Millares 3 4 2 3 5" xfId="2241"/>
    <cellStyle name="Millares 3 4 2 4" xfId="341"/>
    <cellStyle name="Millares 3 4 2 4 2" xfId="981"/>
    <cellStyle name="Millares 3 4 2 4 2 2" xfId="3009"/>
    <cellStyle name="Millares 3 4 2 4 3" xfId="1621"/>
    <cellStyle name="Millares 3 4 2 4 3 2" xfId="3649"/>
    <cellStyle name="Millares 3 4 2 4 4" xfId="2369"/>
    <cellStyle name="Millares 3 4 2 5" xfId="469"/>
    <cellStyle name="Millares 3 4 2 5 2" xfId="1109"/>
    <cellStyle name="Millares 3 4 2 5 2 2" xfId="3137"/>
    <cellStyle name="Millares 3 4 2 5 3" xfId="1749"/>
    <cellStyle name="Millares 3 4 2 5 3 2" xfId="3777"/>
    <cellStyle name="Millares 3 4 2 5 4" xfId="2497"/>
    <cellStyle name="Millares 3 4 2 6" xfId="725"/>
    <cellStyle name="Millares 3 4 2 6 2" xfId="2753"/>
    <cellStyle name="Millares 3 4 2 7" xfId="1365"/>
    <cellStyle name="Millares 3 4 2 7 2" xfId="3393"/>
    <cellStyle name="Millares 3 4 2 8" xfId="2005"/>
    <cellStyle name="Millares 3 4 2 8 2" xfId="4033"/>
    <cellStyle name="Millares 3 4 2 9" xfId="2113"/>
    <cellStyle name="Millares 3 4 3" xfId="117"/>
    <cellStyle name="Millares 3 4 3 2" xfId="245"/>
    <cellStyle name="Millares 3 4 3 2 2" xfId="629"/>
    <cellStyle name="Millares 3 4 3 2 2 2" xfId="1269"/>
    <cellStyle name="Millares 3 4 3 2 2 2 2" xfId="3297"/>
    <cellStyle name="Millares 3 4 3 2 2 3" xfId="1909"/>
    <cellStyle name="Millares 3 4 3 2 2 3 2" xfId="3937"/>
    <cellStyle name="Millares 3 4 3 2 2 4" xfId="2657"/>
    <cellStyle name="Millares 3 4 3 2 3" xfId="885"/>
    <cellStyle name="Millares 3 4 3 2 3 2" xfId="2913"/>
    <cellStyle name="Millares 3 4 3 2 4" xfId="1525"/>
    <cellStyle name="Millares 3 4 3 2 4 2" xfId="3553"/>
    <cellStyle name="Millares 3 4 3 2 5" xfId="2273"/>
    <cellStyle name="Millares 3 4 3 3" xfId="373"/>
    <cellStyle name="Millares 3 4 3 3 2" xfId="1013"/>
    <cellStyle name="Millares 3 4 3 3 2 2" xfId="3041"/>
    <cellStyle name="Millares 3 4 3 3 3" xfId="1653"/>
    <cellStyle name="Millares 3 4 3 3 3 2" xfId="3681"/>
    <cellStyle name="Millares 3 4 3 3 4" xfId="2401"/>
    <cellStyle name="Millares 3 4 3 4" xfId="501"/>
    <cellStyle name="Millares 3 4 3 4 2" xfId="1141"/>
    <cellStyle name="Millares 3 4 3 4 2 2" xfId="3169"/>
    <cellStyle name="Millares 3 4 3 4 3" xfId="1781"/>
    <cellStyle name="Millares 3 4 3 4 3 2" xfId="3809"/>
    <cellStyle name="Millares 3 4 3 4 4" xfId="2529"/>
    <cellStyle name="Millares 3 4 3 5" xfId="757"/>
    <cellStyle name="Millares 3 4 3 5 2" xfId="2785"/>
    <cellStyle name="Millares 3 4 3 6" xfId="1397"/>
    <cellStyle name="Millares 3 4 3 6 2" xfId="3425"/>
    <cellStyle name="Millares 3 4 3 7" xfId="2145"/>
    <cellStyle name="Millares 3 4 4" xfId="181"/>
    <cellStyle name="Millares 3 4 4 2" xfId="565"/>
    <cellStyle name="Millares 3 4 4 2 2" xfId="1205"/>
    <cellStyle name="Millares 3 4 4 2 2 2" xfId="3233"/>
    <cellStyle name="Millares 3 4 4 2 3" xfId="1845"/>
    <cellStyle name="Millares 3 4 4 2 3 2" xfId="3873"/>
    <cellStyle name="Millares 3 4 4 2 4" xfId="2593"/>
    <cellStyle name="Millares 3 4 4 3" xfId="821"/>
    <cellStyle name="Millares 3 4 4 3 2" xfId="2849"/>
    <cellStyle name="Millares 3 4 4 4" xfId="1461"/>
    <cellStyle name="Millares 3 4 4 4 2" xfId="3489"/>
    <cellStyle name="Millares 3 4 4 5" xfId="2209"/>
    <cellStyle name="Millares 3 4 5" xfId="309"/>
    <cellStyle name="Millares 3 4 5 2" xfId="949"/>
    <cellStyle name="Millares 3 4 5 2 2" xfId="2977"/>
    <cellStyle name="Millares 3 4 5 3" xfId="1589"/>
    <cellStyle name="Millares 3 4 5 3 2" xfId="3617"/>
    <cellStyle name="Millares 3 4 5 4" xfId="2337"/>
    <cellStyle name="Millares 3 4 6" xfId="437"/>
    <cellStyle name="Millares 3 4 6 2" xfId="1077"/>
    <cellStyle name="Millares 3 4 6 2 2" xfId="3105"/>
    <cellStyle name="Millares 3 4 6 3" xfId="1717"/>
    <cellStyle name="Millares 3 4 6 3 2" xfId="3745"/>
    <cellStyle name="Millares 3 4 6 4" xfId="2465"/>
    <cellStyle name="Millares 3 4 7" xfId="693"/>
    <cellStyle name="Millares 3 4 7 2" xfId="2721"/>
    <cellStyle name="Millares 3 4 8" xfId="1333"/>
    <cellStyle name="Millares 3 4 8 2" xfId="3361"/>
    <cellStyle name="Millares 3 4 9" xfId="1973"/>
    <cellStyle name="Millares 3 4 9 2" xfId="4001"/>
    <cellStyle name="Millares 3 5" xfId="69"/>
    <cellStyle name="Millares 3 5 2" xfId="133"/>
    <cellStyle name="Millares 3 5 2 2" xfId="261"/>
    <cellStyle name="Millares 3 5 2 2 2" xfId="645"/>
    <cellStyle name="Millares 3 5 2 2 2 2" xfId="1285"/>
    <cellStyle name="Millares 3 5 2 2 2 2 2" xfId="3313"/>
    <cellStyle name="Millares 3 5 2 2 2 3" xfId="1925"/>
    <cellStyle name="Millares 3 5 2 2 2 3 2" xfId="3953"/>
    <cellStyle name="Millares 3 5 2 2 2 4" xfId="2673"/>
    <cellStyle name="Millares 3 5 2 2 3" xfId="901"/>
    <cellStyle name="Millares 3 5 2 2 3 2" xfId="2929"/>
    <cellStyle name="Millares 3 5 2 2 4" xfId="1541"/>
    <cellStyle name="Millares 3 5 2 2 4 2" xfId="3569"/>
    <cellStyle name="Millares 3 5 2 2 5" xfId="2289"/>
    <cellStyle name="Millares 3 5 2 3" xfId="389"/>
    <cellStyle name="Millares 3 5 2 3 2" xfId="1029"/>
    <cellStyle name="Millares 3 5 2 3 2 2" xfId="3057"/>
    <cellStyle name="Millares 3 5 2 3 3" xfId="1669"/>
    <cellStyle name="Millares 3 5 2 3 3 2" xfId="3697"/>
    <cellStyle name="Millares 3 5 2 3 4" xfId="2417"/>
    <cellStyle name="Millares 3 5 2 4" xfId="517"/>
    <cellStyle name="Millares 3 5 2 4 2" xfId="1157"/>
    <cellStyle name="Millares 3 5 2 4 2 2" xfId="3185"/>
    <cellStyle name="Millares 3 5 2 4 3" xfId="1797"/>
    <cellStyle name="Millares 3 5 2 4 3 2" xfId="3825"/>
    <cellStyle name="Millares 3 5 2 4 4" xfId="2545"/>
    <cellStyle name="Millares 3 5 2 5" xfId="773"/>
    <cellStyle name="Millares 3 5 2 5 2" xfId="2801"/>
    <cellStyle name="Millares 3 5 2 6" xfId="1413"/>
    <cellStyle name="Millares 3 5 2 6 2" xfId="3441"/>
    <cellStyle name="Millares 3 5 2 7" xfId="2161"/>
    <cellStyle name="Millares 3 5 3" xfId="197"/>
    <cellStyle name="Millares 3 5 3 2" xfId="581"/>
    <cellStyle name="Millares 3 5 3 2 2" xfId="1221"/>
    <cellStyle name="Millares 3 5 3 2 2 2" xfId="3249"/>
    <cellStyle name="Millares 3 5 3 2 3" xfId="1861"/>
    <cellStyle name="Millares 3 5 3 2 3 2" xfId="3889"/>
    <cellStyle name="Millares 3 5 3 2 4" xfId="2609"/>
    <cellStyle name="Millares 3 5 3 3" xfId="837"/>
    <cellStyle name="Millares 3 5 3 3 2" xfId="2865"/>
    <cellStyle name="Millares 3 5 3 4" xfId="1477"/>
    <cellStyle name="Millares 3 5 3 4 2" xfId="3505"/>
    <cellStyle name="Millares 3 5 3 5" xfId="2225"/>
    <cellStyle name="Millares 3 5 4" xfId="325"/>
    <cellStyle name="Millares 3 5 4 2" xfId="965"/>
    <cellStyle name="Millares 3 5 4 2 2" xfId="2993"/>
    <cellStyle name="Millares 3 5 4 3" xfId="1605"/>
    <cellStyle name="Millares 3 5 4 3 2" xfId="3633"/>
    <cellStyle name="Millares 3 5 4 4" xfId="2353"/>
    <cellStyle name="Millares 3 5 5" xfId="453"/>
    <cellStyle name="Millares 3 5 5 2" xfId="1093"/>
    <cellStyle name="Millares 3 5 5 2 2" xfId="3121"/>
    <cellStyle name="Millares 3 5 5 3" xfId="1733"/>
    <cellStyle name="Millares 3 5 5 3 2" xfId="3761"/>
    <cellStyle name="Millares 3 5 5 4" xfId="2481"/>
    <cellStyle name="Millares 3 5 6" xfId="709"/>
    <cellStyle name="Millares 3 5 6 2" xfId="2737"/>
    <cellStyle name="Millares 3 5 7" xfId="1349"/>
    <cellStyle name="Millares 3 5 7 2" xfId="3377"/>
    <cellStyle name="Millares 3 5 8" xfId="1989"/>
    <cellStyle name="Millares 3 5 8 2" xfId="4017"/>
    <cellStyle name="Millares 3 5 9" xfId="2097"/>
    <cellStyle name="Millares 3 6" xfId="101"/>
    <cellStyle name="Millares 3 6 2" xfId="229"/>
    <cellStyle name="Millares 3 6 2 2" xfId="613"/>
    <cellStyle name="Millares 3 6 2 2 2" xfId="1253"/>
    <cellStyle name="Millares 3 6 2 2 2 2" xfId="3281"/>
    <cellStyle name="Millares 3 6 2 2 3" xfId="1893"/>
    <cellStyle name="Millares 3 6 2 2 3 2" xfId="3921"/>
    <cellStyle name="Millares 3 6 2 2 4" xfId="2641"/>
    <cellStyle name="Millares 3 6 2 3" xfId="869"/>
    <cellStyle name="Millares 3 6 2 3 2" xfId="2897"/>
    <cellStyle name="Millares 3 6 2 4" xfId="1509"/>
    <cellStyle name="Millares 3 6 2 4 2" xfId="3537"/>
    <cellStyle name="Millares 3 6 2 5" xfId="2257"/>
    <cellStyle name="Millares 3 6 3" xfId="357"/>
    <cellStyle name="Millares 3 6 3 2" xfId="997"/>
    <cellStyle name="Millares 3 6 3 2 2" xfId="3025"/>
    <cellStyle name="Millares 3 6 3 3" xfId="1637"/>
    <cellStyle name="Millares 3 6 3 3 2" xfId="3665"/>
    <cellStyle name="Millares 3 6 3 4" xfId="2385"/>
    <cellStyle name="Millares 3 6 4" xfId="485"/>
    <cellStyle name="Millares 3 6 4 2" xfId="1125"/>
    <cellStyle name="Millares 3 6 4 2 2" xfId="3153"/>
    <cellStyle name="Millares 3 6 4 3" xfId="1765"/>
    <cellStyle name="Millares 3 6 4 3 2" xfId="3793"/>
    <cellStyle name="Millares 3 6 4 4" xfId="2513"/>
    <cellStyle name="Millares 3 6 5" xfId="741"/>
    <cellStyle name="Millares 3 6 5 2" xfId="2769"/>
    <cellStyle name="Millares 3 6 6" xfId="1381"/>
    <cellStyle name="Millares 3 6 6 2" xfId="3409"/>
    <cellStyle name="Millares 3 6 7" xfId="2129"/>
    <cellStyle name="Millares 3 7" xfId="165"/>
    <cellStyle name="Millares 3 7 2" xfId="549"/>
    <cellStyle name="Millares 3 7 2 2" xfId="1189"/>
    <cellStyle name="Millares 3 7 2 2 2" xfId="3217"/>
    <cellStyle name="Millares 3 7 2 3" xfId="1829"/>
    <cellStyle name="Millares 3 7 2 3 2" xfId="3857"/>
    <cellStyle name="Millares 3 7 2 4" xfId="2577"/>
    <cellStyle name="Millares 3 7 3" xfId="805"/>
    <cellStyle name="Millares 3 7 3 2" xfId="2833"/>
    <cellStyle name="Millares 3 7 4" xfId="1445"/>
    <cellStyle name="Millares 3 7 4 2" xfId="3473"/>
    <cellStyle name="Millares 3 7 5" xfId="2193"/>
    <cellStyle name="Millares 3 8" xfId="293"/>
    <cellStyle name="Millares 3 8 2" xfId="933"/>
    <cellStyle name="Millares 3 8 2 2" xfId="2961"/>
    <cellStyle name="Millares 3 8 3" xfId="1573"/>
    <cellStyle name="Millares 3 8 3 2" xfId="3601"/>
    <cellStyle name="Millares 3 8 4" xfId="2321"/>
    <cellStyle name="Millares 3 9" xfId="421"/>
    <cellStyle name="Millares 3 9 2" xfId="1061"/>
    <cellStyle name="Millares 3 9 2 2" xfId="3089"/>
    <cellStyle name="Millares 3 9 3" xfId="1701"/>
    <cellStyle name="Millares 3 9 3 2" xfId="3729"/>
    <cellStyle name="Millares 3 9 4" xfId="2449"/>
    <cellStyle name="Millares 30" xfId="2036"/>
    <cellStyle name="Millares 31" xfId="2039"/>
    <cellStyle name="Millares 4" xfId="9"/>
    <cellStyle name="Millares 4 10" xfId="1319"/>
    <cellStyle name="Millares 4 10 2" xfId="3347"/>
    <cellStyle name="Millares 4 11" xfId="1959"/>
    <cellStyle name="Millares 4 11 2" xfId="3987"/>
    <cellStyle name="Millares 4 12" xfId="39"/>
    <cellStyle name="Millares 4 12 2" xfId="2067"/>
    <cellStyle name="Millares 4 13" xfId="2028"/>
    <cellStyle name="Millares 4 13 2" xfId="4054"/>
    <cellStyle name="Millares 4 14" xfId="2043"/>
    <cellStyle name="Millares 4 2" xfId="47"/>
    <cellStyle name="Millares 4 2 10" xfId="1967"/>
    <cellStyle name="Millares 4 2 10 2" xfId="3995"/>
    <cellStyle name="Millares 4 2 11" xfId="2075"/>
    <cellStyle name="Millares 4 2 2" xfId="63"/>
    <cellStyle name="Millares 4 2 2 10" xfId="2091"/>
    <cellStyle name="Millares 4 2 2 2" xfId="95"/>
    <cellStyle name="Millares 4 2 2 2 2" xfId="159"/>
    <cellStyle name="Millares 4 2 2 2 2 2" xfId="287"/>
    <cellStyle name="Millares 4 2 2 2 2 2 2" xfId="671"/>
    <cellStyle name="Millares 4 2 2 2 2 2 2 2" xfId="1311"/>
    <cellStyle name="Millares 4 2 2 2 2 2 2 2 2" xfId="3339"/>
    <cellStyle name="Millares 4 2 2 2 2 2 2 3" xfId="1951"/>
    <cellStyle name="Millares 4 2 2 2 2 2 2 3 2" xfId="3979"/>
    <cellStyle name="Millares 4 2 2 2 2 2 2 4" xfId="2699"/>
    <cellStyle name="Millares 4 2 2 2 2 2 3" xfId="927"/>
    <cellStyle name="Millares 4 2 2 2 2 2 3 2" xfId="2955"/>
    <cellStyle name="Millares 4 2 2 2 2 2 4" xfId="1567"/>
    <cellStyle name="Millares 4 2 2 2 2 2 4 2" xfId="3595"/>
    <cellStyle name="Millares 4 2 2 2 2 2 5" xfId="2315"/>
    <cellStyle name="Millares 4 2 2 2 2 3" xfId="415"/>
    <cellStyle name="Millares 4 2 2 2 2 3 2" xfId="1055"/>
    <cellStyle name="Millares 4 2 2 2 2 3 2 2" xfId="3083"/>
    <cellStyle name="Millares 4 2 2 2 2 3 3" xfId="1695"/>
    <cellStyle name="Millares 4 2 2 2 2 3 3 2" xfId="3723"/>
    <cellStyle name="Millares 4 2 2 2 2 3 4" xfId="2443"/>
    <cellStyle name="Millares 4 2 2 2 2 4" xfId="543"/>
    <cellStyle name="Millares 4 2 2 2 2 4 2" xfId="1183"/>
    <cellStyle name="Millares 4 2 2 2 2 4 2 2" xfId="3211"/>
    <cellStyle name="Millares 4 2 2 2 2 4 3" xfId="1823"/>
    <cellStyle name="Millares 4 2 2 2 2 4 3 2" xfId="3851"/>
    <cellStyle name="Millares 4 2 2 2 2 4 4" xfId="2571"/>
    <cellStyle name="Millares 4 2 2 2 2 5" xfId="799"/>
    <cellStyle name="Millares 4 2 2 2 2 5 2" xfId="2827"/>
    <cellStyle name="Millares 4 2 2 2 2 6" xfId="1439"/>
    <cellStyle name="Millares 4 2 2 2 2 6 2" xfId="3467"/>
    <cellStyle name="Millares 4 2 2 2 2 7" xfId="2187"/>
    <cellStyle name="Millares 4 2 2 2 3" xfId="223"/>
    <cellStyle name="Millares 4 2 2 2 3 2" xfId="607"/>
    <cellStyle name="Millares 4 2 2 2 3 2 2" xfId="1247"/>
    <cellStyle name="Millares 4 2 2 2 3 2 2 2" xfId="3275"/>
    <cellStyle name="Millares 4 2 2 2 3 2 3" xfId="1887"/>
    <cellStyle name="Millares 4 2 2 2 3 2 3 2" xfId="3915"/>
    <cellStyle name="Millares 4 2 2 2 3 2 4" xfId="2635"/>
    <cellStyle name="Millares 4 2 2 2 3 3" xfId="863"/>
    <cellStyle name="Millares 4 2 2 2 3 3 2" xfId="2891"/>
    <cellStyle name="Millares 4 2 2 2 3 4" xfId="1503"/>
    <cellStyle name="Millares 4 2 2 2 3 4 2" xfId="3531"/>
    <cellStyle name="Millares 4 2 2 2 3 5" xfId="2251"/>
    <cellStyle name="Millares 4 2 2 2 4" xfId="351"/>
    <cellStyle name="Millares 4 2 2 2 4 2" xfId="991"/>
    <cellStyle name="Millares 4 2 2 2 4 2 2" xfId="3019"/>
    <cellStyle name="Millares 4 2 2 2 4 3" xfId="1631"/>
    <cellStyle name="Millares 4 2 2 2 4 3 2" xfId="3659"/>
    <cellStyle name="Millares 4 2 2 2 4 4" xfId="2379"/>
    <cellStyle name="Millares 4 2 2 2 5" xfId="479"/>
    <cellStyle name="Millares 4 2 2 2 5 2" xfId="1119"/>
    <cellStyle name="Millares 4 2 2 2 5 2 2" xfId="3147"/>
    <cellStyle name="Millares 4 2 2 2 5 3" xfId="1759"/>
    <cellStyle name="Millares 4 2 2 2 5 3 2" xfId="3787"/>
    <cellStyle name="Millares 4 2 2 2 5 4" xfId="2507"/>
    <cellStyle name="Millares 4 2 2 2 6" xfId="735"/>
    <cellStyle name="Millares 4 2 2 2 6 2" xfId="2763"/>
    <cellStyle name="Millares 4 2 2 2 7" xfId="1375"/>
    <cellStyle name="Millares 4 2 2 2 7 2" xfId="3403"/>
    <cellStyle name="Millares 4 2 2 2 8" xfId="2015"/>
    <cellStyle name="Millares 4 2 2 2 8 2" xfId="4043"/>
    <cellStyle name="Millares 4 2 2 2 9" xfId="2123"/>
    <cellStyle name="Millares 4 2 2 3" xfId="127"/>
    <cellStyle name="Millares 4 2 2 3 2" xfId="255"/>
    <cellStyle name="Millares 4 2 2 3 2 2" xfId="639"/>
    <cellStyle name="Millares 4 2 2 3 2 2 2" xfId="1279"/>
    <cellStyle name="Millares 4 2 2 3 2 2 2 2" xfId="3307"/>
    <cellStyle name="Millares 4 2 2 3 2 2 3" xfId="1919"/>
    <cellStyle name="Millares 4 2 2 3 2 2 3 2" xfId="3947"/>
    <cellStyle name="Millares 4 2 2 3 2 2 4" xfId="2667"/>
    <cellStyle name="Millares 4 2 2 3 2 3" xfId="895"/>
    <cellStyle name="Millares 4 2 2 3 2 3 2" xfId="2923"/>
    <cellStyle name="Millares 4 2 2 3 2 4" xfId="1535"/>
    <cellStyle name="Millares 4 2 2 3 2 4 2" xfId="3563"/>
    <cellStyle name="Millares 4 2 2 3 2 5" xfId="2283"/>
    <cellStyle name="Millares 4 2 2 3 3" xfId="383"/>
    <cellStyle name="Millares 4 2 2 3 3 2" xfId="1023"/>
    <cellStyle name="Millares 4 2 2 3 3 2 2" xfId="3051"/>
    <cellStyle name="Millares 4 2 2 3 3 3" xfId="1663"/>
    <cellStyle name="Millares 4 2 2 3 3 3 2" xfId="3691"/>
    <cellStyle name="Millares 4 2 2 3 3 4" xfId="2411"/>
    <cellStyle name="Millares 4 2 2 3 4" xfId="511"/>
    <cellStyle name="Millares 4 2 2 3 4 2" xfId="1151"/>
    <cellStyle name="Millares 4 2 2 3 4 2 2" xfId="3179"/>
    <cellStyle name="Millares 4 2 2 3 4 3" xfId="1791"/>
    <cellStyle name="Millares 4 2 2 3 4 3 2" xfId="3819"/>
    <cellStyle name="Millares 4 2 2 3 4 4" xfId="2539"/>
    <cellStyle name="Millares 4 2 2 3 5" xfId="767"/>
    <cellStyle name="Millares 4 2 2 3 5 2" xfId="2795"/>
    <cellStyle name="Millares 4 2 2 3 6" xfId="1407"/>
    <cellStyle name="Millares 4 2 2 3 6 2" xfId="3435"/>
    <cellStyle name="Millares 4 2 2 3 7" xfId="2155"/>
    <cellStyle name="Millares 4 2 2 4" xfId="191"/>
    <cellStyle name="Millares 4 2 2 4 2" xfId="575"/>
    <cellStyle name="Millares 4 2 2 4 2 2" xfId="1215"/>
    <cellStyle name="Millares 4 2 2 4 2 2 2" xfId="3243"/>
    <cellStyle name="Millares 4 2 2 4 2 3" xfId="1855"/>
    <cellStyle name="Millares 4 2 2 4 2 3 2" xfId="3883"/>
    <cellStyle name="Millares 4 2 2 4 2 4" xfId="2603"/>
    <cellStyle name="Millares 4 2 2 4 3" xfId="831"/>
    <cellStyle name="Millares 4 2 2 4 3 2" xfId="2859"/>
    <cellStyle name="Millares 4 2 2 4 4" xfId="1471"/>
    <cellStyle name="Millares 4 2 2 4 4 2" xfId="3499"/>
    <cellStyle name="Millares 4 2 2 4 5" xfId="2219"/>
    <cellStyle name="Millares 4 2 2 5" xfId="319"/>
    <cellStyle name="Millares 4 2 2 5 2" xfId="959"/>
    <cellStyle name="Millares 4 2 2 5 2 2" xfId="2987"/>
    <cellStyle name="Millares 4 2 2 5 3" xfId="1599"/>
    <cellStyle name="Millares 4 2 2 5 3 2" xfId="3627"/>
    <cellStyle name="Millares 4 2 2 5 4" xfId="2347"/>
    <cellStyle name="Millares 4 2 2 6" xfId="447"/>
    <cellStyle name="Millares 4 2 2 6 2" xfId="1087"/>
    <cellStyle name="Millares 4 2 2 6 2 2" xfId="3115"/>
    <cellStyle name="Millares 4 2 2 6 3" xfId="1727"/>
    <cellStyle name="Millares 4 2 2 6 3 2" xfId="3755"/>
    <cellStyle name="Millares 4 2 2 6 4" xfId="2475"/>
    <cellStyle name="Millares 4 2 2 7" xfId="703"/>
    <cellStyle name="Millares 4 2 2 7 2" xfId="2731"/>
    <cellStyle name="Millares 4 2 2 8" xfId="1343"/>
    <cellStyle name="Millares 4 2 2 8 2" xfId="3371"/>
    <cellStyle name="Millares 4 2 2 9" xfId="1983"/>
    <cellStyle name="Millares 4 2 2 9 2" xfId="4011"/>
    <cellStyle name="Millares 4 2 3" xfId="79"/>
    <cellStyle name="Millares 4 2 3 2" xfId="143"/>
    <cellStyle name="Millares 4 2 3 2 2" xfId="271"/>
    <cellStyle name="Millares 4 2 3 2 2 2" xfId="655"/>
    <cellStyle name="Millares 4 2 3 2 2 2 2" xfId="1295"/>
    <cellStyle name="Millares 4 2 3 2 2 2 2 2" xfId="3323"/>
    <cellStyle name="Millares 4 2 3 2 2 2 3" xfId="1935"/>
    <cellStyle name="Millares 4 2 3 2 2 2 3 2" xfId="3963"/>
    <cellStyle name="Millares 4 2 3 2 2 2 4" xfId="2683"/>
    <cellStyle name="Millares 4 2 3 2 2 3" xfId="911"/>
    <cellStyle name="Millares 4 2 3 2 2 3 2" xfId="2939"/>
    <cellStyle name="Millares 4 2 3 2 2 4" xfId="1551"/>
    <cellStyle name="Millares 4 2 3 2 2 4 2" xfId="3579"/>
    <cellStyle name="Millares 4 2 3 2 2 5" xfId="2299"/>
    <cellStyle name="Millares 4 2 3 2 3" xfId="399"/>
    <cellStyle name="Millares 4 2 3 2 3 2" xfId="1039"/>
    <cellStyle name="Millares 4 2 3 2 3 2 2" xfId="3067"/>
    <cellStyle name="Millares 4 2 3 2 3 3" xfId="1679"/>
    <cellStyle name="Millares 4 2 3 2 3 3 2" xfId="3707"/>
    <cellStyle name="Millares 4 2 3 2 3 4" xfId="2427"/>
    <cellStyle name="Millares 4 2 3 2 4" xfId="527"/>
    <cellStyle name="Millares 4 2 3 2 4 2" xfId="1167"/>
    <cellStyle name="Millares 4 2 3 2 4 2 2" xfId="3195"/>
    <cellStyle name="Millares 4 2 3 2 4 3" xfId="1807"/>
    <cellStyle name="Millares 4 2 3 2 4 3 2" xfId="3835"/>
    <cellStyle name="Millares 4 2 3 2 4 4" xfId="2555"/>
    <cellStyle name="Millares 4 2 3 2 5" xfId="783"/>
    <cellStyle name="Millares 4 2 3 2 5 2" xfId="2811"/>
    <cellStyle name="Millares 4 2 3 2 6" xfId="1423"/>
    <cellStyle name="Millares 4 2 3 2 6 2" xfId="3451"/>
    <cellStyle name="Millares 4 2 3 2 7" xfId="2171"/>
    <cellStyle name="Millares 4 2 3 3" xfId="207"/>
    <cellStyle name="Millares 4 2 3 3 2" xfId="591"/>
    <cellStyle name="Millares 4 2 3 3 2 2" xfId="1231"/>
    <cellStyle name="Millares 4 2 3 3 2 2 2" xfId="3259"/>
    <cellStyle name="Millares 4 2 3 3 2 3" xfId="1871"/>
    <cellStyle name="Millares 4 2 3 3 2 3 2" xfId="3899"/>
    <cellStyle name="Millares 4 2 3 3 2 4" xfId="2619"/>
    <cellStyle name="Millares 4 2 3 3 3" xfId="847"/>
    <cellStyle name="Millares 4 2 3 3 3 2" xfId="2875"/>
    <cellStyle name="Millares 4 2 3 3 4" xfId="1487"/>
    <cellStyle name="Millares 4 2 3 3 4 2" xfId="3515"/>
    <cellStyle name="Millares 4 2 3 3 5" xfId="2235"/>
    <cellStyle name="Millares 4 2 3 4" xfId="335"/>
    <cellStyle name="Millares 4 2 3 4 2" xfId="975"/>
    <cellStyle name="Millares 4 2 3 4 2 2" xfId="3003"/>
    <cellStyle name="Millares 4 2 3 4 3" xfId="1615"/>
    <cellStyle name="Millares 4 2 3 4 3 2" xfId="3643"/>
    <cellStyle name="Millares 4 2 3 4 4" xfId="2363"/>
    <cellStyle name="Millares 4 2 3 5" xfId="463"/>
    <cellStyle name="Millares 4 2 3 5 2" xfId="1103"/>
    <cellStyle name="Millares 4 2 3 5 2 2" xfId="3131"/>
    <cellStyle name="Millares 4 2 3 5 3" xfId="1743"/>
    <cellStyle name="Millares 4 2 3 5 3 2" xfId="3771"/>
    <cellStyle name="Millares 4 2 3 5 4" xfId="2491"/>
    <cellStyle name="Millares 4 2 3 6" xfId="719"/>
    <cellStyle name="Millares 4 2 3 6 2" xfId="2747"/>
    <cellStyle name="Millares 4 2 3 7" xfId="1359"/>
    <cellStyle name="Millares 4 2 3 7 2" xfId="3387"/>
    <cellStyle name="Millares 4 2 3 8" xfId="1999"/>
    <cellStyle name="Millares 4 2 3 8 2" xfId="4027"/>
    <cellStyle name="Millares 4 2 3 9" xfId="2107"/>
    <cellStyle name="Millares 4 2 4" xfId="111"/>
    <cellStyle name="Millares 4 2 4 2" xfId="239"/>
    <cellStyle name="Millares 4 2 4 2 2" xfId="623"/>
    <cellStyle name="Millares 4 2 4 2 2 2" xfId="1263"/>
    <cellStyle name="Millares 4 2 4 2 2 2 2" xfId="3291"/>
    <cellStyle name="Millares 4 2 4 2 2 3" xfId="1903"/>
    <cellStyle name="Millares 4 2 4 2 2 3 2" xfId="3931"/>
    <cellStyle name="Millares 4 2 4 2 2 4" xfId="2651"/>
    <cellStyle name="Millares 4 2 4 2 3" xfId="879"/>
    <cellStyle name="Millares 4 2 4 2 3 2" xfId="2907"/>
    <cellStyle name="Millares 4 2 4 2 4" xfId="1519"/>
    <cellStyle name="Millares 4 2 4 2 4 2" xfId="3547"/>
    <cellStyle name="Millares 4 2 4 2 5" xfId="2267"/>
    <cellStyle name="Millares 4 2 4 3" xfId="367"/>
    <cellStyle name="Millares 4 2 4 3 2" xfId="1007"/>
    <cellStyle name="Millares 4 2 4 3 2 2" xfId="3035"/>
    <cellStyle name="Millares 4 2 4 3 3" xfId="1647"/>
    <cellStyle name="Millares 4 2 4 3 3 2" xfId="3675"/>
    <cellStyle name="Millares 4 2 4 3 4" xfId="2395"/>
    <cellStyle name="Millares 4 2 4 4" xfId="495"/>
    <cellStyle name="Millares 4 2 4 4 2" xfId="1135"/>
    <cellStyle name="Millares 4 2 4 4 2 2" xfId="3163"/>
    <cellStyle name="Millares 4 2 4 4 3" xfId="1775"/>
    <cellStyle name="Millares 4 2 4 4 3 2" xfId="3803"/>
    <cellStyle name="Millares 4 2 4 4 4" xfId="2523"/>
    <cellStyle name="Millares 4 2 4 5" xfId="751"/>
    <cellStyle name="Millares 4 2 4 5 2" xfId="2779"/>
    <cellStyle name="Millares 4 2 4 6" xfId="1391"/>
    <cellStyle name="Millares 4 2 4 6 2" xfId="3419"/>
    <cellStyle name="Millares 4 2 4 7" xfId="2139"/>
    <cellStyle name="Millares 4 2 5" xfId="175"/>
    <cellStyle name="Millares 4 2 5 2" xfId="559"/>
    <cellStyle name="Millares 4 2 5 2 2" xfId="1199"/>
    <cellStyle name="Millares 4 2 5 2 2 2" xfId="3227"/>
    <cellStyle name="Millares 4 2 5 2 3" xfId="1839"/>
    <cellStyle name="Millares 4 2 5 2 3 2" xfId="3867"/>
    <cellStyle name="Millares 4 2 5 2 4" xfId="2587"/>
    <cellStyle name="Millares 4 2 5 3" xfId="815"/>
    <cellStyle name="Millares 4 2 5 3 2" xfId="2843"/>
    <cellStyle name="Millares 4 2 5 4" xfId="1455"/>
    <cellStyle name="Millares 4 2 5 4 2" xfId="3483"/>
    <cellStyle name="Millares 4 2 5 5" xfId="2203"/>
    <cellStyle name="Millares 4 2 6" xfId="303"/>
    <cellStyle name="Millares 4 2 6 2" xfId="943"/>
    <cellStyle name="Millares 4 2 6 2 2" xfId="2971"/>
    <cellStyle name="Millares 4 2 6 3" xfId="1583"/>
    <cellStyle name="Millares 4 2 6 3 2" xfId="3611"/>
    <cellStyle name="Millares 4 2 6 4" xfId="2331"/>
    <cellStyle name="Millares 4 2 7" xfId="431"/>
    <cellStyle name="Millares 4 2 7 2" xfId="1071"/>
    <cellStyle name="Millares 4 2 7 2 2" xfId="3099"/>
    <cellStyle name="Millares 4 2 7 3" xfId="1711"/>
    <cellStyle name="Millares 4 2 7 3 2" xfId="3739"/>
    <cellStyle name="Millares 4 2 7 4" xfId="2459"/>
    <cellStyle name="Millares 4 2 8" xfId="687"/>
    <cellStyle name="Millares 4 2 8 2" xfId="2715"/>
    <cellStyle name="Millares 4 2 9" xfId="1327"/>
    <cellStyle name="Millares 4 2 9 2" xfId="3355"/>
    <cellStyle name="Millares 4 3" xfId="55"/>
    <cellStyle name="Millares 4 3 10" xfId="2083"/>
    <cellStyle name="Millares 4 3 2" xfId="87"/>
    <cellStyle name="Millares 4 3 2 2" xfId="151"/>
    <cellStyle name="Millares 4 3 2 2 2" xfId="279"/>
    <cellStyle name="Millares 4 3 2 2 2 2" xfId="663"/>
    <cellStyle name="Millares 4 3 2 2 2 2 2" xfId="1303"/>
    <cellStyle name="Millares 4 3 2 2 2 2 2 2" xfId="3331"/>
    <cellStyle name="Millares 4 3 2 2 2 2 3" xfId="1943"/>
    <cellStyle name="Millares 4 3 2 2 2 2 3 2" xfId="3971"/>
    <cellStyle name="Millares 4 3 2 2 2 2 4" xfId="2691"/>
    <cellStyle name="Millares 4 3 2 2 2 3" xfId="919"/>
    <cellStyle name="Millares 4 3 2 2 2 3 2" xfId="2947"/>
    <cellStyle name="Millares 4 3 2 2 2 4" xfId="1559"/>
    <cellStyle name="Millares 4 3 2 2 2 4 2" xfId="3587"/>
    <cellStyle name="Millares 4 3 2 2 2 5" xfId="2307"/>
    <cellStyle name="Millares 4 3 2 2 3" xfId="407"/>
    <cellStyle name="Millares 4 3 2 2 3 2" xfId="1047"/>
    <cellStyle name="Millares 4 3 2 2 3 2 2" xfId="3075"/>
    <cellStyle name="Millares 4 3 2 2 3 3" xfId="1687"/>
    <cellStyle name="Millares 4 3 2 2 3 3 2" xfId="3715"/>
    <cellStyle name="Millares 4 3 2 2 3 4" xfId="2435"/>
    <cellStyle name="Millares 4 3 2 2 4" xfId="535"/>
    <cellStyle name="Millares 4 3 2 2 4 2" xfId="1175"/>
    <cellStyle name="Millares 4 3 2 2 4 2 2" xfId="3203"/>
    <cellStyle name="Millares 4 3 2 2 4 3" xfId="1815"/>
    <cellStyle name="Millares 4 3 2 2 4 3 2" xfId="3843"/>
    <cellStyle name="Millares 4 3 2 2 4 4" xfId="2563"/>
    <cellStyle name="Millares 4 3 2 2 5" xfId="791"/>
    <cellStyle name="Millares 4 3 2 2 5 2" xfId="2819"/>
    <cellStyle name="Millares 4 3 2 2 6" xfId="1431"/>
    <cellStyle name="Millares 4 3 2 2 6 2" xfId="3459"/>
    <cellStyle name="Millares 4 3 2 2 7" xfId="2179"/>
    <cellStyle name="Millares 4 3 2 3" xfId="215"/>
    <cellStyle name="Millares 4 3 2 3 2" xfId="599"/>
    <cellStyle name="Millares 4 3 2 3 2 2" xfId="1239"/>
    <cellStyle name="Millares 4 3 2 3 2 2 2" xfId="3267"/>
    <cellStyle name="Millares 4 3 2 3 2 3" xfId="1879"/>
    <cellStyle name="Millares 4 3 2 3 2 3 2" xfId="3907"/>
    <cellStyle name="Millares 4 3 2 3 2 4" xfId="2627"/>
    <cellStyle name="Millares 4 3 2 3 3" xfId="855"/>
    <cellStyle name="Millares 4 3 2 3 3 2" xfId="2883"/>
    <cellStyle name="Millares 4 3 2 3 4" xfId="1495"/>
    <cellStyle name="Millares 4 3 2 3 4 2" xfId="3523"/>
    <cellStyle name="Millares 4 3 2 3 5" xfId="2243"/>
    <cellStyle name="Millares 4 3 2 4" xfId="343"/>
    <cellStyle name="Millares 4 3 2 4 2" xfId="983"/>
    <cellStyle name="Millares 4 3 2 4 2 2" xfId="3011"/>
    <cellStyle name="Millares 4 3 2 4 3" xfId="1623"/>
    <cellStyle name="Millares 4 3 2 4 3 2" xfId="3651"/>
    <cellStyle name="Millares 4 3 2 4 4" xfId="2371"/>
    <cellStyle name="Millares 4 3 2 5" xfId="471"/>
    <cellStyle name="Millares 4 3 2 5 2" xfId="1111"/>
    <cellStyle name="Millares 4 3 2 5 2 2" xfId="3139"/>
    <cellStyle name="Millares 4 3 2 5 3" xfId="1751"/>
    <cellStyle name="Millares 4 3 2 5 3 2" xfId="3779"/>
    <cellStyle name="Millares 4 3 2 5 4" xfId="2499"/>
    <cellStyle name="Millares 4 3 2 6" xfId="727"/>
    <cellStyle name="Millares 4 3 2 6 2" xfId="2755"/>
    <cellStyle name="Millares 4 3 2 7" xfId="1367"/>
    <cellStyle name="Millares 4 3 2 7 2" xfId="3395"/>
    <cellStyle name="Millares 4 3 2 8" xfId="2007"/>
    <cellStyle name="Millares 4 3 2 8 2" xfId="4035"/>
    <cellStyle name="Millares 4 3 2 9" xfId="2115"/>
    <cellStyle name="Millares 4 3 3" xfId="119"/>
    <cellStyle name="Millares 4 3 3 2" xfId="247"/>
    <cellStyle name="Millares 4 3 3 2 2" xfId="631"/>
    <cellStyle name="Millares 4 3 3 2 2 2" xfId="1271"/>
    <cellStyle name="Millares 4 3 3 2 2 2 2" xfId="3299"/>
    <cellStyle name="Millares 4 3 3 2 2 3" xfId="1911"/>
    <cellStyle name="Millares 4 3 3 2 2 3 2" xfId="3939"/>
    <cellStyle name="Millares 4 3 3 2 2 4" xfId="2659"/>
    <cellStyle name="Millares 4 3 3 2 3" xfId="887"/>
    <cellStyle name="Millares 4 3 3 2 3 2" xfId="2915"/>
    <cellStyle name="Millares 4 3 3 2 4" xfId="1527"/>
    <cellStyle name="Millares 4 3 3 2 4 2" xfId="3555"/>
    <cellStyle name="Millares 4 3 3 2 5" xfId="2275"/>
    <cellStyle name="Millares 4 3 3 3" xfId="375"/>
    <cellStyle name="Millares 4 3 3 3 2" xfId="1015"/>
    <cellStyle name="Millares 4 3 3 3 2 2" xfId="3043"/>
    <cellStyle name="Millares 4 3 3 3 3" xfId="1655"/>
    <cellStyle name="Millares 4 3 3 3 3 2" xfId="3683"/>
    <cellStyle name="Millares 4 3 3 3 4" xfId="2403"/>
    <cellStyle name="Millares 4 3 3 4" xfId="503"/>
    <cellStyle name="Millares 4 3 3 4 2" xfId="1143"/>
    <cellStyle name="Millares 4 3 3 4 2 2" xfId="3171"/>
    <cellStyle name="Millares 4 3 3 4 3" xfId="1783"/>
    <cellStyle name="Millares 4 3 3 4 3 2" xfId="3811"/>
    <cellStyle name="Millares 4 3 3 4 4" xfId="2531"/>
    <cellStyle name="Millares 4 3 3 5" xfId="759"/>
    <cellStyle name="Millares 4 3 3 5 2" xfId="2787"/>
    <cellStyle name="Millares 4 3 3 6" xfId="1399"/>
    <cellStyle name="Millares 4 3 3 6 2" xfId="3427"/>
    <cellStyle name="Millares 4 3 3 7" xfId="2147"/>
    <cellStyle name="Millares 4 3 4" xfId="183"/>
    <cellStyle name="Millares 4 3 4 2" xfId="567"/>
    <cellStyle name="Millares 4 3 4 2 2" xfId="1207"/>
    <cellStyle name="Millares 4 3 4 2 2 2" xfId="3235"/>
    <cellStyle name="Millares 4 3 4 2 3" xfId="1847"/>
    <cellStyle name="Millares 4 3 4 2 3 2" xfId="3875"/>
    <cellStyle name="Millares 4 3 4 2 4" xfId="2595"/>
    <cellStyle name="Millares 4 3 4 3" xfId="823"/>
    <cellStyle name="Millares 4 3 4 3 2" xfId="2851"/>
    <cellStyle name="Millares 4 3 4 4" xfId="1463"/>
    <cellStyle name="Millares 4 3 4 4 2" xfId="3491"/>
    <cellStyle name="Millares 4 3 4 5" xfId="2211"/>
    <cellStyle name="Millares 4 3 5" xfId="311"/>
    <cellStyle name="Millares 4 3 5 2" xfId="951"/>
    <cellStyle name="Millares 4 3 5 2 2" xfId="2979"/>
    <cellStyle name="Millares 4 3 5 3" xfId="1591"/>
    <cellStyle name="Millares 4 3 5 3 2" xfId="3619"/>
    <cellStyle name="Millares 4 3 5 4" xfId="2339"/>
    <cellStyle name="Millares 4 3 6" xfId="439"/>
    <cellStyle name="Millares 4 3 6 2" xfId="1079"/>
    <cellStyle name="Millares 4 3 6 2 2" xfId="3107"/>
    <cellStyle name="Millares 4 3 6 3" xfId="1719"/>
    <cellStyle name="Millares 4 3 6 3 2" xfId="3747"/>
    <cellStyle name="Millares 4 3 6 4" xfId="2467"/>
    <cellStyle name="Millares 4 3 7" xfId="695"/>
    <cellStyle name="Millares 4 3 7 2" xfId="2723"/>
    <cellStyle name="Millares 4 3 8" xfId="1335"/>
    <cellStyle name="Millares 4 3 8 2" xfId="3363"/>
    <cellStyle name="Millares 4 3 9" xfId="1975"/>
    <cellStyle name="Millares 4 3 9 2" xfId="4003"/>
    <cellStyle name="Millares 4 4" xfId="71"/>
    <cellStyle name="Millares 4 4 2" xfId="135"/>
    <cellStyle name="Millares 4 4 2 2" xfId="263"/>
    <cellStyle name="Millares 4 4 2 2 2" xfId="647"/>
    <cellStyle name="Millares 4 4 2 2 2 2" xfId="1287"/>
    <cellStyle name="Millares 4 4 2 2 2 2 2" xfId="3315"/>
    <cellStyle name="Millares 4 4 2 2 2 3" xfId="1927"/>
    <cellStyle name="Millares 4 4 2 2 2 3 2" xfId="3955"/>
    <cellStyle name="Millares 4 4 2 2 2 4" xfId="2675"/>
    <cellStyle name="Millares 4 4 2 2 3" xfId="903"/>
    <cellStyle name="Millares 4 4 2 2 3 2" xfId="2931"/>
    <cellStyle name="Millares 4 4 2 2 4" xfId="1543"/>
    <cellStyle name="Millares 4 4 2 2 4 2" xfId="3571"/>
    <cellStyle name="Millares 4 4 2 2 5" xfId="2291"/>
    <cellStyle name="Millares 4 4 2 3" xfId="391"/>
    <cellStyle name="Millares 4 4 2 3 2" xfId="1031"/>
    <cellStyle name="Millares 4 4 2 3 2 2" xfId="3059"/>
    <cellStyle name="Millares 4 4 2 3 3" xfId="1671"/>
    <cellStyle name="Millares 4 4 2 3 3 2" xfId="3699"/>
    <cellStyle name="Millares 4 4 2 3 4" xfId="2419"/>
    <cellStyle name="Millares 4 4 2 4" xfId="519"/>
    <cellStyle name="Millares 4 4 2 4 2" xfId="1159"/>
    <cellStyle name="Millares 4 4 2 4 2 2" xfId="3187"/>
    <cellStyle name="Millares 4 4 2 4 3" xfId="1799"/>
    <cellStyle name="Millares 4 4 2 4 3 2" xfId="3827"/>
    <cellStyle name="Millares 4 4 2 4 4" xfId="2547"/>
    <cellStyle name="Millares 4 4 2 5" xfId="775"/>
    <cellStyle name="Millares 4 4 2 5 2" xfId="2803"/>
    <cellStyle name="Millares 4 4 2 6" xfId="1415"/>
    <cellStyle name="Millares 4 4 2 6 2" xfId="3443"/>
    <cellStyle name="Millares 4 4 2 7" xfId="2163"/>
    <cellStyle name="Millares 4 4 3" xfId="199"/>
    <cellStyle name="Millares 4 4 3 2" xfId="583"/>
    <cellStyle name="Millares 4 4 3 2 2" xfId="1223"/>
    <cellStyle name="Millares 4 4 3 2 2 2" xfId="3251"/>
    <cellStyle name="Millares 4 4 3 2 3" xfId="1863"/>
    <cellStyle name="Millares 4 4 3 2 3 2" xfId="3891"/>
    <cellStyle name="Millares 4 4 3 2 4" xfId="2611"/>
    <cellStyle name="Millares 4 4 3 3" xfId="839"/>
    <cellStyle name="Millares 4 4 3 3 2" xfId="2867"/>
    <cellStyle name="Millares 4 4 3 4" xfId="1479"/>
    <cellStyle name="Millares 4 4 3 4 2" xfId="3507"/>
    <cellStyle name="Millares 4 4 3 5" xfId="2227"/>
    <cellStyle name="Millares 4 4 4" xfId="327"/>
    <cellStyle name="Millares 4 4 4 2" xfId="967"/>
    <cellStyle name="Millares 4 4 4 2 2" xfId="2995"/>
    <cellStyle name="Millares 4 4 4 3" xfId="1607"/>
    <cellStyle name="Millares 4 4 4 3 2" xfId="3635"/>
    <cellStyle name="Millares 4 4 4 4" xfId="2355"/>
    <cellStyle name="Millares 4 4 5" xfId="455"/>
    <cellStyle name="Millares 4 4 5 2" xfId="1095"/>
    <cellStyle name="Millares 4 4 5 2 2" xfId="3123"/>
    <cellStyle name="Millares 4 4 5 3" xfId="1735"/>
    <cellStyle name="Millares 4 4 5 3 2" xfId="3763"/>
    <cellStyle name="Millares 4 4 5 4" xfId="2483"/>
    <cellStyle name="Millares 4 4 6" xfId="711"/>
    <cellStyle name="Millares 4 4 6 2" xfId="2739"/>
    <cellStyle name="Millares 4 4 7" xfId="1351"/>
    <cellStyle name="Millares 4 4 7 2" xfId="3379"/>
    <cellStyle name="Millares 4 4 8" xfId="1991"/>
    <cellStyle name="Millares 4 4 8 2" xfId="4019"/>
    <cellStyle name="Millares 4 4 9" xfId="2099"/>
    <cellStyle name="Millares 4 5" xfId="103"/>
    <cellStyle name="Millares 4 5 2" xfId="231"/>
    <cellStyle name="Millares 4 5 2 2" xfId="615"/>
    <cellStyle name="Millares 4 5 2 2 2" xfId="1255"/>
    <cellStyle name="Millares 4 5 2 2 2 2" xfId="3283"/>
    <cellStyle name="Millares 4 5 2 2 3" xfId="1895"/>
    <cellStyle name="Millares 4 5 2 2 3 2" xfId="3923"/>
    <cellStyle name="Millares 4 5 2 2 4" xfId="2643"/>
    <cellStyle name="Millares 4 5 2 3" xfId="871"/>
    <cellStyle name="Millares 4 5 2 3 2" xfId="2899"/>
    <cellStyle name="Millares 4 5 2 4" xfId="1511"/>
    <cellStyle name="Millares 4 5 2 4 2" xfId="3539"/>
    <cellStyle name="Millares 4 5 2 5" xfId="2259"/>
    <cellStyle name="Millares 4 5 3" xfId="359"/>
    <cellStyle name="Millares 4 5 3 2" xfId="999"/>
    <cellStyle name="Millares 4 5 3 2 2" xfId="3027"/>
    <cellStyle name="Millares 4 5 3 3" xfId="1639"/>
    <cellStyle name="Millares 4 5 3 3 2" xfId="3667"/>
    <cellStyle name="Millares 4 5 3 4" xfId="2387"/>
    <cellStyle name="Millares 4 5 4" xfId="487"/>
    <cellStyle name="Millares 4 5 4 2" xfId="1127"/>
    <cellStyle name="Millares 4 5 4 2 2" xfId="3155"/>
    <cellStyle name="Millares 4 5 4 3" xfId="1767"/>
    <cellStyle name="Millares 4 5 4 3 2" xfId="3795"/>
    <cellStyle name="Millares 4 5 4 4" xfId="2515"/>
    <cellStyle name="Millares 4 5 5" xfId="743"/>
    <cellStyle name="Millares 4 5 5 2" xfId="2771"/>
    <cellStyle name="Millares 4 5 6" xfId="1383"/>
    <cellStyle name="Millares 4 5 6 2" xfId="3411"/>
    <cellStyle name="Millares 4 5 7" xfId="2131"/>
    <cellStyle name="Millares 4 6" xfId="167"/>
    <cellStyle name="Millares 4 6 2" xfId="551"/>
    <cellStyle name="Millares 4 6 2 2" xfId="1191"/>
    <cellStyle name="Millares 4 6 2 2 2" xfId="3219"/>
    <cellStyle name="Millares 4 6 2 3" xfId="1831"/>
    <cellStyle name="Millares 4 6 2 3 2" xfId="3859"/>
    <cellStyle name="Millares 4 6 2 4" xfId="2579"/>
    <cellStyle name="Millares 4 6 3" xfId="807"/>
    <cellStyle name="Millares 4 6 3 2" xfId="2835"/>
    <cellStyle name="Millares 4 6 4" xfId="1447"/>
    <cellStyle name="Millares 4 6 4 2" xfId="3475"/>
    <cellStyle name="Millares 4 6 5" xfId="2195"/>
    <cellStyle name="Millares 4 7" xfId="295"/>
    <cellStyle name="Millares 4 7 2" xfId="935"/>
    <cellStyle name="Millares 4 7 2 2" xfId="2963"/>
    <cellStyle name="Millares 4 7 3" xfId="1575"/>
    <cellStyle name="Millares 4 7 3 2" xfId="3603"/>
    <cellStyle name="Millares 4 7 4" xfId="2323"/>
    <cellStyle name="Millares 4 8" xfId="423"/>
    <cellStyle name="Millares 4 8 2" xfId="1063"/>
    <cellStyle name="Millares 4 8 2 2" xfId="3091"/>
    <cellStyle name="Millares 4 8 3" xfId="1703"/>
    <cellStyle name="Millares 4 8 3 2" xfId="3731"/>
    <cellStyle name="Millares 4 8 4" xfId="2451"/>
    <cellStyle name="Millares 4 9" xfId="679"/>
    <cellStyle name="Millares 4 9 2" xfId="2707"/>
    <cellStyle name="Millares 5" xfId="10"/>
    <cellStyle name="Millares 5 10" xfId="1963"/>
    <cellStyle name="Millares 5 10 2" xfId="3991"/>
    <cellStyle name="Millares 5 11" xfId="43"/>
    <cellStyle name="Millares 5 11 2" xfId="2071"/>
    <cellStyle name="Millares 5 12" xfId="2044"/>
    <cellStyle name="Millares 5 2" xfId="59"/>
    <cellStyle name="Millares 5 2 10" xfId="2087"/>
    <cellStyle name="Millares 5 2 2" xfId="91"/>
    <cellStyle name="Millares 5 2 2 2" xfId="155"/>
    <cellStyle name="Millares 5 2 2 2 2" xfId="283"/>
    <cellStyle name="Millares 5 2 2 2 2 2" xfId="667"/>
    <cellStyle name="Millares 5 2 2 2 2 2 2" xfId="1307"/>
    <cellStyle name="Millares 5 2 2 2 2 2 2 2" xfId="3335"/>
    <cellStyle name="Millares 5 2 2 2 2 2 3" xfId="1947"/>
    <cellStyle name="Millares 5 2 2 2 2 2 3 2" xfId="3975"/>
    <cellStyle name="Millares 5 2 2 2 2 2 4" xfId="2695"/>
    <cellStyle name="Millares 5 2 2 2 2 3" xfId="923"/>
    <cellStyle name="Millares 5 2 2 2 2 3 2" xfId="2951"/>
    <cellStyle name="Millares 5 2 2 2 2 4" xfId="1563"/>
    <cellStyle name="Millares 5 2 2 2 2 4 2" xfId="3591"/>
    <cellStyle name="Millares 5 2 2 2 2 5" xfId="2311"/>
    <cellStyle name="Millares 5 2 2 2 3" xfId="411"/>
    <cellStyle name="Millares 5 2 2 2 3 2" xfId="1051"/>
    <cellStyle name="Millares 5 2 2 2 3 2 2" xfId="3079"/>
    <cellStyle name="Millares 5 2 2 2 3 3" xfId="1691"/>
    <cellStyle name="Millares 5 2 2 2 3 3 2" xfId="3719"/>
    <cellStyle name="Millares 5 2 2 2 3 4" xfId="2439"/>
    <cellStyle name="Millares 5 2 2 2 4" xfId="539"/>
    <cellStyle name="Millares 5 2 2 2 4 2" xfId="1179"/>
    <cellStyle name="Millares 5 2 2 2 4 2 2" xfId="3207"/>
    <cellStyle name="Millares 5 2 2 2 4 3" xfId="1819"/>
    <cellStyle name="Millares 5 2 2 2 4 3 2" xfId="3847"/>
    <cellStyle name="Millares 5 2 2 2 4 4" xfId="2567"/>
    <cellStyle name="Millares 5 2 2 2 5" xfId="795"/>
    <cellStyle name="Millares 5 2 2 2 5 2" xfId="2823"/>
    <cellStyle name="Millares 5 2 2 2 6" xfId="1435"/>
    <cellStyle name="Millares 5 2 2 2 6 2" xfId="3463"/>
    <cellStyle name="Millares 5 2 2 2 7" xfId="2183"/>
    <cellStyle name="Millares 5 2 2 3" xfId="219"/>
    <cellStyle name="Millares 5 2 2 3 2" xfId="603"/>
    <cellStyle name="Millares 5 2 2 3 2 2" xfId="1243"/>
    <cellStyle name="Millares 5 2 2 3 2 2 2" xfId="3271"/>
    <cellStyle name="Millares 5 2 2 3 2 3" xfId="1883"/>
    <cellStyle name="Millares 5 2 2 3 2 3 2" xfId="3911"/>
    <cellStyle name="Millares 5 2 2 3 2 4" xfId="2631"/>
    <cellStyle name="Millares 5 2 2 3 3" xfId="859"/>
    <cellStyle name="Millares 5 2 2 3 3 2" xfId="2887"/>
    <cellStyle name="Millares 5 2 2 3 4" xfId="1499"/>
    <cellStyle name="Millares 5 2 2 3 4 2" xfId="3527"/>
    <cellStyle name="Millares 5 2 2 3 5" xfId="2247"/>
    <cellStyle name="Millares 5 2 2 4" xfId="347"/>
    <cellStyle name="Millares 5 2 2 4 2" xfId="987"/>
    <cellStyle name="Millares 5 2 2 4 2 2" xfId="3015"/>
    <cellStyle name="Millares 5 2 2 4 3" xfId="1627"/>
    <cellStyle name="Millares 5 2 2 4 3 2" xfId="3655"/>
    <cellStyle name="Millares 5 2 2 4 4" xfId="2375"/>
    <cellStyle name="Millares 5 2 2 5" xfId="475"/>
    <cellStyle name="Millares 5 2 2 5 2" xfId="1115"/>
    <cellStyle name="Millares 5 2 2 5 2 2" xfId="3143"/>
    <cellStyle name="Millares 5 2 2 5 3" xfId="1755"/>
    <cellStyle name="Millares 5 2 2 5 3 2" xfId="3783"/>
    <cellStyle name="Millares 5 2 2 5 4" xfId="2503"/>
    <cellStyle name="Millares 5 2 2 6" xfId="731"/>
    <cellStyle name="Millares 5 2 2 6 2" xfId="2759"/>
    <cellStyle name="Millares 5 2 2 7" xfId="1371"/>
    <cellStyle name="Millares 5 2 2 7 2" xfId="3399"/>
    <cellStyle name="Millares 5 2 2 8" xfId="2011"/>
    <cellStyle name="Millares 5 2 2 8 2" xfId="4039"/>
    <cellStyle name="Millares 5 2 2 9" xfId="2119"/>
    <cellStyle name="Millares 5 2 3" xfId="123"/>
    <cellStyle name="Millares 5 2 3 2" xfId="251"/>
    <cellStyle name="Millares 5 2 3 2 2" xfId="635"/>
    <cellStyle name="Millares 5 2 3 2 2 2" xfId="1275"/>
    <cellStyle name="Millares 5 2 3 2 2 2 2" xfId="3303"/>
    <cellStyle name="Millares 5 2 3 2 2 3" xfId="1915"/>
    <cellStyle name="Millares 5 2 3 2 2 3 2" xfId="3943"/>
    <cellStyle name="Millares 5 2 3 2 2 4" xfId="2663"/>
    <cellStyle name="Millares 5 2 3 2 3" xfId="891"/>
    <cellStyle name="Millares 5 2 3 2 3 2" xfId="2919"/>
    <cellStyle name="Millares 5 2 3 2 4" xfId="1531"/>
    <cellStyle name="Millares 5 2 3 2 4 2" xfId="3559"/>
    <cellStyle name="Millares 5 2 3 2 5" xfId="2279"/>
    <cellStyle name="Millares 5 2 3 3" xfId="379"/>
    <cellStyle name="Millares 5 2 3 3 2" xfId="1019"/>
    <cellStyle name="Millares 5 2 3 3 2 2" xfId="3047"/>
    <cellStyle name="Millares 5 2 3 3 3" xfId="1659"/>
    <cellStyle name="Millares 5 2 3 3 3 2" xfId="3687"/>
    <cellStyle name="Millares 5 2 3 3 4" xfId="2407"/>
    <cellStyle name="Millares 5 2 3 4" xfId="507"/>
    <cellStyle name="Millares 5 2 3 4 2" xfId="1147"/>
    <cellStyle name="Millares 5 2 3 4 2 2" xfId="3175"/>
    <cellStyle name="Millares 5 2 3 4 3" xfId="1787"/>
    <cellStyle name="Millares 5 2 3 4 3 2" xfId="3815"/>
    <cellStyle name="Millares 5 2 3 4 4" xfId="2535"/>
    <cellStyle name="Millares 5 2 3 5" xfId="763"/>
    <cellStyle name="Millares 5 2 3 5 2" xfId="2791"/>
    <cellStyle name="Millares 5 2 3 6" xfId="1403"/>
    <cellStyle name="Millares 5 2 3 6 2" xfId="3431"/>
    <cellStyle name="Millares 5 2 3 7" xfId="2151"/>
    <cellStyle name="Millares 5 2 4" xfId="187"/>
    <cellStyle name="Millares 5 2 4 2" xfId="571"/>
    <cellStyle name="Millares 5 2 4 2 2" xfId="1211"/>
    <cellStyle name="Millares 5 2 4 2 2 2" xfId="3239"/>
    <cellStyle name="Millares 5 2 4 2 3" xfId="1851"/>
    <cellStyle name="Millares 5 2 4 2 3 2" xfId="3879"/>
    <cellStyle name="Millares 5 2 4 2 4" xfId="2599"/>
    <cellStyle name="Millares 5 2 4 3" xfId="827"/>
    <cellStyle name="Millares 5 2 4 3 2" xfId="2855"/>
    <cellStyle name="Millares 5 2 4 4" xfId="1467"/>
    <cellStyle name="Millares 5 2 4 4 2" xfId="3495"/>
    <cellStyle name="Millares 5 2 4 5" xfId="2215"/>
    <cellStyle name="Millares 5 2 5" xfId="315"/>
    <cellStyle name="Millares 5 2 5 2" xfId="955"/>
    <cellStyle name="Millares 5 2 5 2 2" xfId="2983"/>
    <cellStyle name="Millares 5 2 5 3" xfId="1595"/>
    <cellStyle name="Millares 5 2 5 3 2" xfId="3623"/>
    <cellStyle name="Millares 5 2 5 4" xfId="2343"/>
    <cellStyle name="Millares 5 2 6" xfId="443"/>
    <cellStyle name="Millares 5 2 6 2" xfId="1083"/>
    <cellStyle name="Millares 5 2 6 2 2" xfId="3111"/>
    <cellStyle name="Millares 5 2 6 3" xfId="1723"/>
    <cellStyle name="Millares 5 2 6 3 2" xfId="3751"/>
    <cellStyle name="Millares 5 2 6 4" xfId="2471"/>
    <cellStyle name="Millares 5 2 7" xfId="699"/>
    <cellStyle name="Millares 5 2 7 2" xfId="2727"/>
    <cellStyle name="Millares 5 2 8" xfId="1339"/>
    <cellStyle name="Millares 5 2 8 2" xfId="3367"/>
    <cellStyle name="Millares 5 2 9" xfId="1979"/>
    <cellStyle name="Millares 5 2 9 2" xfId="4007"/>
    <cellStyle name="Millares 5 3" xfId="75"/>
    <cellStyle name="Millares 5 3 2" xfId="139"/>
    <cellStyle name="Millares 5 3 2 2" xfId="267"/>
    <cellStyle name="Millares 5 3 2 2 2" xfId="651"/>
    <cellStyle name="Millares 5 3 2 2 2 2" xfId="1291"/>
    <cellStyle name="Millares 5 3 2 2 2 2 2" xfId="3319"/>
    <cellStyle name="Millares 5 3 2 2 2 3" xfId="1931"/>
    <cellStyle name="Millares 5 3 2 2 2 3 2" xfId="3959"/>
    <cellStyle name="Millares 5 3 2 2 2 4" xfId="2679"/>
    <cellStyle name="Millares 5 3 2 2 3" xfId="907"/>
    <cellStyle name="Millares 5 3 2 2 3 2" xfId="2935"/>
    <cellStyle name="Millares 5 3 2 2 4" xfId="1547"/>
    <cellStyle name="Millares 5 3 2 2 4 2" xfId="3575"/>
    <cellStyle name="Millares 5 3 2 2 5" xfId="2295"/>
    <cellStyle name="Millares 5 3 2 3" xfId="395"/>
    <cellStyle name="Millares 5 3 2 3 2" xfId="1035"/>
    <cellStyle name="Millares 5 3 2 3 2 2" xfId="3063"/>
    <cellStyle name="Millares 5 3 2 3 3" xfId="1675"/>
    <cellStyle name="Millares 5 3 2 3 3 2" xfId="3703"/>
    <cellStyle name="Millares 5 3 2 3 4" xfId="2423"/>
    <cellStyle name="Millares 5 3 2 4" xfId="523"/>
    <cellStyle name="Millares 5 3 2 4 2" xfId="1163"/>
    <cellStyle name="Millares 5 3 2 4 2 2" xfId="3191"/>
    <cellStyle name="Millares 5 3 2 4 3" xfId="1803"/>
    <cellStyle name="Millares 5 3 2 4 3 2" xfId="3831"/>
    <cellStyle name="Millares 5 3 2 4 4" xfId="2551"/>
    <cellStyle name="Millares 5 3 2 5" xfId="779"/>
    <cellStyle name="Millares 5 3 2 5 2" xfId="2807"/>
    <cellStyle name="Millares 5 3 2 6" xfId="1419"/>
    <cellStyle name="Millares 5 3 2 6 2" xfId="3447"/>
    <cellStyle name="Millares 5 3 2 7" xfId="2167"/>
    <cellStyle name="Millares 5 3 3" xfId="203"/>
    <cellStyle name="Millares 5 3 3 2" xfId="587"/>
    <cellStyle name="Millares 5 3 3 2 2" xfId="1227"/>
    <cellStyle name="Millares 5 3 3 2 2 2" xfId="3255"/>
    <cellStyle name="Millares 5 3 3 2 3" xfId="1867"/>
    <cellStyle name="Millares 5 3 3 2 3 2" xfId="3895"/>
    <cellStyle name="Millares 5 3 3 2 4" xfId="2615"/>
    <cellStyle name="Millares 5 3 3 3" xfId="843"/>
    <cellStyle name="Millares 5 3 3 3 2" xfId="2871"/>
    <cellStyle name="Millares 5 3 3 4" xfId="1483"/>
    <cellStyle name="Millares 5 3 3 4 2" xfId="3511"/>
    <cellStyle name="Millares 5 3 3 5" xfId="2231"/>
    <cellStyle name="Millares 5 3 4" xfId="331"/>
    <cellStyle name="Millares 5 3 4 2" xfId="971"/>
    <cellStyle name="Millares 5 3 4 2 2" xfId="2999"/>
    <cellStyle name="Millares 5 3 4 3" xfId="1611"/>
    <cellStyle name="Millares 5 3 4 3 2" xfId="3639"/>
    <cellStyle name="Millares 5 3 4 4" xfId="2359"/>
    <cellStyle name="Millares 5 3 5" xfId="459"/>
    <cellStyle name="Millares 5 3 5 2" xfId="1099"/>
    <cellStyle name="Millares 5 3 5 2 2" xfId="3127"/>
    <cellStyle name="Millares 5 3 5 3" xfId="1739"/>
    <cellStyle name="Millares 5 3 5 3 2" xfId="3767"/>
    <cellStyle name="Millares 5 3 5 4" xfId="2487"/>
    <cellStyle name="Millares 5 3 6" xfId="715"/>
    <cellStyle name="Millares 5 3 6 2" xfId="2743"/>
    <cellStyle name="Millares 5 3 7" xfId="1355"/>
    <cellStyle name="Millares 5 3 7 2" xfId="3383"/>
    <cellStyle name="Millares 5 3 8" xfId="1995"/>
    <cellStyle name="Millares 5 3 8 2" xfId="4023"/>
    <cellStyle name="Millares 5 3 9" xfId="2103"/>
    <cellStyle name="Millares 5 4" xfId="107"/>
    <cellStyle name="Millares 5 4 2" xfId="235"/>
    <cellStyle name="Millares 5 4 2 2" xfId="619"/>
    <cellStyle name="Millares 5 4 2 2 2" xfId="1259"/>
    <cellStyle name="Millares 5 4 2 2 2 2" xfId="3287"/>
    <cellStyle name="Millares 5 4 2 2 3" xfId="1899"/>
    <cellStyle name="Millares 5 4 2 2 3 2" xfId="3927"/>
    <cellStyle name="Millares 5 4 2 2 4" xfId="2647"/>
    <cellStyle name="Millares 5 4 2 3" xfId="875"/>
    <cellStyle name="Millares 5 4 2 3 2" xfId="2903"/>
    <cellStyle name="Millares 5 4 2 4" xfId="1515"/>
    <cellStyle name="Millares 5 4 2 4 2" xfId="3543"/>
    <cellStyle name="Millares 5 4 2 5" xfId="2263"/>
    <cellStyle name="Millares 5 4 3" xfId="363"/>
    <cellStyle name="Millares 5 4 3 2" xfId="1003"/>
    <cellStyle name="Millares 5 4 3 2 2" xfId="3031"/>
    <cellStyle name="Millares 5 4 3 3" xfId="1643"/>
    <cellStyle name="Millares 5 4 3 3 2" xfId="3671"/>
    <cellStyle name="Millares 5 4 3 4" xfId="2391"/>
    <cellStyle name="Millares 5 4 4" xfId="491"/>
    <cellStyle name="Millares 5 4 4 2" xfId="1131"/>
    <cellStyle name="Millares 5 4 4 2 2" xfId="3159"/>
    <cellStyle name="Millares 5 4 4 3" xfId="1771"/>
    <cellStyle name="Millares 5 4 4 3 2" xfId="3799"/>
    <cellStyle name="Millares 5 4 4 4" xfId="2519"/>
    <cellStyle name="Millares 5 4 5" xfId="747"/>
    <cellStyle name="Millares 5 4 5 2" xfId="2775"/>
    <cellStyle name="Millares 5 4 6" xfId="1387"/>
    <cellStyle name="Millares 5 4 6 2" xfId="3415"/>
    <cellStyle name="Millares 5 4 7" xfId="2135"/>
    <cellStyle name="Millares 5 5" xfId="171"/>
    <cellStyle name="Millares 5 5 2" xfId="555"/>
    <cellStyle name="Millares 5 5 2 2" xfId="1195"/>
    <cellStyle name="Millares 5 5 2 2 2" xfId="3223"/>
    <cellStyle name="Millares 5 5 2 3" xfId="1835"/>
    <cellStyle name="Millares 5 5 2 3 2" xfId="3863"/>
    <cellStyle name="Millares 5 5 2 4" xfId="2583"/>
    <cellStyle name="Millares 5 5 3" xfId="811"/>
    <cellStyle name="Millares 5 5 3 2" xfId="2839"/>
    <cellStyle name="Millares 5 5 4" xfId="1451"/>
    <cellStyle name="Millares 5 5 4 2" xfId="3479"/>
    <cellStyle name="Millares 5 5 5" xfId="2199"/>
    <cellStyle name="Millares 5 6" xfId="299"/>
    <cellStyle name="Millares 5 6 2" xfId="939"/>
    <cellStyle name="Millares 5 6 2 2" xfId="2967"/>
    <cellStyle name="Millares 5 6 3" xfId="1579"/>
    <cellStyle name="Millares 5 6 3 2" xfId="3607"/>
    <cellStyle name="Millares 5 6 4" xfId="2327"/>
    <cellStyle name="Millares 5 7" xfId="427"/>
    <cellStyle name="Millares 5 7 2" xfId="1067"/>
    <cellStyle name="Millares 5 7 2 2" xfId="3095"/>
    <cellStyle name="Millares 5 7 3" xfId="1707"/>
    <cellStyle name="Millares 5 7 3 2" xfId="3735"/>
    <cellStyle name="Millares 5 7 4" xfId="2455"/>
    <cellStyle name="Millares 5 8" xfId="683"/>
    <cellStyle name="Millares 5 8 2" xfId="2711"/>
    <cellStyle name="Millares 5 9" xfId="1323"/>
    <cellStyle name="Millares 5 9 2" xfId="3351"/>
    <cellStyle name="Millares 6" xfId="11"/>
    <cellStyle name="Millares 6 10" xfId="51"/>
    <cellStyle name="Millares 6 10 2" xfId="2079"/>
    <cellStyle name="Millares 6 11" xfId="2045"/>
    <cellStyle name="Millares 6 2" xfId="83"/>
    <cellStyle name="Millares 6 2 2" xfId="147"/>
    <cellStyle name="Millares 6 2 2 2" xfId="275"/>
    <cellStyle name="Millares 6 2 2 2 2" xfId="659"/>
    <cellStyle name="Millares 6 2 2 2 2 2" xfId="1299"/>
    <cellStyle name="Millares 6 2 2 2 2 2 2" xfId="3327"/>
    <cellStyle name="Millares 6 2 2 2 2 3" xfId="1939"/>
    <cellStyle name="Millares 6 2 2 2 2 3 2" xfId="3967"/>
    <cellStyle name="Millares 6 2 2 2 2 4" xfId="2687"/>
    <cellStyle name="Millares 6 2 2 2 3" xfId="915"/>
    <cellStyle name="Millares 6 2 2 2 3 2" xfId="2943"/>
    <cellStyle name="Millares 6 2 2 2 4" xfId="1555"/>
    <cellStyle name="Millares 6 2 2 2 4 2" xfId="3583"/>
    <cellStyle name="Millares 6 2 2 2 5" xfId="2303"/>
    <cellStyle name="Millares 6 2 2 3" xfId="403"/>
    <cellStyle name="Millares 6 2 2 3 2" xfId="1043"/>
    <cellStyle name="Millares 6 2 2 3 2 2" xfId="3071"/>
    <cellStyle name="Millares 6 2 2 3 3" xfId="1683"/>
    <cellStyle name="Millares 6 2 2 3 3 2" xfId="3711"/>
    <cellStyle name="Millares 6 2 2 3 4" xfId="2431"/>
    <cellStyle name="Millares 6 2 2 4" xfId="531"/>
    <cellStyle name="Millares 6 2 2 4 2" xfId="1171"/>
    <cellStyle name="Millares 6 2 2 4 2 2" xfId="3199"/>
    <cellStyle name="Millares 6 2 2 4 3" xfId="1811"/>
    <cellStyle name="Millares 6 2 2 4 3 2" xfId="3839"/>
    <cellStyle name="Millares 6 2 2 4 4" xfId="2559"/>
    <cellStyle name="Millares 6 2 2 5" xfId="787"/>
    <cellStyle name="Millares 6 2 2 5 2" xfId="2815"/>
    <cellStyle name="Millares 6 2 2 6" xfId="1427"/>
    <cellStyle name="Millares 6 2 2 6 2" xfId="3455"/>
    <cellStyle name="Millares 6 2 2 7" xfId="2175"/>
    <cellStyle name="Millares 6 2 3" xfId="211"/>
    <cellStyle name="Millares 6 2 3 2" xfId="595"/>
    <cellStyle name="Millares 6 2 3 2 2" xfId="1235"/>
    <cellStyle name="Millares 6 2 3 2 2 2" xfId="3263"/>
    <cellStyle name="Millares 6 2 3 2 3" xfId="1875"/>
    <cellStyle name="Millares 6 2 3 2 3 2" xfId="3903"/>
    <cellStyle name="Millares 6 2 3 2 4" xfId="2623"/>
    <cellStyle name="Millares 6 2 3 3" xfId="851"/>
    <cellStyle name="Millares 6 2 3 3 2" xfId="2879"/>
    <cellStyle name="Millares 6 2 3 4" xfId="1491"/>
    <cellStyle name="Millares 6 2 3 4 2" xfId="3519"/>
    <cellStyle name="Millares 6 2 3 5" xfId="2239"/>
    <cellStyle name="Millares 6 2 4" xfId="339"/>
    <cellStyle name="Millares 6 2 4 2" xfId="979"/>
    <cellStyle name="Millares 6 2 4 2 2" xfId="3007"/>
    <cellStyle name="Millares 6 2 4 3" xfId="1619"/>
    <cellStyle name="Millares 6 2 4 3 2" xfId="3647"/>
    <cellStyle name="Millares 6 2 4 4" xfId="2367"/>
    <cellStyle name="Millares 6 2 5" xfId="467"/>
    <cellStyle name="Millares 6 2 5 2" xfId="1107"/>
    <cellStyle name="Millares 6 2 5 2 2" xfId="3135"/>
    <cellStyle name="Millares 6 2 5 3" xfId="1747"/>
    <cellStyle name="Millares 6 2 5 3 2" xfId="3775"/>
    <cellStyle name="Millares 6 2 5 4" xfId="2495"/>
    <cellStyle name="Millares 6 2 6" xfId="723"/>
    <cellStyle name="Millares 6 2 6 2" xfId="2751"/>
    <cellStyle name="Millares 6 2 7" xfId="1363"/>
    <cellStyle name="Millares 6 2 7 2" xfId="3391"/>
    <cellStyle name="Millares 6 2 8" xfId="2003"/>
    <cellStyle name="Millares 6 2 8 2" xfId="4031"/>
    <cellStyle name="Millares 6 2 9" xfId="2111"/>
    <cellStyle name="Millares 6 3" xfId="115"/>
    <cellStyle name="Millares 6 3 2" xfId="243"/>
    <cellStyle name="Millares 6 3 2 2" xfId="627"/>
    <cellStyle name="Millares 6 3 2 2 2" xfId="1267"/>
    <cellStyle name="Millares 6 3 2 2 2 2" xfId="3295"/>
    <cellStyle name="Millares 6 3 2 2 3" xfId="1907"/>
    <cellStyle name="Millares 6 3 2 2 3 2" xfId="3935"/>
    <cellStyle name="Millares 6 3 2 2 4" xfId="2655"/>
    <cellStyle name="Millares 6 3 2 3" xfId="883"/>
    <cellStyle name="Millares 6 3 2 3 2" xfId="2911"/>
    <cellStyle name="Millares 6 3 2 4" xfId="1523"/>
    <cellStyle name="Millares 6 3 2 4 2" xfId="3551"/>
    <cellStyle name="Millares 6 3 2 5" xfId="2271"/>
    <cellStyle name="Millares 6 3 3" xfId="371"/>
    <cellStyle name="Millares 6 3 3 2" xfId="1011"/>
    <cellStyle name="Millares 6 3 3 2 2" xfId="3039"/>
    <cellStyle name="Millares 6 3 3 3" xfId="1651"/>
    <cellStyle name="Millares 6 3 3 3 2" xfId="3679"/>
    <cellStyle name="Millares 6 3 3 4" xfId="2399"/>
    <cellStyle name="Millares 6 3 4" xfId="499"/>
    <cellStyle name="Millares 6 3 4 2" xfId="1139"/>
    <cellStyle name="Millares 6 3 4 2 2" xfId="3167"/>
    <cellStyle name="Millares 6 3 4 3" xfId="1779"/>
    <cellStyle name="Millares 6 3 4 3 2" xfId="3807"/>
    <cellStyle name="Millares 6 3 4 4" xfId="2527"/>
    <cellStyle name="Millares 6 3 5" xfId="755"/>
    <cellStyle name="Millares 6 3 5 2" xfId="2783"/>
    <cellStyle name="Millares 6 3 6" xfId="1395"/>
    <cellStyle name="Millares 6 3 6 2" xfId="3423"/>
    <cellStyle name="Millares 6 3 7" xfId="2143"/>
    <cellStyle name="Millares 6 4" xfId="179"/>
    <cellStyle name="Millares 6 4 2" xfId="563"/>
    <cellStyle name="Millares 6 4 2 2" xfId="1203"/>
    <cellStyle name="Millares 6 4 2 2 2" xfId="3231"/>
    <cellStyle name="Millares 6 4 2 3" xfId="1843"/>
    <cellStyle name="Millares 6 4 2 3 2" xfId="3871"/>
    <cellStyle name="Millares 6 4 2 4" xfId="2591"/>
    <cellStyle name="Millares 6 4 3" xfId="819"/>
    <cellStyle name="Millares 6 4 3 2" xfId="2847"/>
    <cellStyle name="Millares 6 4 4" xfId="1459"/>
    <cellStyle name="Millares 6 4 4 2" xfId="3487"/>
    <cellStyle name="Millares 6 4 5" xfId="2207"/>
    <cellStyle name="Millares 6 5" xfId="307"/>
    <cellStyle name="Millares 6 5 2" xfId="947"/>
    <cellStyle name="Millares 6 5 2 2" xfId="2975"/>
    <cellStyle name="Millares 6 5 3" xfId="1587"/>
    <cellStyle name="Millares 6 5 3 2" xfId="3615"/>
    <cellStyle name="Millares 6 5 4" xfId="2335"/>
    <cellStyle name="Millares 6 6" xfId="435"/>
    <cellStyle name="Millares 6 6 2" xfId="1075"/>
    <cellStyle name="Millares 6 6 2 2" xfId="3103"/>
    <cellStyle name="Millares 6 6 3" xfId="1715"/>
    <cellStyle name="Millares 6 6 3 2" xfId="3743"/>
    <cellStyle name="Millares 6 6 4" xfId="2463"/>
    <cellStyle name="Millares 6 7" xfId="691"/>
    <cellStyle name="Millares 6 7 2" xfId="2719"/>
    <cellStyle name="Millares 6 8" xfId="1331"/>
    <cellStyle name="Millares 6 8 2" xfId="3359"/>
    <cellStyle name="Millares 6 9" xfId="1971"/>
    <cellStyle name="Millares 6 9 2" xfId="3999"/>
    <cellStyle name="Millares 7" xfId="13"/>
    <cellStyle name="Millares 7 10" xfId="2047"/>
    <cellStyle name="Millares 7 2" xfId="131"/>
    <cellStyle name="Millares 7 2 2" xfId="259"/>
    <cellStyle name="Millares 7 2 2 2" xfId="643"/>
    <cellStyle name="Millares 7 2 2 2 2" xfId="1283"/>
    <cellStyle name="Millares 7 2 2 2 2 2" xfId="3311"/>
    <cellStyle name="Millares 7 2 2 2 3" xfId="1923"/>
    <cellStyle name="Millares 7 2 2 2 3 2" xfId="3951"/>
    <cellStyle name="Millares 7 2 2 2 4" xfId="2671"/>
    <cellStyle name="Millares 7 2 2 3" xfId="899"/>
    <cellStyle name="Millares 7 2 2 3 2" xfId="2927"/>
    <cellStyle name="Millares 7 2 2 4" xfId="1539"/>
    <cellStyle name="Millares 7 2 2 4 2" xfId="3567"/>
    <cellStyle name="Millares 7 2 2 5" xfId="2287"/>
    <cellStyle name="Millares 7 2 3" xfId="387"/>
    <cellStyle name="Millares 7 2 3 2" xfId="1027"/>
    <cellStyle name="Millares 7 2 3 2 2" xfId="3055"/>
    <cellStyle name="Millares 7 2 3 3" xfId="1667"/>
    <cellStyle name="Millares 7 2 3 3 2" xfId="3695"/>
    <cellStyle name="Millares 7 2 3 4" xfId="2415"/>
    <cellStyle name="Millares 7 2 4" xfId="515"/>
    <cellStyle name="Millares 7 2 4 2" xfId="1155"/>
    <cellStyle name="Millares 7 2 4 2 2" xfId="3183"/>
    <cellStyle name="Millares 7 2 4 3" xfId="1795"/>
    <cellStyle name="Millares 7 2 4 3 2" xfId="3823"/>
    <cellStyle name="Millares 7 2 4 4" xfId="2543"/>
    <cellStyle name="Millares 7 2 5" xfId="771"/>
    <cellStyle name="Millares 7 2 5 2" xfId="2799"/>
    <cellStyle name="Millares 7 2 6" xfId="1411"/>
    <cellStyle name="Millares 7 2 6 2" xfId="3439"/>
    <cellStyle name="Millares 7 2 7" xfId="2159"/>
    <cellStyle name="Millares 7 3" xfId="195"/>
    <cellStyle name="Millares 7 3 2" xfId="579"/>
    <cellStyle name="Millares 7 3 2 2" xfId="1219"/>
    <cellStyle name="Millares 7 3 2 2 2" xfId="3247"/>
    <cellStyle name="Millares 7 3 2 3" xfId="1859"/>
    <cellStyle name="Millares 7 3 2 3 2" xfId="3887"/>
    <cellStyle name="Millares 7 3 2 4" xfId="2607"/>
    <cellStyle name="Millares 7 3 3" xfId="835"/>
    <cellStyle name="Millares 7 3 3 2" xfId="2863"/>
    <cellStyle name="Millares 7 3 4" xfId="1475"/>
    <cellStyle name="Millares 7 3 4 2" xfId="3503"/>
    <cellStyle name="Millares 7 3 5" xfId="2223"/>
    <cellStyle name="Millares 7 4" xfId="323"/>
    <cellStyle name="Millares 7 4 2" xfId="963"/>
    <cellStyle name="Millares 7 4 2 2" xfId="2991"/>
    <cellStyle name="Millares 7 4 3" xfId="1603"/>
    <cellStyle name="Millares 7 4 3 2" xfId="3631"/>
    <cellStyle name="Millares 7 4 4" xfId="2351"/>
    <cellStyle name="Millares 7 5" xfId="451"/>
    <cellStyle name="Millares 7 5 2" xfId="1091"/>
    <cellStyle name="Millares 7 5 2 2" xfId="3119"/>
    <cellStyle name="Millares 7 5 3" xfId="1731"/>
    <cellStyle name="Millares 7 5 3 2" xfId="3759"/>
    <cellStyle name="Millares 7 5 4" xfId="2479"/>
    <cellStyle name="Millares 7 6" xfId="707"/>
    <cellStyle name="Millares 7 6 2" xfId="2735"/>
    <cellStyle name="Millares 7 7" xfId="1347"/>
    <cellStyle name="Millares 7 7 2" xfId="3375"/>
    <cellStyle name="Millares 7 8" xfId="1987"/>
    <cellStyle name="Millares 7 8 2" xfId="4015"/>
    <cellStyle name="Millares 7 9" xfId="67"/>
    <cellStyle name="Millares 7 9 2" xfId="2095"/>
    <cellStyle name="Millares 8" xfId="14"/>
    <cellStyle name="Millares 8 2" xfId="227"/>
    <cellStyle name="Millares 8 2 2" xfId="611"/>
    <cellStyle name="Millares 8 2 2 2" xfId="1251"/>
    <cellStyle name="Millares 8 2 2 2 2" xfId="3279"/>
    <cellStyle name="Millares 8 2 2 3" xfId="1891"/>
    <cellStyle name="Millares 8 2 2 3 2" xfId="3919"/>
    <cellStyle name="Millares 8 2 2 4" xfId="2639"/>
    <cellStyle name="Millares 8 2 3" xfId="867"/>
    <cellStyle name="Millares 8 2 3 2" xfId="2895"/>
    <cellStyle name="Millares 8 2 4" xfId="1507"/>
    <cellStyle name="Millares 8 2 4 2" xfId="3535"/>
    <cellStyle name="Millares 8 2 5" xfId="2255"/>
    <cellStyle name="Millares 8 3" xfId="355"/>
    <cellStyle name="Millares 8 3 2" xfId="995"/>
    <cellStyle name="Millares 8 3 2 2" xfId="3023"/>
    <cellStyle name="Millares 8 3 3" xfId="1635"/>
    <cellStyle name="Millares 8 3 3 2" xfId="3663"/>
    <cellStyle name="Millares 8 3 4" xfId="2383"/>
    <cellStyle name="Millares 8 4" xfId="483"/>
    <cellStyle name="Millares 8 4 2" xfId="1123"/>
    <cellStyle name="Millares 8 4 2 2" xfId="3151"/>
    <cellStyle name="Millares 8 4 3" xfId="1763"/>
    <cellStyle name="Millares 8 4 3 2" xfId="3791"/>
    <cellStyle name="Millares 8 4 4" xfId="2511"/>
    <cellStyle name="Millares 8 5" xfId="739"/>
    <cellStyle name="Millares 8 5 2" xfId="2767"/>
    <cellStyle name="Millares 8 6" xfId="1379"/>
    <cellStyle name="Millares 8 6 2" xfId="3407"/>
    <cellStyle name="Millares 8 7" xfId="99"/>
    <cellStyle name="Millares 8 7 2" xfId="2127"/>
    <cellStyle name="Millares 8 8" xfId="2048"/>
    <cellStyle name="Millares 9" xfId="16"/>
    <cellStyle name="Millares 9 2" xfId="547"/>
    <cellStyle name="Millares 9 2 2" xfId="1187"/>
    <cellStyle name="Millares 9 2 2 2" xfId="3215"/>
    <cellStyle name="Millares 9 2 3" xfId="1827"/>
    <cellStyle name="Millares 9 2 3 2" xfId="3855"/>
    <cellStyle name="Millares 9 2 4" xfId="2575"/>
    <cellStyle name="Millares 9 3" xfId="803"/>
    <cellStyle name="Millares 9 3 2" xfId="2831"/>
    <cellStyle name="Millares 9 4" xfId="1443"/>
    <cellStyle name="Millares 9 4 2" xfId="3471"/>
    <cellStyle name="Millares 9 5" xfId="163"/>
    <cellStyle name="Millares 9 5 2" xfId="2191"/>
    <cellStyle name="Millares 9 6" xfId="2050"/>
    <cellStyle name="Normal" xfId="0" builtinId="0"/>
    <cellStyle name="Normal 2" xfId="2"/>
    <cellStyle name="Normal 2 2" xfId="4"/>
    <cellStyle name="Normal 2 2 2" xfId="22"/>
    <cellStyle name="Normal 2 3" xfId="5"/>
    <cellStyle name="Normal 2 3 2" xfId="27"/>
    <cellStyle name="Normal 3" xfId="7"/>
    <cellStyle name="Normal 3 2" xfId="20"/>
    <cellStyle name="Normal 3 2 2" xfId="2025"/>
    <cellStyle name="Normal 3 2 2 2" xfId="4058"/>
    <cellStyle name="Normal 3 3" xfId="2027"/>
    <cellStyle name="Normal 3 4" xfId="2029"/>
    <cellStyle name="Normal 4" xfId="26"/>
    <cellStyle name="Normal 5" xfId="3"/>
    <cellStyle name="Normal 6" xfId="21"/>
    <cellStyle name="Normal 7" xfId="2038"/>
  </cellStyles>
  <dxfs count="7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#,##0.00_ ;[Red]\-#,##0.00\ 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fill>
        <patternFill patternType="solid">
          <fgColor indexed="64"/>
          <bgColor theme="2" tint="-9.9978637043366805E-2"/>
        </patternFill>
      </fill>
    </dxf>
    <dxf>
      <border outline="0"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 tint="0.39994506668294322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right style="thin">
          <color auto="1"/>
        </right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FF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4" formatCode="#,##0.00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2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1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1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1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0;[Red]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1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4" formatCode="#,##0.00"/>
    </dxf>
    <dxf>
      <numFmt numFmtId="2" formatCode="0.0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/>
      </border>
      <protection locked="1" hidden="1"/>
    </dxf>
    <dxf>
      <border outline="0">
        <top style="thin">
          <color auto="1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  <alignment horizontal="center" vertical="center" textRotation="0" indent="0" justifyLastLine="0" shrinkToFit="0" readingOrder="0"/>
      <protection locked="1" hidden="1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/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numFmt numFmtId="164" formatCode="0;[Red]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1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</dxf>
    <dxf>
      <border diagonalUp="0" diagonalDown="0">
        <left style="thin">
          <color auto="1"/>
        </left>
        <right style="thin">
          <color auto="1"/>
        </right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fill>
        <patternFill patternType="none">
          <fgColor rgb="FF000000"/>
          <bgColor auto="1"/>
        </patternFill>
      </fill>
      <protection locked="1" hidden="1"/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protection locked="1" hidden="1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9" formatCode="h:mm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9" formatCode="h:mm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9" formatCode="h:mm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5" formatCode="[$-F400]h:mm:ss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9" formatCode="h:mm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9" formatCode="h:mm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9" formatCode="h:mm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5" formatCode="[$-F400]h:mm:ss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9" formatCode="h:mm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9" formatCode="h:mm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9" formatCode="h:mm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5" formatCode="[$-F400]h:mm:ss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9" formatCode="h:mm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9" formatCode="h:mm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9" formatCode="h:mm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5" formatCode="[$-F400]h:mm:ss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9" formatCode="h:mm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9" formatCode="h:mm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9" formatCode="h:mm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5" formatCode="[$-F400]h:mm:ss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9" formatCode="h:mm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9" formatCode="h:mm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9" formatCode="h:mm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5" formatCode="[$-F400]h:mm:ss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9" formatCode="h:mm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9" formatCode="h:mm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9" formatCode="h:mm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165" formatCode="[$-F400]h:mm:ss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h:mm\ AM/P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0;[Red]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</font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solid">
          <fgColor theme="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FF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FF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FF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FF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FF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FF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FF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/>
      </border>
      <protection locked="1" hidden="1"/>
    </dxf>
    <dxf>
      <border outline="0">
        <top style="thin">
          <color auto="1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1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numFmt numFmtId="164" formatCode="0;[Red]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1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</dxf>
    <dxf>
      <border diagonalUp="0" diagonalDown="0">
        <left style="thin">
          <color auto="1"/>
        </left>
        <right style="thin">
          <color auto="1"/>
        </right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fill>
        <patternFill patternType="none">
          <fgColor rgb="FF000000"/>
          <bgColor auto="1"/>
        </patternFill>
      </fill>
      <protection locked="0" hidden="1"/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border outline="0">
        <top style="medium">
          <color auto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ill>
        <patternFill>
          <bgColor theme="4" tint="0.79998168889431442"/>
        </patternFill>
      </fill>
    </dxf>
  </dxfs>
  <tableStyles count="4" defaultTableStyle="TableStyleMedium2" defaultPivotStyle="PivotStyleLight16">
    <tableStyle name="Estilo de segmentación de datos 1" pivot="0" table="0" count="1"/>
    <tableStyle name="Estilo de segmentación de datos 2" pivot="0" table="0" count="1">
      <tableStyleElement type="wholeTable" dxfId="706"/>
    </tableStyle>
    <tableStyle name="Estilo de tabla 1" pivot="0" count="1">
      <tableStyleElement type="wholeTable" dxfId="705"/>
    </tableStyle>
    <tableStyle name="Invisible" pivot="0" table="0" count="0"/>
  </tableStyles>
  <colors>
    <mruColors>
      <color rgb="FFFF9999"/>
    </mruColors>
  </colors>
  <extLst>
    <ext xmlns:x14="http://schemas.microsoft.com/office/spreadsheetml/2009/9/main" uri="{46F421CA-312F-682f-3DD2-61675219B42D}">
      <x14:dxfs count="1">
        <dxf>
          <fill>
            <patternFill>
              <bgColor theme="4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Estilo de segmentación de datos 2">
        <x14:slicerStyle name="Estilo de segmentación de datos 1">
          <x14:slicerStyleElements>
            <x14:slicerStyleElement type="unselectedItemWithData" dxfId="0"/>
          </x14:slicerStyleElements>
        </x14:slicerStyle>
        <x14:slicerStyle name="Estilo de segmentación de datos 2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85726</xdr:colOff>
      <xdr:row>0</xdr:row>
      <xdr:rowOff>57151</xdr:rowOff>
    </xdr:from>
    <xdr:to>
      <xdr:col>0</xdr:col>
      <xdr:colOff>790575</xdr:colOff>
      <xdr:row>4</xdr:row>
      <xdr:rowOff>1</xdr:rowOff>
    </xdr:to>
    <xdr:pic>
      <xdr:nvPicPr>
        <xdr:cNvPr id="2" name="Imagen 1" descr="Membrete INHRR 2014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1567"/>
        <a:stretch/>
      </xdr:blipFill>
      <xdr:spPr bwMode="auto">
        <a:xfrm>
          <a:off x="85726" y="57151"/>
          <a:ext cx="704849" cy="83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0</xdr:row>
      <xdr:rowOff>171448</xdr:rowOff>
    </xdr:from>
    <xdr:to>
      <xdr:col>4</xdr:col>
      <xdr:colOff>72928</xdr:colOff>
      <xdr:row>3</xdr:row>
      <xdr:rowOff>84666</xdr:rowOff>
    </xdr:to>
    <xdr:pic>
      <xdr:nvPicPr>
        <xdr:cNvPr id="3" name="Imagen 2" descr="Membrete INHRR 201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568" b="51887"/>
        <a:stretch/>
      </xdr:blipFill>
      <xdr:spPr bwMode="auto">
        <a:xfrm>
          <a:off x="1386417" y="171448"/>
          <a:ext cx="4073428" cy="4635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306915</xdr:colOff>
      <xdr:row>4</xdr:row>
      <xdr:rowOff>76386</xdr:rowOff>
    </xdr:from>
    <xdr:to>
      <xdr:col>0</xdr:col>
      <xdr:colOff>677333</xdr:colOff>
      <xdr:row>6</xdr:row>
      <xdr:rowOff>47625</xdr:rowOff>
    </xdr:to>
    <xdr:pic macro="[0]!Borrar_conso"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6915" y="965386"/>
          <a:ext cx="370418" cy="373406"/>
        </a:xfrm>
        <a:prstGeom prst="rect">
          <a:avLst/>
        </a:prstGeom>
      </xdr:spPr>
    </xdr:pic>
    <xdr:clientData/>
  </xdr:twoCellAnchor>
  <xdr:twoCellAnchor editAs="oneCell">
    <xdr:from>
      <xdr:col>1</xdr:col>
      <xdr:colOff>42333</xdr:colOff>
      <xdr:row>4</xdr:row>
      <xdr:rowOff>42333</xdr:rowOff>
    </xdr:from>
    <xdr:to>
      <xdr:col>1</xdr:col>
      <xdr:colOff>486834</xdr:colOff>
      <xdr:row>6</xdr:row>
      <xdr:rowOff>84667</xdr:rowOff>
    </xdr:to>
    <xdr:pic macro="[0]!Módulo4.NCH"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416" y="931333"/>
          <a:ext cx="444501" cy="444501"/>
        </a:xfrm>
        <a:prstGeom prst="rect">
          <a:avLst/>
        </a:prstGeom>
      </xdr:spPr>
    </xdr:pic>
    <xdr:clientData/>
  </xdr:twoCellAnchor>
  <xdr:twoCellAnchor editAs="absolute">
    <xdr:from>
      <xdr:col>17</xdr:col>
      <xdr:colOff>550334</xdr:colOff>
      <xdr:row>0</xdr:row>
      <xdr:rowOff>0</xdr:rowOff>
    </xdr:from>
    <xdr:to>
      <xdr:col>19</xdr:col>
      <xdr:colOff>4878917</xdr:colOff>
      <xdr:row>6</xdr:row>
      <xdr:rowOff>137583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UNIDAD DE ADSCRIPCION">
              <a:extLst>
                <a:ext uri="{FF2B5EF4-FFF2-40B4-BE49-F238E27FC236}">
                  <a16:creationId xmlns:a16="http://schemas.microsoft.com/office/drawing/2014/main" id="{82BF5016-817D-FB57-7389-C36D232A564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NIDAD DE AD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976167" y="0"/>
              <a:ext cx="10795000" cy="1428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2</xdr:row>
      <xdr:rowOff>142875</xdr:rowOff>
    </xdr:from>
    <xdr:to>
      <xdr:col>1</xdr:col>
      <xdr:colOff>508000</xdr:colOff>
      <xdr:row>4</xdr:row>
      <xdr:rowOff>148167</xdr:rowOff>
    </xdr:to>
    <xdr:pic macro="[0]!DeleteCells37"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" y="523875"/>
          <a:ext cx="393700" cy="395817"/>
        </a:xfrm>
        <a:prstGeom prst="rect">
          <a:avLst/>
        </a:prstGeom>
      </xdr:spPr>
    </xdr:pic>
    <xdr:clientData/>
  </xdr:twoCellAnchor>
  <xdr:twoCellAnchor editAs="oneCell">
    <xdr:from>
      <xdr:col>1</xdr:col>
      <xdr:colOff>677334</xdr:colOff>
      <xdr:row>2</xdr:row>
      <xdr:rowOff>52838</xdr:rowOff>
    </xdr:from>
    <xdr:to>
      <xdr:col>2</xdr:col>
      <xdr:colOff>275167</xdr:colOff>
      <xdr:row>4</xdr:row>
      <xdr:rowOff>158671</xdr:rowOff>
    </xdr:to>
    <xdr:pic macro="[0]!PAGO"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334" y="433838"/>
          <a:ext cx="497416" cy="49741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85726</xdr:colOff>
      <xdr:row>0</xdr:row>
      <xdr:rowOff>57151</xdr:rowOff>
    </xdr:from>
    <xdr:to>
      <xdr:col>0</xdr:col>
      <xdr:colOff>790575</xdr:colOff>
      <xdr:row>4</xdr:row>
      <xdr:rowOff>1</xdr:rowOff>
    </xdr:to>
    <xdr:pic>
      <xdr:nvPicPr>
        <xdr:cNvPr id="2" name="Imagen 1" descr="Membrete INHRR 2014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1567"/>
        <a:stretch/>
      </xdr:blipFill>
      <xdr:spPr bwMode="auto">
        <a:xfrm>
          <a:off x="85726" y="57151"/>
          <a:ext cx="704849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0</xdr:row>
      <xdr:rowOff>171448</xdr:rowOff>
    </xdr:from>
    <xdr:to>
      <xdr:col>4</xdr:col>
      <xdr:colOff>72928</xdr:colOff>
      <xdr:row>3</xdr:row>
      <xdr:rowOff>84666</xdr:rowOff>
    </xdr:to>
    <xdr:pic>
      <xdr:nvPicPr>
        <xdr:cNvPr id="3" name="Imagen 2" descr="Membrete INHRR 2014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568" b="51887"/>
        <a:stretch/>
      </xdr:blipFill>
      <xdr:spPr bwMode="auto">
        <a:xfrm>
          <a:off x="838200" y="171448"/>
          <a:ext cx="5530753" cy="4656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158749</xdr:colOff>
      <xdr:row>4</xdr:row>
      <xdr:rowOff>139886</xdr:rowOff>
    </xdr:from>
    <xdr:to>
      <xdr:col>0</xdr:col>
      <xdr:colOff>529167</xdr:colOff>
      <xdr:row>6</xdr:row>
      <xdr:rowOff>138642</xdr:rowOff>
    </xdr:to>
    <xdr:pic macro="[0]!Borrar_DEF"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749" y="1035236"/>
          <a:ext cx="370418" cy="370231"/>
        </a:xfrm>
        <a:prstGeom prst="rect">
          <a:avLst/>
        </a:prstGeom>
      </xdr:spPr>
    </xdr:pic>
    <xdr:clientData/>
  </xdr:twoCellAnchor>
  <xdr:twoCellAnchor editAs="oneCell">
    <xdr:from>
      <xdr:col>0</xdr:col>
      <xdr:colOff>676275</xdr:colOff>
      <xdr:row>4</xdr:row>
      <xdr:rowOff>104775</xdr:rowOff>
    </xdr:from>
    <xdr:to>
      <xdr:col>1</xdr:col>
      <xdr:colOff>367162</xdr:colOff>
      <xdr:row>7</xdr:row>
      <xdr:rowOff>33787</xdr:rowOff>
    </xdr:to>
    <xdr:pic macro="[0]!PAGO">
      <xdr:nvPicPr>
        <xdr:cNvPr id="6" name="Ima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1000125"/>
          <a:ext cx="529087" cy="52908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219075</xdr:colOff>
      <xdr:row>22</xdr:row>
      <xdr:rowOff>0</xdr:rowOff>
    </xdr:from>
    <xdr:to>
      <xdr:col>13</xdr:col>
      <xdr:colOff>612775</xdr:colOff>
      <xdr:row>24</xdr:row>
      <xdr:rowOff>11640</xdr:rowOff>
    </xdr:to>
    <xdr:pic macro="[0]!Borra_pago"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00" y="4505325"/>
          <a:ext cx="393700" cy="392640"/>
        </a:xfrm>
        <a:prstGeom prst="rect">
          <a:avLst/>
        </a:prstGeom>
      </xdr:spPr>
    </xdr:pic>
    <xdr:clientData/>
  </xdr:twoCellAnchor>
  <xdr:twoCellAnchor editAs="oneCell">
    <xdr:from>
      <xdr:col>13</xdr:col>
      <xdr:colOff>142876</xdr:colOff>
      <xdr:row>19</xdr:row>
      <xdr:rowOff>28575</xdr:rowOff>
    </xdr:from>
    <xdr:to>
      <xdr:col>13</xdr:col>
      <xdr:colOff>561976</xdr:colOff>
      <xdr:row>21</xdr:row>
      <xdr:rowOff>9527</xdr:rowOff>
    </xdr:to>
    <xdr:pic macro="[0]!Deletepago">
      <xdr:nvPicPr>
        <xdr:cNvPr id="6" name="Imagen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68801" y="3952875"/>
          <a:ext cx="419100" cy="37147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2025\-OTROS%20PAGO\1.%20METAS\4.%20ABRIL\SEM%20016\BIOMETRICO%20SEMANA%200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OMETRICO SEMANA"/>
      <sheetName val="RESUMEN"/>
      <sheetName val="LUNES"/>
      <sheetName val="MARTES"/>
      <sheetName val="MIERCOLES"/>
      <sheetName val="JUEVES"/>
      <sheetName val="VIERNES"/>
      <sheetName val="SABADO"/>
      <sheetName val="DOMINGO"/>
      <sheetName val="BIOMETRICO SEMANA 016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uario" refreshedDate="45771.385445949076" createdVersion="6" refreshedVersion="6" minRefreshableVersion="3" recordCount="62">
  <cacheSource type="worksheet">
    <worksheetSource name="Tabla2"/>
  </cacheSource>
  <cacheFields count="14">
    <cacheField name="V/E" numFmtId="0">
      <sharedItems/>
    </cacheField>
    <cacheField name="CEDULA" numFmtId="0">
      <sharedItems containsSemiMixedTypes="0" containsString="0" containsNumber="1" containsInteger="1" minValue="3523168" maxValue="33396857"/>
    </cacheField>
    <cacheField name="NOMBRE Y APELLIDO" numFmtId="0">
      <sharedItems/>
    </cacheField>
    <cacheField name="NIVEL Y CARGO" numFmtId="0">
      <sharedItems/>
    </cacheField>
    <cacheField name="UNIDAD DE ADSCRIPCION" numFmtId="0">
      <sharedItems containsBlank="1" count="25">
        <s v="INHRR_ADMINISTRACION "/>
        <s v="INHRR_DIAGNOSTICO "/>
        <s v="INHRR_PRESIDENCIA "/>
        <s v="INHRR_PRODUCCION "/>
        <s v="INHRR_SEGURIDAD INDUSTRIAL "/>
        <s v="INHRR_SEGURIDAD Y TRANSPORTE "/>
        <s v="INHRR_TECNOLOGIA "/>
        <s v="INHRR_ESPECIAL"/>
        <s v="INHRR_REGULACION "/>
        <s v="INHRR_TALENTO HUMANO"/>
        <m u="1"/>
        <s v="INHRR_PRODUCCION" u="1"/>
        <s v="INHRR_TALENTO HUMANO " u="1"/>
        <s v="INHRR_PRESIDENCIA" u="1"/>
        <s v="INHRR_AUDITORIA " u="1"/>
        <s v="INHRR_CALIDAD" u="1"/>
        <s v="INHRR_JUNTA REVISORA" u="1"/>
        <s v="INHRR_INFRAESTRUCTURA Y PROYECTO " u="1"/>
        <s v="INHRR_RELACIONES INTERINSTITUCIONALES" u="1"/>
        <s v="INHRR_ATENCION DE CIUDADANO " u="1"/>
        <s v="INHRR_ESPECIALES" u="1"/>
        <s v="INHRR_TA" u="1"/>
        <s v="INHRR_PLANIFICACION Y PRESUPUESTO " u="1"/>
        <s v="INHRR_CONSULTORIA JURIDICA" u="1"/>
        <s v="INHRR_DOCENCIA E INVESTIGACION " u="1"/>
      </sharedItems>
    </cacheField>
    <cacheField name="TOTAL METAS L-V" numFmtId="0">
      <sharedItems containsSemiMixedTypes="0" containsString="0" containsNumber="1" containsInteger="1" minValue="0" maxValue="3"/>
    </cacheField>
    <cacheField name="TOTAL METAS S-D-F" numFmtId="0">
      <sharedItems containsSemiMixedTypes="0" containsString="0" containsNumber="1" containsInteger="1" minValue="0" maxValue="4"/>
    </cacheField>
    <cacheField name="DIA PENDIENTE " numFmtId="0">
      <sharedItems containsSemiMixedTypes="0" containsString="0" containsNumber="1" containsInteger="1" minValue="0" maxValue="5"/>
    </cacheField>
    <cacheField name="TOTAL METAS" numFmtId="0">
      <sharedItems containsSemiMixedTypes="0" containsString="0" containsNumber="1" containsInteger="1" minValue="0" maxValue="7"/>
    </cacheField>
    <cacheField name="TOTAL PEND. POR PAGAR " numFmtId="2">
      <sharedItems containsSemiMixedTypes="0" containsString="0" containsNumber="1" minValue="0" maxValue="1035"/>
    </cacheField>
    <cacheField name="TOTAL A PAGAR" numFmtId="4">
      <sharedItems containsSemiMixedTypes="0" containsString="0" containsNumber="1" minValue="200.63" maxValue="3165.91"/>
    </cacheField>
    <cacheField name="N° CUENTA " numFmtId="0">
      <sharedItems/>
    </cacheField>
    <cacheField name="TIPO CUENTA " numFmtId="0">
      <sharedItems/>
    </cacheField>
    <cacheField name="CANTIDAD DE DIGITO DE LA CUENTA" numFmtId="0">
      <sharedItems containsSemiMixedTypes="0" containsString="0" containsNumber="1" containsInteger="1" minValue="20" maxValue="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">
  <r>
    <s v="V"/>
    <n v="7928721"/>
    <s v="SANCHEZ DORIS"/>
    <s v="PROFESIONAL"/>
    <x v="0"/>
    <n v="0"/>
    <n v="0"/>
    <n v="1"/>
    <n v="0"/>
    <n v="258.75"/>
    <n v="258.75"/>
    <s v="11111111111111111111"/>
    <s v="C"/>
    <n v="20"/>
  </r>
  <r>
    <s v="V"/>
    <n v="3759325"/>
    <s v="LINARES JOSE"/>
    <s v="OBRERO"/>
    <x v="0"/>
    <n v="0"/>
    <n v="1"/>
    <n v="0"/>
    <n v="1"/>
    <n v="0"/>
    <n v="401.26"/>
    <s v="11111111111111111111"/>
    <s v="C"/>
    <n v="20"/>
  </r>
  <r>
    <s v="V"/>
    <n v="7948797"/>
    <s v="OLIVARES MARIA"/>
    <s v="OBRERO"/>
    <x v="0"/>
    <n v="0"/>
    <n v="1"/>
    <n v="0"/>
    <n v="1"/>
    <n v="0"/>
    <n v="401.26"/>
    <s v="11111111111111111111"/>
    <s v="C"/>
    <n v="20"/>
  </r>
  <r>
    <s v="V"/>
    <n v="13615404"/>
    <s v="SALAZAR JOSE"/>
    <s v="OBRERO"/>
    <x v="0"/>
    <n v="0"/>
    <n v="1"/>
    <n v="0"/>
    <n v="1"/>
    <n v="0"/>
    <n v="401.26"/>
    <s v="11111111111111111111"/>
    <s v="C"/>
    <n v="20"/>
  </r>
  <r>
    <s v="V"/>
    <n v="23000253"/>
    <s v="ROJAS ODRHY"/>
    <s v="OBRERO"/>
    <x v="0"/>
    <n v="0"/>
    <n v="1"/>
    <n v="0"/>
    <n v="1"/>
    <n v="0"/>
    <n v="401.26"/>
    <s v="11111111111111111111"/>
    <s v="C"/>
    <n v="20"/>
  </r>
  <r>
    <s v="V"/>
    <n v="12287719"/>
    <s v="GOMEZ DAISY"/>
    <s v="OBRERO"/>
    <x v="0"/>
    <n v="0"/>
    <n v="1"/>
    <n v="0"/>
    <n v="1"/>
    <n v="0"/>
    <n v="401.26"/>
    <s v="11111111111111111111"/>
    <s v="A"/>
    <n v="20"/>
  </r>
  <r>
    <s v="V"/>
    <n v="13717013"/>
    <s v="AREVALO YASMIN"/>
    <s v="SUPERVISORIO"/>
    <x v="0"/>
    <n v="0"/>
    <n v="1"/>
    <n v="0"/>
    <n v="1"/>
    <n v="0"/>
    <n v="575.62"/>
    <s v="11111111111111111111"/>
    <s v="A"/>
    <n v="20"/>
  </r>
  <r>
    <s v="V"/>
    <n v="8593916"/>
    <s v="UGARTE CARMEN"/>
    <s v="PROFESIONAL"/>
    <x v="1"/>
    <n v="0"/>
    <n v="1"/>
    <n v="0"/>
    <n v="1"/>
    <n v="0"/>
    <n v="517.5"/>
    <s v="11111111111111111111"/>
    <s v="C"/>
    <n v="20"/>
  </r>
  <r>
    <s v="V"/>
    <n v="25482546"/>
    <s v="ATENCIO MARIA"/>
    <s v="PROFESIONAL"/>
    <x v="1"/>
    <n v="0"/>
    <n v="1"/>
    <n v="0"/>
    <n v="1"/>
    <n v="0"/>
    <n v="517.5"/>
    <s v="11111111111111111111"/>
    <s v="C"/>
    <n v="20"/>
  </r>
  <r>
    <s v="V"/>
    <n v="15676996"/>
    <s v="ROSAS VERONICA"/>
    <s v="PROFESIONAL"/>
    <x v="1"/>
    <n v="1"/>
    <n v="0"/>
    <n v="0"/>
    <n v="1"/>
    <n v="0"/>
    <n v="258.75"/>
    <s v="11111111111111111111"/>
    <s v="A"/>
    <n v="20"/>
  </r>
  <r>
    <s v="V"/>
    <n v="11307551"/>
    <s v="ALARCON VICTOR"/>
    <s v="SUPERVISORIO"/>
    <x v="1"/>
    <n v="0"/>
    <n v="2"/>
    <n v="0"/>
    <n v="2"/>
    <n v="0"/>
    <n v="1151.24"/>
    <s v="11111111111111111111"/>
    <s v="C"/>
    <n v="20"/>
  </r>
  <r>
    <s v="V"/>
    <n v="10219318"/>
    <s v="PAYARES DAISY"/>
    <s v="SUPERVISORIO"/>
    <x v="1"/>
    <n v="1"/>
    <n v="0"/>
    <n v="0"/>
    <n v="1"/>
    <n v="0"/>
    <n v="287.81"/>
    <s v="11111111111111111111"/>
    <s v="C"/>
    <n v="20"/>
  </r>
  <r>
    <s v="V"/>
    <n v="6207120"/>
    <s v="ARAOZ FRANCISCO"/>
    <s v="PROFESIONAL"/>
    <x v="2"/>
    <n v="2"/>
    <n v="0"/>
    <n v="0"/>
    <n v="2"/>
    <n v="0"/>
    <n v="517.5"/>
    <s v="11111111111111111111"/>
    <s v="C"/>
    <n v="20"/>
  </r>
  <r>
    <s v="V"/>
    <n v="3523168"/>
    <s v="BRICENO ESPERANZA"/>
    <s v="SUPERVISORIO"/>
    <x v="2"/>
    <n v="2"/>
    <n v="0"/>
    <n v="0"/>
    <n v="2"/>
    <n v="0"/>
    <n v="575.62"/>
    <s v="11111111111111111111"/>
    <s v="C"/>
    <n v="20"/>
  </r>
  <r>
    <s v="V"/>
    <n v="12900851"/>
    <s v="ACEVEDO MOISES"/>
    <s v="SUPERVISORIO"/>
    <x v="2"/>
    <n v="3"/>
    <n v="1"/>
    <n v="0"/>
    <n v="4"/>
    <n v="0"/>
    <n v="1439.0500000000002"/>
    <s v="11111111111111111111"/>
    <s v="C"/>
    <n v="20"/>
  </r>
  <r>
    <s v="V"/>
    <n v="7452015"/>
    <s v="GONZALEZ RITO"/>
    <s v="SUPERVISORIO"/>
    <x v="2"/>
    <n v="3"/>
    <n v="4"/>
    <n v="0"/>
    <n v="7"/>
    <n v="0"/>
    <n v="3165.91"/>
    <s v="11111111111111111111"/>
    <s v="C"/>
    <n v="20"/>
  </r>
  <r>
    <s v="V"/>
    <n v="9420460"/>
    <s v="MOYA MANUEL"/>
    <s v="SUPERVISORIO"/>
    <x v="3"/>
    <n v="1"/>
    <n v="1"/>
    <n v="0"/>
    <n v="2"/>
    <n v="0"/>
    <n v="863.43000000000006"/>
    <s v="11111111111111111111"/>
    <s v="C"/>
    <n v="20"/>
  </r>
  <r>
    <s v="V"/>
    <n v="14346582"/>
    <s v="ESQUEA LUIS"/>
    <s v="OBRERO"/>
    <x v="3"/>
    <n v="1"/>
    <n v="0"/>
    <n v="0"/>
    <n v="1"/>
    <n v="0"/>
    <n v="200.63"/>
    <s v="11111111111111111111"/>
    <s v="C"/>
    <n v="20"/>
  </r>
  <r>
    <s v="V"/>
    <n v="10628857"/>
    <s v="ANGARITA YEISON"/>
    <s v="OBRERO"/>
    <x v="3"/>
    <n v="0"/>
    <n v="1"/>
    <n v="0"/>
    <n v="1"/>
    <n v="0"/>
    <n v="401.26"/>
    <s v="11111111111111111111"/>
    <s v="C"/>
    <n v="20"/>
  </r>
  <r>
    <s v="V"/>
    <n v="11037153"/>
    <s v="CASTRO JOSEFA"/>
    <s v="OBRERO"/>
    <x v="3"/>
    <n v="1"/>
    <n v="1"/>
    <n v="0"/>
    <n v="2"/>
    <n v="0"/>
    <n v="601.89"/>
    <s v="11111111111111111111"/>
    <s v="C"/>
    <n v="20"/>
  </r>
  <r>
    <s v="V"/>
    <n v="13548201"/>
    <s v="AULAR JOSE"/>
    <s v="OBRERO"/>
    <x v="3"/>
    <n v="0"/>
    <n v="2"/>
    <n v="0"/>
    <n v="2"/>
    <n v="0"/>
    <n v="802.52"/>
    <s v="11111111111111111111"/>
    <s v="C"/>
    <n v="20"/>
  </r>
  <r>
    <s v="V"/>
    <n v="5466538"/>
    <s v="BRITO LYSBETH"/>
    <s v="SUPERVISORIO"/>
    <x v="3"/>
    <n v="0"/>
    <n v="1"/>
    <n v="0"/>
    <n v="1"/>
    <n v="0"/>
    <n v="575.62"/>
    <s v="11111111111111111111"/>
    <s v="C"/>
    <n v="20"/>
  </r>
  <r>
    <s v="V"/>
    <n v="6318111"/>
    <s v="GARCIA CARLOS"/>
    <s v="OBRERO"/>
    <x v="3"/>
    <n v="0"/>
    <n v="1"/>
    <n v="0"/>
    <n v="1"/>
    <n v="0"/>
    <n v="401.26"/>
    <s v="11111111111111111111"/>
    <s v="A"/>
    <n v="20"/>
  </r>
  <r>
    <s v="V"/>
    <n v="33396857"/>
    <s v="RIVAS ABDIAS"/>
    <s v="ADMINISTRATIVO"/>
    <x v="3"/>
    <n v="0"/>
    <n v="1"/>
    <n v="0"/>
    <n v="1"/>
    <n v="0"/>
    <n v="430.32"/>
    <s v="11111111111111111111"/>
    <s v="C"/>
    <n v="20"/>
  </r>
  <r>
    <s v="V"/>
    <n v="6965462"/>
    <s v="QUINTANA ANTONIO"/>
    <s v="PROFESIONAL"/>
    <x v="4"/>
    <n v="1"/>
    <n v="1"/>
    <n v="0"/>
    <n v="2"/>
    <n v="0"/>
    <n v="776.25"/>
    <s v="11111111111111111111"/>
    <s v="C"/>
    <n v="20"/>
  </r>
  <r>
    <s v="V"/>
    <n v="6040404"/>
    <s v="CRISTANCHO CIRO"/>
    <s v="OBRERO"/>
    <x v="5"/>
    <n v="1"/>
    <n v="0"/>
    <n v="0"/>
    <n v="1"/>
    <n v="0"/>
    <n v="200.63"/>
    <s v="11111111111111111111"/>
    <s v="C"/>
    <n v="20"/>
  </r>
  <r>
    <s v="V"/>
    <n v="9489511"/>
    <s v="FEO LUIS"/>
    <s v="OBRERO"/>
    <x v="5"/>
    <n v="3"/>
    <n v="2"/>
    <n v="0"/>
    <n v="5"/>
    <n v="0"/>
    <n v="1404.4099999999999"/>
    <s v="11111111111111111111"/>
    <s v="C"/>
    <n v="20"/>
  </r>
  <r>
    <s v="V"/>
    <n v="11921508"/>
    <s v="MARTINEZ JAVIER"/>
    <s v="OBRERO"/>
    <x v="5"/>
    <n v="2"/>
    <n v="1"/>
    <n v="5"/>
    <n v="3"/>
    <n v="1003.15"/>
    <n v="1805.67"/>
    <s v="11111111111111111111"/>
    <s v="C"/>
    <n v="20"/>
  </r>
  <r>
    <s v="V"/>
    <n v="11994919"/>
    <s v="DIAZ JORGE"/>
    <s v="OBRERO"/>
    <x v="5"/>
    <n v="1"/>
    <n v="1"/>
    <n v="0"/>
    <n v="2"/>
    <n v="0"/>
    <n v="601.89"/>
    <s v="11111111111111111111"/>
    <s v="C"/>
    <n v="20"/>
  </r>
  <r>
    <s v="V"/>
    <n v="9062557"/>
    <s v="GOMEZ SILFREDO"/>
    <s v="SUPERVISORIO"/>
    <x v="5"/>
    <n v="1"/>
    <n v="1"/>
    <n v="0"/>
    <n v="2"/>
    <n v="0"/>
    <n v="863.43000000000006"/>
    <s v="11111111111111111111"/>
    <s v="C"/>
    <n v="20"/>
  </r>
  <r>
    <s v="V"/>
    <n v="4854896"/>
    <s v="PENA ENRIQUE"/>
    <s v="SUPERVISORIO"/>
    <x v="5"/>
    <n v="1"/>
    <n v="1"/>
    <n v="0"/>
    <n v="2"/>
    <n v="0"/>
    <n v="863.43000000000006"/>
    <s v="11111111111111111111"/>
    <s v="C"/>
    <n v="20"/>
  </r>
  <r>
    <s v="V"/>
    <n v="6547888"/>
    <s v="NIETO JULIAN"/>
    <s v="OBRERO"/>
    <x v="5"/>
    <n v="0"/>
    <n v="1"/>
    <n v="0"/>
    <n v="1"/>
    <n v="0"/>
    <n v="401.26"/>
    <s v="11111111111111111111"/>
    <s v="C"/>
    <n v="20"/>
  </r>
  <r>
    <s v="V"/>
    <n v="24750318"/>
    <s v="DIAZ REINALDO"/>
    <s v="OBRERO"/>
    <x v="5"/>
    <n v="0"/>
    <n v="1"/>
    <n v="0"/>
    <n v="1"/>
    <n v="0"/>
    <n v="401.26"/>
    <s v="11111111111111111111"/>
    <s v="C"/>
    <n v="20"/>
  </r>
  <r>
    <s v="V"/>
    <n v="5605299"/>
    <s v="MANRIQUE PABLO"/>
    <s v="OBRERO"/>
    <x v="5"/>
    <n v="2"/>
    <n v="0"/>
    <n v="0"/>
    <n v="2"/>
    <n v="0"/>
    <n v="401.26"/>
    <s v="11111111111111111111"/>
    <s v="C"/>
    <n v="20"/>
  </r>
  <r>
    <s v="V"/>
    <n v="11944937"/>
    <s v="TORREALBA NAUDYS"/>
    <s v="OBRERO"/>
    <x v="5"/>
    <n v="2"/>
    <n v="0"/>
    <n v="0"/>
    <n v="2"/>
    <n v="0"/>
    <n v="401.26"/>
    <s v="11111111111111111111"/>
    <s v="C"/>
    <n v="20"/>
  </r>
  <r>
    <s v="V"/>
    <n v="16452265"/>
    <s v="RIVERO YANNY"/>
    <s v="OBRERO"/>
    <x v="5"/>
    <n v="0"/>
    <n v="1"/>
    <n v="0"/>
    <n v="1"/>
    <n v="0"/>
    <n v="401.26"/>
    <s v="11111111111111111111"/>
    <s v="C"/>
    <n v="20"/>
  </r>
  <r>
    <s v="V"/>
    <n v="13537176"/>
    <s v="SERRANO GIORGI"/>
    <s v="SUPERVISORIO"/>
    <x v="5"/>
    <n v="0"/>
    <n v="1"/>
    <n v="0"/>
    <n v="1"/>
    <n v="0"/>
    <n v="575.62"/>
    <s v="11111111111111111111"/>
    <s v="C"/>
    <n v="20"/>
  </r>
  <r>
    <s v="V"/>
    <n v="7710715"/>
    <s v="FAJARDO LUIS"/>
    <s v="SUPERVISORIO"/>
    <x v="5"/>
    <n v="1"/>
    <n v="1"/>
    <n v="0"/>
    <n v="2"/>
    <n v="0"/>
    <n v="863.43000000000006"/>
    <s v="11111111111111111111"/>
    <s v="C"/>
    <n v="20"/>
  </r>
  <r>
    <s v="V"/>
    <n v="17587487"/>
    <s v="CARDOZA JORGE"/>
    <s v="OBRERO"/>
    <x v="5"/>
    <n v="1"/>
    <n v="0"/>
    <n v="0"/>
    <n v="1"/>
    <n v="0"/>
    <n v="200.63"/>
    <s v="11111111111111111111"/>
    <s v="C"/>
    <n v="20"/>
  </r>
  <r>
    <s v="V"/>
    <n v="6276576"/>
    <s v="GUERRERO FRANKLIN"/>
    <s v="OBRERO"/>
    <x v="5"/>
    <n v="0"/>
    <n v="1"/>
    <n v="0"/>
    <n v="1"/>
    <n v="0"/>
    <n v="401.26"/>
    <s v="11111111111111111111"/>
    <s v="C"/>
    <n v="20"/>
  </r>
  <r>
    <s v="V"/>
    <n v="6290210"/>
    <s v="MORENO JULIO"/>
    <s v="SUPERVISORIO"/>
    <x v="5"/>
    <n v="2"/>
    <n v="1"/>
    <n v="0"/>
    <n v="3"/>
    <n v="0"/>
    <n v="1151.24"/>
    <s v="11111111111111111111"/>
    <s v="C"/>
    <n v="20"/>
  </r>
  <r>
    <s v="V"/>
    <n v="13786283"/>
    <s v="CARUCI WILMER"/>
    <s v="SUPERVISORIO"/>
    <x v="5"/>
    <n v="2"/>
    <n v="2"/>
    <n v="0"/>
    <n v="4"/>
    <n v="0"/>
    <n v="1726.8600000000001"/>
    <s v="11111111111111111111"/>
    <s v="C"/>
    <n v="20"/>
  </r>
  <r>
    <s v="V"/>
    <n v="7092124"/>
    <s v="OROPEZA EUCLIDES"/>
    <s v="SUPERVISORIO"/>
    <x v="5"/>
    <n v="3"/>
    <n v="1"/>
    <n v="0"/>
    <n v="4"/>
    <n v="0"/>
    <n v="1439.0500000000002"/>
    <s v="11111111111111111111"/>
    <s v="C"/>
    <n v="20"/>
  </r>
  <r>
    <s v="V"/>
    <n v="6857823"/>
    <s v="GODOY RAFAEL"/>
    <s v="SUPERVISORIO"/>
    <x v="5"/>
    <n v="2"/>
    <n v="0"/>
    <n v="0"/>
    <n v="2"/>
    <n v="0"/>
    <n v="575.62"/>
    <s v="11111111111111111111"/>
    <s v="C"/>
    <n v="20"/>
  </r>
  <r>
    <s v="V"/>
    <n v="8643689"/>
    <s v="BASTARDO COSME"/>
    <s v="OBRERO"/>
    <x v="5"/>
    <n v="1"/>
    <n v="1"/>
    <n v="0"/>
    <n v="2"/>
    <n v="0"/>
    <n v="601.89"/>
    <s v="11111111111111111111"/>
    <s v="C"/>
    <n v="20"/>
  </r>
  <r>
    <s v="V"/>
    <n v="6826775"/>
    <s v="GONZALEZ CARLOS"/>
    <s v="OBRERO"/>
    <x v="5"/>
    <n v="1"/>
    <n v="1"/>
    <n v="0"/>
    <n v="2"/>
    <n v="0"/>
    <n v="601.89"/>
    <s v="11111111111111111111"/>
    <s v="C"/>
    <n v="20"/>
  </r>
  <r>
    <s v="V"/>
    <n v="15574216"/>
    <s v="TERAN LUIS"/>
    <s v="OBRERO"/>
    <x v="5"/>
    <n v="1"/>
    <n v="1"/>
    <n v="0"/>
    <n v="2"/>
    <n v="0"/>
    <n v="601.89"/>
    <s v="11111111111111111111"/>
    <s v="C"/>
    <n v="20"/>
  </r>
  <r>
    <s v="V"/>
    <n v="6852779"/>
    <s v="HERNANDEZ CARLOS"/>
    <s v="SUPERVISORIO"/>
    <x v="5"/>
    <n v="0"/>
    <n v="1"/>
    <n v="0"/>
    <n v="1"/>
    <n v="0"/>
    <n v="575.62"/>
    <s v="11111111111111111111"/>
    <s v="C"/>
    <n v="20"/>
  </r>
  <r>
    <s v="V"/>
    <n v="6853103"/>
    <s v="PEREIRA RAMON"/>
    <s v="OBRERO"/>
    <x v="5"/>
    <n v="3"/>
    <n v="1"/>
    <n v="0"/>
    <n v="4"/>
    <n v="0"/>
    <n v="1003.15"/>
    <s v="11111111111111111111"/>
    <s v="C"/>
    <n v="20"/>
  </r>
  <r>
    <s v="V"/>
    <n v="17166976"/>
    <s v="VEGAS GABRIEL"/>
    <s v="SUPERVISORIO"/>
    <x v="6"/>
    <n v="0"/>
    <n v="2"/>
    <n v="0"/>
    <n v="2"/>
    <n v="0"/>
    <n v="1151.24"/>
    <s v="11111111111111111111"/>
    <s v="C"/>
    <n v="20"/>
  </r>
  <r>
    <s v="V"/>
    <n v="21345770"/>
    <s v="RIVAS ANGEL"/>
    <s v="TECNICO"/>
    <x v="6"/>
    <n v="0"/>
    <n v="1"/>
    <n v="0"/>
    <n v="1"/>
    <n v="0"/>
    <n v="459.38"/>
    <s v="11111111111111111111"/>
    <s v="C"/>
    <n v="20"/>
  </r>
  <r>
    <s v="V"/>
    <n v="12410293"/>
    <s v="DIAZ TOMAS"/>
    <s v="SUPERVISORIO"/>
    <x v="6"/>
    <n v="1"/>
    <n v="0"/>
    <n v="0"/>
    <n v="1"/>
    <n v="0"/>
    <n v="287.81"/>
    <s v="11111111111111111111"/>
    <s v="C"/>
    <n v="20"/>
  </r>
  <r>
    <s v="V"/>
    <n v="6185757"/>
    <s v="CARDENAS JOSE"/>
    <s v="SUPERVISORIO"/>
    <x v="6"/>
    <n v="0"/>
    <n v="3"/>
    <n v="0"/>
    <n v="3"/>
    <n v="0"/>
    <n v="1726.8600000000001"/>
    <s v="11111111111111111111"/>
    <s v="C"/>
    <n v="20"/>
  </r>
  <r>
    <s v="V"/>
    <n v="16705084"/>
    <s v="CHIRINOS CARLOS"/>
    <s v="ADMINISTRATIVO"/>
    <x v="6"/>
    <n v="1"/>
    <n v="2"/>
    <n v="0"/>
    <n v="3"/>
    <n v="0"/>
    <n v="1075.8"/>
    <s v="11111111111111111111"/>
    <s v="C"/>
    <n v="20"/>
  </r>
  <r>
    <s v="V"/>
    <n v="10784886"/>
    <s v="GONZALEZ CARLOS"/>
    <s v="SUPERVISORIO"/>
    <x v="7"/>
    <n v="0"/>
    <n v="0"/>
    <n v="1"/>
    <n v="0"/>
    <n v="287.81"/>
    <n v="287.81"/>
    <s v="11111111111111111111"/>
    <s v="A"/>
    <n v="20"/>
  </r>
  <r>
    <s v="V"/>
    <n v="14202223"/>
    <s v="PADRON MABEL"/>
    <s v="PROFESIONAL"/>
    <x v="7"/>
    <n v="1"/>
    <n v="0"/>
    <n v="0"/>
    <n v="1"/>
    <n v="0"/>
    <n v="258.75"/>
    <s v="11111111111111111111"/>
    <s v="C"/>
    <n v="20"/>
  </r>
  <r>
    <s v="V"/>
    <n v="12561193"/>
    <s v="SALAS LEILA"/>
    <s v="TECNICO"/>
    <x v="7"/>
    <n v="2"/>
    <n v="0"/>
    <n v="0"/>
    <n v="2"/>
    <n v="0"/>
    <n v="459.38"/>
    <s v="11111111111111111111"/>
    <s v="A"/>
    <n v="20"/>
  </r>
  <r>
    <s v="V"/>
    <n v="16557897"/>
    <s v="MEDINA ANTONIO"/>
    <s v="OBRERO"/>
    <x v="7"/>
    <n v="0"/>
    <n v="1"/>
    <n v="0"/>
    <n v="1"/>
    <n v="0"/>
    <n v="401.26"/>
    <s v="11111111111111111111"/>
    <s v="C"/>
    <n v="20"/>
  </r>
  <r>
    <s v="V"/>
    <n v="6256734"/>
    <s v="ESPINOZA JOSE"/>
    <s v="OBRERO"/>
    <x v="7"/>
    <n v="0"/>
    <n v="1"/>
    <n v="0"/>
    <n v="1"/>
    <n v="0"/>
    <n v="401.26"/>
    <s v="11111111111111111111"/>
    <s v="A"/>
    <n v="20"/>
  </r>
  <r>
    <s v="V"/>
    <n v="18088977"/>
    <s v="RODRIGUEZ EDUARDO"/>
    <s v="PROFESIONAL"/>
    <x v="8"/>
    <n v="0"/>
    <n v="0"/>
    <n v="4"/>
    <n v="0"/>
    <n v="1035"/>
    <n v="1035"/>
    <s v="11111111111111111111"/>
    <s v="C"/>
    <n v="20"/>
  </r>
  <r>
    <s v="V"/>
    <n v="11679527"/>
    <s v="VELASQUEZ YELITZA"/>
    <s v="PROFESIONAL"/>
    <x v="9"/>
    <n v="0"/>
    <n v="0"/>
    <n v="1"/>
    <n v="0"/>
    <n v="258.75"/>
    <n v="258.75"/>
    <s v="11111111111111111111"/>
    <s v="C"/>
    <n v="20"/>
  </r>
  <r>
    <s v="V"/>
    <n v="4029580"/>
    <s v="CORDOVA ESMIRIN"/>
    <s v="SUPERVISORIO"/>
    <x v="9"/>
    <n v="2"/>
    <n v="0"/>
    <n v="0"/>
    <n v="2"/>
    <n v="0"/>
    <n v="575.62"/>
    <s v="11111111111111111111"/>
    <s v="C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CUADROR" cacheId="3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 rowHeaderCaption="UNIDAD DE ADSCRIPCION">
  <location ref="E3:H14" firstHeaderRow="0" firstDataRow="1" firstDataCol="1"/>
  <pivotFields count="14">
    <pivotField showAll="0"/>
    <pivotField numFmtId="164" showAll="0"/>
    <pivotField dataField="1" showAll="0"/>
    <pivotField showAll="0" defaultSubtotal="0"/>
    <pivotField axis="axisRow" showAll="0" defaultSubtotal="0">
      <items count="25">
        <item x="0"/>
        <item m="1" x="19"/>
        <item m="1" x="14"/>
        <item m="1" x="15"/>
        <item m="1" x="23"/>
        <item x="1"/>
        <item m="1" x="24"/>
        <item x="7"/>
        <item m="1" x="17"/>
        <item m="1" x="16"/>
        <item m="1" x="22"/>
        <item x="2"/>
        <item x="3"/>
        <item x="8"/>
        <item m="1" x="18"/>
        <item x="4"/>
        <item x="5"/>
        <item m="1" x="10"/>
        <item m="1" x="12"/>
        <item x="6"/>
        <item m="1" x="13"/>
        <item m="1" x="20"/>
        <item m="1" x="11"/>
        <item x="9"/>
        <item m="1" x="21"/>
      </items>
    </pivotField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numFmtId="4" showAll="0"/>
    <pivotField showAll="0" defaultSubtotal="0"/>
    <pivotField showAll="0" defaultSubtotal="0"/>
    <pivotField showAll="0"/>
  </pivotFields>
  <rowFields count="1">
    <field x="4"/>
  </rowFields>
  <rowItems count="11">
    <i>
      <x/>
    </i>
    <i>
      <x v="5"/>
    </i>
    <i>
      <x v="7"/>
    </i>
    <i>
      <x v="11"/>
    </i>
    <i>
      <x v="12"/>
    </i>
    <i>
      <x v="13"/>
    </i>
    <i>
      <x v="15"/>
    </i>
    <i>
      <x v="16"/>
    </i>
    <i>
      <x v="19"/>
    </i>
    <i>
      <x v="2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OTAL TRABAJADORES" fld="2" subtotal="count" baseField="0" baseItem="0"/>
    <dataField name="TOTAL METAS " fld="8" baseField="0" baseItem="0"/>
    <dataField name=" TOTAL A PAGAR" fld="10" baseField="0" baseItem="0" numFmtId="4"/>
  </dataFields>
  <formats count="19">
    <format dxfId="141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140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139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138">
      <pivotArea outline="0" collapsedLevelsAreSubtotals="1" fieldPosition="0"/>
    </format>
    <format dxfId="137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136">
      <pivotArea outline="0" collapsedLevelsAreSubtotals="1" fieldPosition="0"/>
    </format>
    <format dxfId="135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13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2">
      <pivotArea type="all" dataOnly="0" outline="0" fieldPosition="0"/>
    </format>
    <format dxfId="131">
      <pivotArea outline="0" collapsedLevelsAreSubtotals="1" fieldPosition="0"/>
    </format>
    <format dxfId="130">
      <pivotArea dataOnly="0" labelOnly="1" grandRow="1" outline="0" fieldPosition="0"/>
    </format>
    <format dxfId="129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128">
      <pivotArea outline="0" collapsedLevelsAreSubtotals="1" fieldPosition="0"/>
    </format>
    <format dxfId="1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6">
      <pivotArea outline="0" collapsedLevelsAreSubtotals="1" fieldPosition="0"/>
    </format>
    <format dxfId="1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4">
      <pivotArea field="4" type="button" dataOnly="0" labelOnly="1" outline="0" axis="axisRow" fieldPosition="0"/>
    </format>
    <format dxfId="1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UNIDAD_DE_ADSCRIPCION" sourceName="UNIDAD DE ADSCRIPCION">
  <extLst>
    <x:ext xmlns:x15="http://schemas.microsoft.com/office/spreadsheetml/2010/11/main" uri="{2F2917AC-EB37-4324-AD4E-5DD8C200BD13}">
      <x15:tableSlicerCache tableId="4" column="1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UNIDAD DE ADSCRIPCION" cache="SegmentaciónDeDatos_UNIDAD_DE_ADSCRIPCION" caption="UNIDAD DE ADSCRIPCION" columnCount="5" style="SlicerStyleLight1" rowHeight="241300"/>
</slicers>
</file>

<file path=xl/tables/table1.xml><?xml version="1.0" encoding="utf-8"?>
<table xmlns="http://schemas.openxmlformats.org/spreadsheetml/2006/main" id="1" name="DATA" displayName="DATA" ref="A8:C475" totalsRowShown="0" headerRowDxfId="581" dataDxfId="579" headerRowBorderDxfId="580" tableBorderDxfId="578">
  <autoFilter ref="A8:C475"/>
  <tableColumns count="3">
    <tableColumn id="1" name="NOMINA" dataDxfId="577" dataCellStyle="Normal 2"/>
    <tableColumn id="2" name="CEDULA" dataDxfId="576" dataCellStyle="Normal 2"/>
    <tableColumn id="3" name="APELLIDO Y NOMBRE" dataDxfId="57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9" name="DATOS" displayName="DATOS" ref="A2:J487" totalsRowCount="1" headerRowDxfId="36" dataDxfId="35" totalsRowDxfId="33" tableBorderDxfId="34" totalsRowBorderDxfId="32">
  <autoFilter ref="A2:J486"/>
  <tableColumns count="10">
    <tableColumn id="2" name="CEDULA" totalsRowLabel=" " dataDxfId="31" totalsRowDxfId="9"/>
    <tableColumn id="3" name="APELLIDO Y NOMBRE" totalsRowFunction="count" dataDxfId="30" totalsRowDxfId="8"/>
    <tableColumn id="9" name="NOMINA" totalsRowLabel=" " dataDxfId="29" totalsRowDxfId="7"/>
    <tableColumn id="4" name="CARGO " totalsRowLabel=" " dataDxfId="28" totalsRowDxfId="6"/>
    <tableColumn id="5" name="NIVEL" totalsRowLabel=" " dataDxfId="27" totalsRowDxfId="5"/>
    <tableColumn id="6" name="UNIDAD DE ADSCRIPCION" totalsRowLabel=" " dataDxfId="26" totalsRowDxfId="4"/>
    <tableColumn id="7" name="NRO DE CUENTA" totalsRowLabel=" " dataDxfId="25" totalsRowDxfId="3"/>
    <tableColumn id="8" name="TIPO DE CUENTA" totalsRowLabel=" " dataDxfId="24" totalsRowDxfId="2"/>
    <tableColumn id="10" name="BLOQUEO/OTROS PAGOS " totalsRowLabel=" " dataDxfId="23" totalsRowDxfId="1"/>
    <tableColumn id="1" name="RUTAS" totalsRowLabel=" " dataDxfId="22" totalsRowDxfId="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DIRECCIONES" displayName="DIRECCIONES" ref="P2:Q22" totalsRowShown="0" headerRowDxfId="21" dataDxfId="20" headerRowCellStyle="Normal 2 3" dataCellStyle="Normal 2 3">
  <autoFilter ref="P2:Q22"/>
  <tableColumns count="2">
    <tableColumn id="1" name="DIRECCION" dataDxfId="19" dataCellStyle="Normal 2 3"/>
    <tableColumn id="2" name="MODIFICACION" dataDxfId="18" dataCellStyle="Normal 2 3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1" name="NUEVO" displayName="NUEVO" ref="L17:N22" totalsRowShown="0" headerRowDxfId="17" dataDxfId="15" headerRowBorderDxfId="16" tableBorderDxfId="14" totalsRowBorderDxfId="13">
  <autoFilter ref="L17:N22"/>
  <tableColumns count="3">
    <tableColumn id="1" name="TIPO" dataDxfId="12"/>
    <tableColumn id="2" name="MONTO DIARIO " dataDxfId="11" dataCellStyle="Normal 2 3"/>
    <tableColumn id="3" name="SAB - DOM - FER" dataDxfId="10">
      <calculatedColumnFormula>NUEVO[[#This Row],[MONTO DIARIO ]]*2</calculatedColumnFormula>
    </tableColumn>
  </tableColumns>
  <tableStyleInfo name="TableStyleMedium19" showFirstColumn="0" showLastColumn="0" showRowStripes="1" showColumnStripes="0"/>
</table>
</file>

<file path=xl/tables/table5.xml><?xml version="1.0" encoding="utf-8"?>
<table xmlns="http://schemas.openxmlformats.org/spreadsheetml/2006/main" id="12" name="BIO" displayName="BIO" ref="A3:Q448" totalsRowShown="0" dataDxfId="66" headerRowBorderDxfId="67" tableBorderDxfId="65" totalsRowBorderDxfId="64">
  <autoFilter ref="A3:Q448"/>
  <tableColumns count="17">
    <tableColumn id="1" name="CEDULA" dataDxfId="63"/>
    <tableColumn id="2" name="NOMBRES Y APELLIDOS " dataDxfId="62"/>
    <tableColumn id="3" name="Entrada " dataDxfId="61"/>
    <tableColumn id="4" name="Salida" dataDxfId="60"/>
    <tableColumn id="5" name="Entrada 2" dataDxfId="59"/>
    <tableColumn id="6" name="Salida3" dataDxfId="58"/>
    <tableColumn id="7" name="Entrada 4" dataDxfId="57"/>
    <tableColumn id="8" name="Salida5" dataDxfId="56"/>
    <tableColumn id="9" name="Entrada 6" dataDxfId="55"/>
    <tableColumn id="10" name="Salida7" dataDxfId="54"/>
    <tableColumn id="11" name="Entrada 8" dataDxfId="53"/>
    <tableColumn id="12" name="Salida9" dataDxfId="52"/>
    <tableColumn id="13" name="Entrada 10" dataDxfId="51"/>
    <tableColumn id="14" name="Salida11" dataDxfId="50"/>
    <tableColumn id="15" name="Entrada 12" dataDxfId="49"/>
    <tableColumn id="16" name="Salida13" dataDxfId="48"/>
    <tableColumn id="17" name="RUTAS" dataDxfId="47">
      <calculatedColumnFormula>IFERROR(VLOOKUP(A4,DATOS[],10,0),"")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" name="METAS" displayName="METAS" ref="A8:W72" headerRowDxfId="504" dataDxfId="502" totalsRowDxfId="500" headerRowBorderDxfId="503" tableBorderDxfId="501" totalsRowBorderDxfId="499">
  <autoFilter ref="A8:W72"/>
  <tableColumns count="23">
    <tableColumn id="2" name="CEDULA" dataDxfId="498"/>
    <tableColumn id="3" name="NOMBRE Y APELLIDO" dataDxfId="497" totalsRowDxfId="496">
      <calculatedColumnFormula>IF(METAS[[#This Row],[OTRO PAGO]]=0,VLOOKUP(METAS[[#This Row],[CEDULA]],DATOS[],2,0),"")</calculatedColumnFormula>
    </tableColumn>
    <tableColumn id="18" name="NIVEL Y CARGO" dataDxfId="495" totalsRowDxfId="494">
      <calculatedColumnFormula>VLOOKUP(METAS[[#This Row],[CEDULA]],DATOS[],5,0)</calculatedColumnFormula>
    </tableColumn>
    <tableColumn id="15" name="UNIDAD DE ADSCRIPCION" dataDxfId="493"/>
    <tableColumn id="4" name="L" dataDxfId="492" totalsRowDxfId="491"/>
    <tableColumn id="5" name="M" dataDxfId="490" totalsRowDxfId="489"/>
    <tableColumn id="6" name="MI" dataDxfId="488" totalsRowDxfId="487"/>
    <tableColumn id="7" name="J" dataDxfId="486" totalsRowDxfId="485"/>
    <tableColumn id="8" name="V" dataDxfId="484" totalsRowDxfId="483"/>
    <tableColumn id="10" name="S" dataDxfId="482" totalsRowDxfId="481"/>
    <tableColumn id="11" name="D" dataDxfId="480" totalsRowDxfId="479"/>
    <tableColumn id="12" name="F" dataDxfId="478" totalsRowDxfId="477"/>
    <tableColumn id="20" name="DIA PEN. " totalsRowFunction="count" dataDxfId="476" totalsRowDxfId="475"/>
    <tableColumn id="1" name="TOTAL METAS L-V" dataDxfId="474" totalsRowDxfId="473">
      <calculatedColumnFormula>METAS[[#This Row],[L]]+METAS[[#This Row],[M]]+METAS[[#This Row],[MI]]</calculatedColumnFormula>
    </tableColumn>
    <tableColumn id="13" name="TOTAL METAS S-D-F" dataDxfId="472" totalsRowDxfId="471">
      <calculatedColumnFormula>METAS[[#This Row],[J]]+METAS[[#This Row],[V]]+METAS[[#This Row],[S]]+METAS[[#This Row],[D]]</calculatedColumnFormula>
    </tableColumn>
    <tableColumn id="14" name="TOTAL METAS" dataDxfId="470" totalsRowDxfId="469">
      <calculatedColumnFormula>METAS[[#This Row],[TOTAL METAS L-V]]+METAS[[#This Row],[TOTAL METAS S-D-F]]+METAS[[#This Row],[DIA PEN. ]]</calculatedColumnFormula>
    </tableColumn>
    <tableColumn id="19" name="DIA POR PAGAR" totalsRowFunction="sum" dataDxfId="468" totalsRowDxfId="467"/>
    <tableColumn id="17" name="TOTAL A PAGAR" dataDxfId="466" totalsRowDxfId="465">
      <calculatedColumnFormula>(VLOOKUP(METAS[[#This Row],[NIVEL Y CARGO]],NUEVO[],2,0)*METAS[[#This Row],[TOTAL METAS L-V]])+(VLOOKUP(METAS[[#This Row],[NIVEL Y CARGO]],NUEVO[],3,0)*METAS[[#This Row],[TOTAL METAS S-D-F]])+METAS[[#This Row],[DIA POR PAGAR]]</calculatedColumnFormula>
    </tableColumn>
    <tableColumn id="22" name="METAS CUMPLIDAS_x000a_L - M - MI - J - V" dataDxfId="464" totalsRowDxfId="463"/>
    <tableColumn id="21" name="METAS CUMPLIDAS_x000a_SABADO - DOMINGO - FERIADO" dataDxfId="462" totalsRowDxfId="461"/>
    <tableColumn id="33" name="METAS PROGRAMADAS" dataDxfId="460" totalsRowDxfId="459"/>
    <tableColumn id="16" name="OBSERVACION" dataDxfId="458" totalsRowDxfId="457"/>
    <tableColumn id="9" name="OTRO PAGO" dataDxfId="456" totalsRowDxfId="455">
      <calculatedColumnFormula>VLOOKUP(METAS[[#This Row],[CEDULA]],DATOS[],9,0)</calculatedColumnFormula>
    </tableColumn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5" name="Tabla5" displayName="Tabla5" ref="N4:Q5" totalsRowShown="0" headerRowDxfId="454" dataDxfId="452" headerRowBorderDxfId="453" tableBorderDxfId="451" totalsRowBorderDxfId="450">
  <tableColumns count="4">
    <tableColumn id="1" name="UNIDAD DE ADSCRIPCION" dataDxfId="449"/>
    <tableColumn id="4" name="TOTAL TRABAJADORES:" dataDxfId="448">
      <calculatedColumnFormula>IF(N5="INHRR",COUNTIF(METAS[TOTAL METAS],"&gt;0"),COUNTIFS(METAS[UNIDAD DE ADSCRIPCION],N5,METAS[TOTAL METAS],"&gt;0"))</calculatedColumnFormula>
    </tableColumn>
    <tableColumn id="5" name="TOTAL GUARDIAS A PAGAR: " dataDxfId="447">
      <calculatedColumnFormula>IF(N5="INHRR",SUM(METAS[TOTAL METAS]),SUMIF(METAS[UNIDAD DE ADSCRIPCION],N5,METAS[TOTAL METAS]))</calculatedColumnFormula>
    </tableColumn>
    <tableColumn id="2" name="TOTAL Bs. A PAGAR " dataDxfId="446" dataCellStyle="Millares">
      <calculatedColumnFormula>IF(N5="INHRR",SUM(METAS[TOTAL A PAGAR]),SUMIF(METAS[UNIDAD DE ADSCRIPCION],N5,METAS[TOTAL A PAGAR]))</calculatedColumn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6" name="NCH" displayName="NCH" ref="A6:AZ71" totalsRowCount="1" headerRowDxfId="337" dataDxfId="335" totalsRowDxfId="333" headerRowBorderDxfId="336" tableBorderDxfId="334" totalsRowBorderDxfId="332">
  <autoFilter ref="A6:AZ70"/>
  <tableColumns count="52">
    <tableColumn id="39" name="Nro" dataDxfId="331" totalsRowDxfId="330">
      <calculatedColumnFormula>IF(NCH[[#This Row],[CEDULA]]&gt;1,0,"")</calculatedColumnFormula>
    </tableColumn>
    <tableColumn id="1" name="CEDULA" totalsRowLabel="TOTAL TRABAJADORES" dataDxfId="329" totalsRowDxfId="328"/>
    <tableColumn id="2" name="NOMBRE Y APELLIDO" totalsRowFunction="count" dataDxfId="327" totalsRowDxfId="326">
      <calculatedColumnFormula>VLOOKUP(NCH[[#This Row],[CEDULA]],DATOS[],2,0)</calculatedColumnFormula>
    </tableColumn>
    <tableColumn id="3" name="UNIDAD DE ADSCRPCION" totalsRowLabel="TOTALES" dataDxfId="325" totalsRowDxfId="324"/>
    <tableColumn id="44" name="RUTA" dataDxfId="323" totalsRowDxfId="322">
      <calculatedColumnFormula>MID(VLOOKUP(NCH[[#This Row],[CEDULA]],DATOS[],10,0),1,1)</calculatedColumnFormula>
    </tableColumn>
    <tableColumn id="9" name="G" totalsRowFunction="sum" dataDxfId="321" totalsRowDxfId="320"/>
    <tableColumn id="48" name="META" totalsRowFunction="sum" dataDxfId="319" totalsRowDxfId="318">
      <calculatedColumnFormula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calculatedColumnFormula>
    </tableColumn>
    <tableColumn id="4" name="ENTRADA" dataDxfId="317" totalsRowDxfId="316">
      <calculatedColumnFormula>IFERROR(IF(ISBLANK(F7),VLOOKUP(NCH[[#This Row],[CEDULA]],BIO[],3,0),VLOOKUP(NCH[[#This Row],[CEDULA]],BIO[],3,0)),"No tiene huella Biometrico")</calculatedColumnFormula>
    </tableColumn>
    <tableColumn id="11" name="SALIDA" dataDxfId="315" totalsRowDxfId="314">
      <calculatedColumnFormula>IFERROR(IF(ISBLANK(F7),VLOOKUP(NCH[[#This Row],[CEDULA]],BIO[],4,0),VLOOKUP(NCH[[#This Row],[CEDULA]],BIO[],4,0)),"No tiene huella Biometrico")</calculatedColumnFormula>
    </tableColumn>
    <tableColumn id="19" name="JORNADA LABORAL" dataDxfId="313" totalsRowDxfId="312">
      <calculatedColumnFormula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calculatedColumnFormula>
    </tableColumn>
    <tableColumn id="24" name="JORNADAS METAS" dataDxfId="311" totalsRowDxfId="310">
      <calculatedColumnFormula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calculatedColumnFormula>
    </tableColumn>
    <tableColumn id="10" name="G2" totalsRowFunction="sum" dataDxfId="309" totalsRowDxfId="308"/>
    <tableColumn id="49" name="META2" totalsRowFunction="sum" dataDxfId="307" totalsRowDxfId="306">
      <calculatedColumnFormula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calculatedColumnFormula>
    </tableColumn>
    <tableColumn id="5" name="ENTRADA2" dataDxfId="305" totalsRowDxfId="304">
      <calculatedColumnFormula>IFERROR(IF(ISBLANK(L7),VLOOKUP(NCH[[#This Row],[CEDULA]],BIO[],5,0),VLOOKUP(NCH[[#This Row],[CEDULA]],BIO[],5,0)),"No tiene huella Biometrico")</calculatedColumnFormula>
    </tableColumn>
    <tableColumn id="12" name="SALIDA2" dataDxfId="303" totalsRowDxfId="302">
      <calculatedColumnFormula>IFERROR(IF(ISBLANK(L7),VLOOKUP(NCH[[#This Row],[CEDULA]],BIO[],6,0),VLOOKUP(NCH[[#This Row],[CEDULA]],BIO[],6,0)),"No tiene huella Biometrico")</calculatedColumnFormula>
    </tableColumn>
    <tableColumn id="20" name="JORNADA LABORAL2" dataDxfId="301" totalsRowDxfId="300">
      <calculatedColumnFormula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calculatedColumnFormula>
    </tableColumn>
    <tableColumn id="25" name="JORNADAS METAS3" dataDxfId="299" totalsRowDxfId="298">
      <calculatedColumnFormula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calculatedColumnFormula>
    </tableColumn>
    <tableColumn id="16" name="G3" totalsRowFunction="sum" dataDxfId="297" totalsRowDxfId="296"/>
    <tableColumn id="50" name="META3" totalsRowFunction="sum" dataDxfId="295" totalsRowDxfId="294"/>
    <tableColumn id="6" name="ENTRADA3" dataDxfId="293" totalsRowDxfId="292">
      <calculatedColumnFormula>IFERROR(IF(ISBLANK(R7),VLOOKUP(NCH[[#This Row],[CEDULA]],BIO[],7,0),VLOOKUP(NCH[[#This Row],[CEDULA]],BIO[],7,0)),"No tiene huella Biometrico")</calculatedColumnFormula>
    </tableColumn>
    <tableColumn id="13" name="SALIDA4" dataDxfId="291" totalsRowDxfId="290">
      <calculatedColumnFormula>IFERROR(IF(ISBLANK(R7),VLOOKUP(NCH[[#This Row],[CEDULA]],BIO[],8,0),VLOOKUP(NCH[[#This Row],[CEDULA]],BIO[],8,0)),"No tiene huella Biometrico")</calculatedColumnFormula>
    </tableColumn>
    <tableColumn id="21" name="JORNADA LABORAL3" dataDxfId="289" totalsRowDxfId="288">
      <calculatedColumnFormula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calculatedColumnFormula>
    </tableColumn>
    <tableColumn id="26" name="JORNADAS METAS4" dataDxfId="287" totalsRowDxfId="286">
      <calculatedColumnFormula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calculatedColumnFormula>
    </tableColumn>
    <tableColumn id="17" name="G4" totalsRowFunction="sum" dataDxfId="285" totalsRowDxfId="284"/>
    <tableColumn id="51" name="META4" totalsRowFunction="sum" dataDxfId="283" totalsRowDxfId="282">
      <calculatedColumnFormula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calculatedColumnFormula>
    </tableColumn>
    <tableColumn id="7" name="ENTRADA4" dataDxfId="281" totalsRowDxfId="280">
      <calculatedColumnFormula>IFERROR(IF(ISBLANK(X7),VLOOKUP(NCH[[#This Row],[CEDULA]],BIO[],9,0),VLOOKUP(NCH[[#This Row],[CEDULA]],BIO[],9,0)),"No tiene huella Biometrico")</calculatedColumnFormula>
    </tableColumn>
    <tableColumn id="14" name="SALIDA5" dataDxfId="279" totalsRowDxfId="278">
      <calculatedColumnFormula>IFERROR(IF(ISBLANK(X7),VLOOKUP(NCH[[#This Row],[CEDULA]],BIO[],10,0),VLOOKUP(NCH[[#This Row],[CEDULA]],BIO[],10,0)),"No tiene huella Biometrico")</calculatedColumnFormula>
    </tableColumn>
    <tableColumn id="22" name="JORNADA LABORAL4" dataDxfId="277" totalsRowDxfId="276">
      <calculatedColumnFormula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calculatedColumnFormula>
    </tableColumn>
    <tableColumn id="27" name="JORNADAS METAS5" dataDxfId="275" totalsRowDxfId="274">
      <calculatedColumnFormula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calculatedColumnFormula>
    </tableColumn>
    <tableColumn id="18" name="G5" totalsRowFunction="sum" dataDxfId="273" totalsRowDxfId="272"/>
    <tableColumn id="52" name="META5" totalsRowFunction="sum" dataDxfId="271" totalsRowDxfId="270">
      <calculatedColumnFormula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calculatedColumnFormula>
    </tableColumn>
    <tableColumn id="8" name="ENTRADA5" dataDxfId="269" totalsRowDxfId="268">
      <calculatedColumnFormula>IFERROR(IF(ISBLANK(NCH[G5]),VLOOKUP(NCH[[#This Row],[CEDULA]],BIO[],11,0),VLOOKUP(NCH[[#This Row],[CEDULA]],BIO[],11,0)),"No tiene huella Biometrico")</calculatedColumnFormula>
    </tableColumn>
    <tableColumn id="15" name="SALIDA6" dataDxfId="267" totalsRowDxfId="266">
      <calculatedColumnFormula>IFERROR(IF((NCH[G5]),VLOOKUP(NCH[[#This Row],[CEDULA]],BIO[],12,0),VLOOKUP(NCH[[#This Row],[CEDULA]],BIO[],12,0)),"No tiene huella Biometrico")</calculatedColumnFormula>
    </tableColumn>
    <tableColumn id="23" name="JORNADA LABORAL5" dataDxfId="265" totalsRowDxfId="264">
      <calculatedColumnFormula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calculatedColumnFormula>
    </tableColumn>
    <tableColumn id="28" name="JORNADAS METAS6" dataDxfId="263" totalsRowDxfId="262">
      <calculatedColumnFormula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calculatedColumnFormula>
    </tableColumn>
    <tableColumn id="29" name="G6" totalsRowFunction="sum" dataDxfId="261" totalsRowDxfId="260"/>
    <tableColumn id="53" name="META6" totalsRowFunction="sum" dataDxfId="259" totalsRowDxfId="258">
      <calculatedColumnFormula>IF(NCH[[#This Row],[RUTA]]="0",NCH[[#This Row],[G6]],IF(AND(NCH[[#This Row],[ENTRADA7]]&lt;&gt;"No Registró",NCH[[#This Row],[SALIDA7]]&lt;&gt;"No Registró"),NCH[[#This Row],[G6]],0))</calculatedColumnFormula>
    </tableColumn>
    <tableColumn id="30" name="ENTRADA7" dataDxfId="257" totalsRowDxfId="256">
      <calculatedColumnFormula>IFERROR(IF(ISBLANK(NCH[G6]),VLOOKUP(NCH[CEDULA],BIO[],13,0),VLOOKUP(NCH[CEDULA],BIO[],13,0)),"No tiene huella Biometrico")</calculatedColumnFormula>
    </tableColumn>
    <tableColumn id="31" name="SALIDA7" dataDxfId="255" totalsRowDxfId="254">
      <calculatedColumnFormula>IFERROR(IF((NCH[G6]),VLOOKUP(NCH[[#This Row],[CEDULA]],BIO[],14,0),VLOOKUP(NCH[[#This Row],[CEDULA]],BIO[],14,0)),"No tiene huella Biometrico")</calculatedColumnFormula>
    </tableColumn>
    <tableColumn id="32" name="JORNADA LABORAL7" dataDxfId="253" totalsRowDxfId="252">
      <calculatedColumnFormula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calculatedColumnFormula>
    </tableColumn>
    <tableColumn id="33" name="JORNADAS METAS7" dataDxfId="251" totalsRowDxfId="250">
      <calculatedColumnFormula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calculatedColumnFormula>
    </tableColumn>
    <tableColumn id="34" name="G7" totalsRowFunction="sum" dataDxfId="249" totalsRowDxfId="248"/>
    <tableColumn id="54" name="META7" totalsRowFunction="sum" dataDxfId="247" totalsRowDxfId="246">
      <calculatedColumnFormula>IF(NCH[[#This Row],[RUTA]]="0",NCH[[#This Row],[G7]],IF(AND(NCH[[#This Row],[ENTRADA8]]&lt;&gt;"No Registró",NCH[[#This Row],[SALIDA8]]&lt;&gt;"No Registró"),NCH[[#This Row],[G7]],0))</calculatedColumnFormula>
    </tableColumn>
    <tableColumn id="35" name="ENTRADA8" dataDxfId="245" totalsRowDxfId="244">
      <calculatedColumnFormula>IFERROR(IF(ISBLANK(NCH[G7]),VLOOKUP(NCH[CEDULA],BIO[],15,0),VLOOKUP(NCH[CEDULA],BIO[],15,0)),"No tiene huella Biometrico")</calculatedColumnFormula>
    </tableColumn>
    <tableColumn id="36" name="SALIDA8" dataDxfId="243" totalsRowDxfId="242">
      <calculatedColumnFormula>IFERROR(IF(ISBLANK(NCH[G7]),VLOOKUP(NCH[[#This Row],[CEDULA]],BIO[],16,0),VLOOKUP(NCH[[#This Row],[CEDULA]],BIO[],16,0)),"No tiene huella Biometrico")</calculatedColumnFormula>
    </tableColumn>
    <tableColumn id="37" name="JORNADA LABORAL8" dataDxfId="241" totalsRowDxfId="240">
      <calculatedColumnFormula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calculatedColumnFormula>
    </tableColumn>
    <tableColumn id="38" name="JORNADAS METAS8" dataDxfId="239" totalsRowDxfId="238">
      <calculatedColumnFormula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calculatedColumnFormula>
    </tableColumn>
    <tableColumn id="62" name="TOTAL L-V" totalsRowFunction="sum" dataDxfId="237" totalsRowDxfId="236">
      <calculatedColumnFormula>NCH[[#This Row],[META]]+NCH[[#This Row],[META2]]+NCH[[#This Row],[META3]]</calculatedColumnFormula>
    </tableColumn>
    <tableColumn id="63" name="TOTAL S-D" totalsRowFunction="sum" dataDxfId="235" totalsRowDxfId="234">
      <calculatedColumnFormula>NCH[[#This Row],[META4]]+NCH[[#This Row],[META5]]+NCH[[#This Row],[META6]]+NCH[[#This Row],[META7]]</calculatedColumnFormula>
    </tableColumn>
    <tableColumn id="64" name="TOTAL GUARDIAS A PAGAR" totalsRowFunction="sum" dataDxfId="233" totalsRowDxfId="232">
      <calculatedColumnFormula>NCH[[#This Row],[TOTAL L-V]]+NCH[[#This Row],[TOTAL S-D]]</calculatedColumnFormula>
    </tableColumn>
    <tableColumn id="42" name="META FIN DE SEMANA" dataDxfId="231" totalsRowDxfId="230">
      <calculatedColumnFormula>VLOOKUP(NCH[[#This Row],[CEDULA]],METAS[],20,0)</calculatedColumnFormula>
    </tableColumn>
    <tableColumn id="41" name="OBSERVACION" dataDxfId="229" totalsRowDxfId="228">
      <calculatedColumnFormula>VLOOKUP(NCH[[#This Row],[CEDULA]],METAS[],22,0)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7" name="DEF" displayName="DEF" ref="A8:R248" totalsRowCount="1" headerRowDxfId="209" dataDxfId="207" totalsRowDxfId="205" headerRowBorderDxfId="208" tableBorderDxfId="206" totalsRowBorderDxfId="204">
  <autoFilter ref="A8:R247">
    <filterColumn colId="1">
      <filters>
        <filter val="TORRES JESUS"/>
        <filter val="TORRES JORGE"/>
      </filters>
    </filterColumn>
  </autoFilter>
  <sortState ref="A9:T232">
    <sortCondition ref="D9:D232"/>
  </sortState>
  <tableColumns count="18">
    <tableColumn id="2" name="CEDULA" totalsRowLabel="Total" dataDxfId="203" totalsRowDxfId="202"/>
    <tableColumn id="3" name="NOMBRE Y APELLIDO" dataDxfId="201" totalsRowDxfId="200">
      <calculatedColumnFormula>IFERROR(IF(DEF[[#This Row],[OTRO PAGO]]=0,VLOOKUP(DEF[[#This Row],[CEDULA]],DATOS[],2,0),""),"")</calculatedColumnFormula>
    </tableColumn>
    <tableColumn id="18" name="NIVEL Y CARGO" dataDxfId="199" totalsRowDxfId="198">
      <calculatedColumnFormula>IFERROR(VLOOKUP(DEF[[#This Row],[CEDULA]],DATOS[],5,0),"")</calculatedColumnFormula>
    </tableColumn>
    <tableColumn id="15" name="UNIDAD DE ADSCRIPCION" dataDxfId="197" totalsRowDxfId="196"/>
    <tableColumn id="4" name="L" dataDxfId="195" totalsRowDxfId="194">
      <calculatedColumnFormula>IFERROR(VLOOKUP(DEF[[#This Row],[CEDULA]],NCH!$B$7:$AU$229,10,0),"")</calculatedColumnFormula>
    </tableColumn>
    <tableColumn id="5" name="M" dataDxfId="193" totalsRowDxfId="192">
      <calculatedColumnFormula>IFERROR(VLOOKUP(DEF[[#This Row],[CEDULA]],NCH!$B$7:$AU$229,16,0),"")</calculatedColumnFormula>
    </tableColumn>
    <tableColumn id="6" name="MI" dataDxfId="191" totalsRowDxfId="190">
      <calculatedColumnFormula>IFERROR(VLOOKUP(DEF[[#This Row],[CEDULA]],NCH!$B$7:$AU$229,22,0),"")</calculatedColumnFormula>
    </tableColumn>
    <tableColumn id="7" name="J" dataDxfId="189" totalsRowDxfId="188">
      <calculatedColumnFormula>IFERROR(VLOOKUP(DEF[[#This Row],[CEDULA]],NCH!$B$7:$AU$229,28,0),"")</calculatedColumnFormula>
    </tableColumn>
    <tableColumn id="8" name="V" dataDxfId="187" totalsRowDxfId="186">
      <calculatedColumnFormula>IFERROR(VLOOKUP(DEF[[#This Row],[CEDULA]],NCH!$B$7:$AU$229,34,0),"")</calculatedColumnFormula>
    </tableColumn>
    <tableColumn id="10" name="S" dataDxfId="185" totalsRowDxfId="184">
      <calculatedColumnFormula>IFERROR(VLOOKUP(DEF[[#This Row],[CEDULA]],NCH!$B$7:$AU$229,40,0),"")</calculatedColumnFormula>
    </tableColumn>
    <tableColumn id="11" name="D" dataDxfId="183" totalsRowDxfId="182">
      <calculatedColumnFormula>IFERROR(VLOOKUP(DEF[[#This Row],[CEDULA]],NCH!$B$7:$AU$229,46,0),"")</calculatedColumnFormula>
    </tableColumn>
    <tableColumn id="16" name="DIA PEN. " totalsRowFunction="sum" dataDxfId="181" totalsRowDxfId="180">
      <calculatedColumnFormula>IFERROR(VLOOKUP(DEF[CEDULA],METAS[],13,0),"")</calculatedColumnFormula>
    </tableColumn>
    <tableColumn id="1" name="TOTAL METAS L-V" dataDxfId="179" totalsRowDxfId="178">
      <calculatedColumnFormula>SUM(DEF[[#This Row],[L]:[V]])</calculatedColumnFormula>
    </tableColumn>
    <tableColumn id="13" name="TOTAL METAS S-D-F" dataDxfId="177" totalsRowDxfId="176">
      <calculatedColumnFormula>SUM(DEF[[#This Row],[S]:[D]])</calculatedColumnFormula>
    </tableColumn>
    <tableColumn id="14" name="TOTAL METAS" dataDxfId="175" totalsRowDxfId="174">
      <calculatedColumnFormula>DEF[[#This Row],[TOTAL METAS L-V]]+DEF[[#This Row],[TOTAL METAS S-D-F]]</calculatedColumnFormula>
    </tableColumn>
    <tableColumn id="19" name="DIA POR PAGAR" dataDxfId="173" totalsRowDxfId="172">
      <calculatedColumnFormula>VLOOKUP(DEF[[#This Row],[CEDULA]],METAS[],17,0)</calculatedColumnFormula>
    </tableColumn>
    <tableColumn id="17" name="TOTAL A PAGAR" dataDxfId="171" totalsRowDxfId="170">
      <calculatedColumnFormula>IFERROR((VLOOKUP(DEF[[#This Row],[NIVEL Y CARGO]],#REF!,2,0)*DEF[[#This Row],[TOTAL METAS L-V]])+(VLOOKUP(DEF[[#This Row],[NIVEL Y CARGO]],#REF!,3,0)*DEF[[#This Row],[TOTAL METAS S-D-F]])+DEF[DIA POR PAGAR],"")</calculatedColumnFormula>
    </tableColumn>
    <tableColumn id="9" name="OTRO PAGO" totalsRowFunction="sum" dataDxfId="169" totalsRowDxfId="168">
      <calculatedColumnFormula>VLOOKUP(DEF[[#This Row],[CEDULA]],DATOS[],9,0)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id="8" name="Tabla59" displayName="Tabla59" ref="M5:P6" totalsRowShown="0" headerRowDxfId="167" dataDxfId="165" headerRowBorderDxfId="166" tableBorderDxfId="164" totalsRowBorderDxfId="163">
  <tableColumns count="4">
    <tableColumn id="1" name="UNIDAD DE ADSCRIPCION" dataDxfId="162"/>
    <tableColumn id="4" name="TOTAL TRABAJADORES:" dataDxfId="161">
      <calculatedColumnFormula>IF(M6="INHRR",COUNTIF(DEF[TOTAL METAS],"&gt;0"),COUNTIFS(DEF[UNIDAD DE ADSCRIPCION],M6,DEF[TOTAL METAS],"&gt;0"))</calculatedColumnFormula>
    </tableColumn>
    <tableColumn id="5" name="TOTAL GUARDIAS A PAGAR: " dataDxfId="160">
      <calculatedColumnFormula>IF(M6="INHRR",SUM(DEF[TOTAL METAS]),SUMIF(DEF[UNIDAD DE ADSCRIPCION],M6,DEF[TOTAL METAS]))</calculatedColumnFormula>
    </tableColumn>
    <tableColumn id="2" name="TOTAL Bs. A PAGAR " dataDxfId="159" dataCellStyle="Millares">
      <calculatedColumnFormula>IF(M6="INHRR",SUM(DEF[TOTAL A PAGAR]),SUMIF(DEF[UNIDAD DE ADSCRIPCION],M6,DEF[TOTAL A PAGAR]))</calculatedColumnFormula>
    </tableColumn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2" name="Tabla2" displayName="Tabla2" ref="A29:N92" totalsRowCount="1" headerRowDxfId="122" dataDxfId="121">
  <autoFilter ref="A29:N91"/>
  <tableColumns count="14">
    <tableColumn id="1" name="V/E" dataDxfId="120" totalsRowDxfId="119">
      <calculatedColumnFormula>IF(B30&gt;1,"V","")</calculatedColumnFormula>
    </tableColumn>
    <tableColumn id="2" name="CEDULA" dataDxfId="118" totalsRowDxfId="117"/>
    <tableColumn id="3" name="NOMBRE Y APELLIDO" dataDxfId="116" totalsRowDxfId="115">
      <calculatedColumnFormula>VLOOKUP(Tabla2[[#This Row],[CEDULA]],DATOS[],2,0)</calculatedColumnFormula>
    </tableColumn>
    <tableColumn id="4" name="NIVEL Y CARGO" totalsRowLabel="TRABAJADORES" dataDxfId="114" totalsRowDxfId="113">
      <calculatedColumnFormula>VLOOKUP(Tabla2[[#This Row],[CEDULA]],METAS[[CEDULA]:[NIVEL Y CARGO]],3,0)</calculatedColumnFormula>
    </tableColumn>
    <tableColumn id="11" name="UNIDAD DE ADSCRIPCION" totalsRowFunction="count" dataDxfId="112" totalsRowDxfId="111"/>
    <tableColumn id="5" name="TOTAL METAS L-V" totalsRowFunction="sum" dataDxfId="110" totalsRowDxfId="109">
      <calculatedColumnFormula>IFERROR(VLOOKUP(Tabla2[[#This Row],[CEDULA]],NCH[[CEDULA]:[TOTAL GUARDIAS A PAGAR]],47,0),0)</calculatedColumnFormula>
    </tableColumn>
    <tableColumn id="6" name="TOTAL METAS S-D-F" totalsRowFunction="sum" dataDxfId="108" totalsRowDxfId="107">
      <calculatedColumnFormula>IFERROR(VLOOKUP(Tabla2[[#This Row],[CEDULA]],NCH[[CEDULA]:[TOTAL GUARDIAS A PAGAR]],48,0),0)</calculatedColumnFormula>
    </tableColumn>
    <tableColumn id="12" name="DIA PENDIENTE " totalsRowFunction="sum" dataDxfId="106" totalsRowDxfId="105">
      <calculatedColumnFormula>VLOOKUP(Tabla2[[#This Row],[CEDULA]],METAS[[CEDULA]:[DIA PEN. ]],13,0)</calculatedColumnFormula>
    </tableColumn>
    <tableColumn id="7" name="TOTAL METAS" totalsRowFunction="sum" dataDxfId="104" totalsRowDxfId="103">
      <calculatedColumnFormula>Tabla2[TOTAL METAS L-V]+Tabla2[TOTAL METAS S-D-F]</calculatedColumnFormula>
    </tableColumn>
    <tableColumn id="13" name="TOTAL PEND. POR PAGAR " totalsRowFunction="sum" dataDxfId="102" totalsRowDxfId="101">
      <calculatedColumnFormula>VLOOKUP(Tabla2[[#This Row],[CEDULA]],METAS[],17,0)</calculatedColumnFormula>
    </tableColumn>
    <tableColumn id="8" name="TOTAL A PAGAR" totalsRowFunction="sum" dataDxfId="100" totalsRowDxfId="99">
      <calculatedColumnFormula>IFERROR((VLOOKUP(Tabla2[NIVEL Y CARGO],NUEVO[],2,0)*Tabla2[TOTAL METAS L-V])+(VLOOKUP(Tabla2[NIVEL Y CARGO],NUEVO[],3,0)*Tabla2[TOTAL METAS S-D-F]),"")+Tabla2[[#This Row],[TOTAL PEND. POR PAGAR ]]</calculatedColumnFormula>
    </tableColumn>
    <tableColumn id="9" name="N° CUENTA " dataDxfId="98" totalsRowDxfId="97">
      <calculatedColumnFormula>TRIM(IFERROR(VLOOKUP(Tabla2[[#This Row],[CEDULA]],DATOS[],7,0),""))</calculatedColumnFormula>
    </tableColumn>
    <tableColumn id="10" name="TIPO CUENTA " dataDxfId="96" totalsRowDxfId="95">
      <calculatedColumnFormula>IFERROR(VLOOKUP(Tabla2[[#This Row],[CEDULA]],DATOS[],8,0),"")</calculatedColumnFormula>
    </tableColumn>
    <tableColumn id="14" name="CANTIDAD DE DIGITO DE LA CUENTA" dataDxfId="94">
      <calculatedColumnFormula>LEN(Tabla2[[#This Row],[N° CUENTA ]])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externalLinkPath" Target="/Users/usuario/AppData/Roaming/Microsoft/Excel/CONSOLIDADO%20GUARDIAS%20NOVIEMBRE_%20(version%201).xlsb" TargetMode="External"/><Relationship Id="rId6" Type="http://schemas.microsoft.com/office/2007/relationships/slicer" Target="../slicers/slicer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475"/>
  <sheetViews>
    <sheetView showGridLines="0" workbookViewId="0">
      <selection activeCell="G8" sqref="G8"/>
    </sheetView>
  </sheetViews>
  <sheetFormatPr baseColWidth="10" defaultRowHeight="15" x14ac:dyDescent="0.25"/>
  <cols>
    <col min="1" max="1" width="22.28515625" style="3" bestFit="1" customWidth="1"/>
    <col min="2" max="2" width="12.7109375" style="3" bestFit="1" customWidth="1"/>
    <col min="3" max="3" width="24.28515625" style="3" bestFit="1" customWidth="1"/>
    <col min="7" max="7" width="19" customWidth="1"/>
  </cols>
  <sheetData>
    <row r="1" spans="1:7" x14ac:dyDescent="0.25">
      <c r="G1" s="3" t="s">
        <v>7</v>
      </c>
    </row>
    <row r="2" spans="1:7" x14ac:dyDescent="0.25">
      <c r="G2" s="3" t="s">
        <v>8</v>
      </c>
    </row>
    <row r="3" spans="1:7" x14ac:dyDescent="0.25">
      <c r="G3" s="3" t="s">
        <v>9</v>
      </c>
    </row>
    <row r="4" spans="1:7" x14ac:dyDescent="0.25">
      <c r="G4" s="3" t="s">
        <v>10</v>
      </c>
    </row>
    <row r="5" spans="1:7" x14ac:dyDescent="0.25">
      <c r="G5" s="3" t="s">
        <v>11</v>
      </c>
    </row>
    <row r="6" spans="1:7" x14ac:dyDescent="0.25">
      <c r="G6" s="3" t="s">
        <v>12</v>
      </c>
    </row>
    <row r="7" spans="1:7" x14ac:dyDescent="0.25">
      <c r="G7" s="3" t="s">
        <v>456</v>
      </c>
    </row>
    <row r="8" spans="1:7" ht="15.75" thickBot="1" x14ac:dyDescent="0.3">
      <c r="A8" s="14" t="s">
        <v>6</v>
      </c>
      <c r="B8" s="15" t="s">
        <v>0</v>
      </c>
      <c r="C8" s="16" t="s">
        <v>457</v>
      </c>
      <c r="G8" s="3"/>
    </row>
    <row r="9" spans="1:7" x14ac:dyDescent="0.25">
      <c r="A9" s="17" t="s">
        <v>465</v>
      </c>
      <c r="B9" s="1">
        <v>6290210</v>
      </c>
      <c r="C9" s="21" t="s">
        <v>22</v>
      </c>
    </row>
    <row r="10" spans="1:7" x14ac:dyDescent="0.25">
      <c r="A10" s="17" t="s">
        <v>7</v>
      </c>
      <c r="B10" s="1">
        <v>1488895</v>
      </c>
      <c r="C10" s="21" t="s">
        <v>487</v>
      </c>
    </row>
    <row r="11" spans="1:7" x14ac:dyDescent="0.25">
      <c r="A11" s="17" t="s">
        <v>7</v>
      </c>
      <c r="B11" s="1">
        <v>3523168</v>
      </c>
      <c r="C11" s="21" t="s">
        <v>26</v>
      </c>
    </row>
    <row r="12" spans="1:7" x14ac:dyDescent="0.25">
      <c r="A12" s="17" t="s">
        <v>7</v>
      </c>
      <c r="B12" s="1">
        <v>4029580</v>
      </c>
      <c r="C12" s="21" t="s">
        <v>18</v>
      </c>
    </row>
    <row r="13" spans="1:7" x14ac:dyDescent="0.25">
      <c r="A13" s="17" t="s">
        <v>7</v>
      </c>
      <c r="B13" s="1">
        <v>5466538</v>
      </c>
      <c r="C13" s="21" t="s">
        <v>19</v>
      </c>
    </row>
    <row r="14" spans="1:7" x14ac:dyDescent="0.25">
      <c r="A14" s="17" t="s">
        <v>7</v>
      </c>
      <c r="B14" s="1">
        <v>6178411</v>
      </c>
      <c r="C14" s="21" t="s">
        <v>15</v>
      </c>
    </row>
    <row r="15" spans="1:7" x14ac:dyDescent="0.25">
      <c r="A15" s="17" t="s">
        <v>7</v>
      </c>
      <c r="B15" s="1">
        <v>6869228</v>
      </c>
      <c r="C15" s="21" t="s">
        <v>27</v>
      </c>
    </row>
    <row r="16" spans="1:7" x14ac:dyDescent="0.25">
      <c r="A16" s="17" t="s">
        <v>7</v>
      </c>
      <c r="B16" s="1">
        <v>11831831</v>
      </c>
      <c r="C16" s="21" t="s">
        <v>20</v>
      </c>
    </row>
    <row r="17" spans="1:3" x14ac:dyDescent="0.25">
      <c r="A17" s="17" t="s">
        <v>7</v>
      </c>
      <c r="B17" s="1">
        <v>17166976</v>
      </c>
      <c r="C17" s="21" t="s">
        <v>17</v>
      </c>
    </row>
    <row r="18" spans="1:3" x14ac:dyDescent="0.25">
      <c r="A18" s="17" t="s">
        <v>7</v>
      </c>
      <c r="B18" s="1">
        <v>19658279</v>
      </c>
      <c r="C18" s="21" t="s">
        <v>16</v>
      </c>
    </row>
    <row r="19" spans="1:3" x14ac:dyDescent="0.25">
      <c r="A19" s="18" t="s">
        <v>7</v>
      </c>
      <c r="B19" s="1">
        <v>11411657</v>
      </c>
      <c r="C19" s="21" t="s">
        <v>29</v>
      </c>
    </row>
    <row r="20" spans="1:3" x14ac:dyDescent="0.25">
      <c r="A20" s="17" t="s">
        <v>7</v>
      </c>
      <c r="B20" s="1">
        <v>6122526</v>
      </c>
      <c r="C20" s="21" t="s">
        <v>28</v>
      </c>
    </row>
    <row r="21" spans="1:3" x14ac:dyDescent="0.25">
      <c r="A21" s="17" t="s">
        <v>7</v>
      </c>
      <c r="B21" s="1">
        <v>6857823</v>
      </c>
      <c r="C21" s="21" t="s">
        <v>23</v>
      </c>
    </row>
    <row r="22" spans="1:3" x14ac:dyDescent="0.25">
      <c r="A22" s="17" t="s">
        <v>7</v>
      </c>
      <c r="B22" s="1">
        <v>7092124</v>
      </c>
      <c r="C22" s="21" t="s">
        <v>24</v>
      </c>
    </row>
    <row r="23" spans="1:3" x14ac:dyDescent="0.25">
      <c r="A23" s="17" t="s">
        <v>7</v>
      </c>
      <c r="B23" s="6">
        <v>7452015</v>
      </c>
      <c r="C23" s="21" t="s">
        <v>25</v>
      </c>
    </row>
    <row r="24" spans="1:3" x14ac:dyDescent="0.25">
      <c r="A24" s="17" t="s">
        <v>7</v>
      </c>
      <c r="B24" s="2">
        <v>3524735</v>
      </c>
      <c r="C24" s="21" t="s">
        <v>21</v>
      </c>
    </row>
    <row r="25" spans="1:3" x14ac:dyDescent="0.25">
      <c r="A25" s="17" t="s">
        <v>466</v>
      </c>
      <c r="B25" s="1">
        <v>5135468</v>
      </c>
      <c r="C25" s="21" t="s">
        <v>454</v>
      </c>
    </row>
    <row r="26" spans="1:3" x14ac:dyDescent="0.25">
      <c r="A26" s="17" t="s">
        <v>466</v>
      </c>
      <c r="B26" s="1">
        <v>9960828</v>
      </c>
      <c r="C26" s="21" t="s">
        <v>455</v>
      </c>
    </row>
    <row r="27" spans="1:3" x14ac:dyDescent="0.25">
      <c r="A27" s="17" t="s">
        <v>466</v>
      </c>
      <c r="B27" s="1">
        <v>16705084</v>
      </c>
      <c r="C27" s="21" t="s">
        <v>4</v>
      </c>
    </row>
    <row r="28" spans="1:3" x14ac:dyDescent="0.25">
      <c r="A28" s="17" t="s">
        <v>466</v>
      </c>
      <c r="B28" s="1">
        <v>18930567</v>
      </c>
      <c r="C28" s="21" t="s">
        <v>458</v>
      </c>
    </row>
    <row r="29" spans="1:3" x14ac:dyDescent="0.25">
      <c r="A29" s="17" t="s">
        <v>467</v>
      </c>
      <c r="B29" s="1">
        <v>6185757</v>
      </c>
      <c r="C29" s="21" t="s">
        <v>336</v>
      </c>
    </row>
    <row r="30" spans="1:3" x14ac:dyDescent="0.25">
      <c r="A30" s="17" t="s">
        <v>468</v>
      </c>
      <c r="B30" s="1">
        <v>18577219</v>
      </c>
      <c r="C30" s="21" t="s">
        <v>488</v>
      </c>
    </row>
    <row r="31" spans="1:3" x14ac:dyDescent="0.25">
      <c r="A31" s="17" t="s">
        <v>469</v>
      </c>
      <c r="B31" s="1">
        <v>20604506</v>
      </c>
      <c r="C31" s="21" t="s">
        <v>101</v>
      </c>
    </row>
    <row r="32" spans="1:3" x14ac:dyDescent="0.25">
      <c r="A32" s="17" t="s">
        <v>470</v>
      </c>
      <c r="B32" s="1">
        <v>3724075</v>
      </c>
      <c r="C32" s="21" t="s">
        <v>39</v>
      </c>
    </row>
    <row r="33" spans="1:3" x14ac:dyDescent="0.25">
      <c r="A33" s="17" t="s">
        <v>470</v>
      </c>
      <c r="B33" s="1">
        <v>3884398</v>
      </c>
      <c r="C33" s="21" t="s">
        <v>489</v>
      </c>
    </row>
    <row r="34" spans="1:3" x14ac:dyDescent="0.25">
      <c r="A34" s="17" t="s">
        <v>470</v>
      </c>
      <c r="B34" s="1">
        <v>5215887</v>
      </c>
      <c r="C34" s="21" t="s">
        <v>87</v>
      </c>
    </row>
    <row r="35" spans="1:3" x14ac:dyDescent="0.25">
      <c r="A35" s="17" t="s">
        <v>470</v>
      </c>
      <c r="B35" s="1">
        <v>5890191</v>
      </c>
      <c r="C35" s="21" t="s">
        <v>88</v>
      </c>
    </row>
    <row r="36" spans="1:3" x14ac:dyDescent="0.25">
      <c r="A36" s="17" t="s">
        <v>470</v>
      </c>
      <c r="B36" s="1">
        <v>6020230</v>
      </c>
      <c r="C36" s="21" t="s">
        <v>40</v>
      </c>
    </row>
    <row r="37" spans="1:3" x14ac:dyDescent="0.25">
      <c r="A37" s="17" t="s">
        <v>470</v>
      </c>
      <c r="B37" s="1">
        <v>6193376</v>
      </c>
      <c r="C37" s="21" t="s">
        <v>33</v>
      </c>
    </row>
    <row r="38" spans="1:3" x14ac:dyDescent="0.25">
      <c r="A38" s="17" t="s">
        <v>470</v>
      </c>
      <c r="B38" s="1">
        <v>6326657</v>
      </c>
      <c r="C38" s="21" t="s">
        <v>34</v>
      </c>
    </row>
    <row r="39" spans="1:3" x14ac:dyDescent="0.25">
      <c r="A39" s="17" t="s">
        <v>470</v>
      </c>
      <c r="B39" s="1">
        <v>6429365</v>
      </c>
      <c r="C39" s="21" t="s">
        <v>3</v>
      </c>
    </row>
    <row r="40" spans="1:3" x14ac:dyDescent="0.25">
      <c r="A40" s="17" t="s">
        <v>470</v>
      </c>
      <c r="B40" s="1">
        <v>6448274</v>
      </c>
      <c r="C40" s="21" t="s">
        <v>41</v>
      </c>
    </row>
    <row r="41" spans="1:3" x14ac:dyDescent="0.25">
      <c r="A41" s="17" t="s">
        <v>470</v>
      </c>
      <c r="B41" s="1">
        <v>6523617</v>
      </c>
      <c r="C41" s="21" t="s">
        <v>83</v>
      </c>
    </row>
    <row r="42" spans="1:3" x14ac:dyDescent="0.25">
      <c r="A42" s="17" t="s">
        <v>470</v>
      </c>
      <c r="B42" s="1">
        <v>6899191</v>
      </c>
      <c r="C42" s="21" t="s">
        <v>35</v>
      </c>
    </row>
    <row r="43" spans="1:3" x14ac:dyDescent="0.25">
      <c r="A43" s="17" t="s">
        <v>470</v>
      </c>
      <c r="B43" s="1">
        <v>7991468</v>
      </c>
      <c r="C43" s="21" t="s">
        <v>36</v>
      </c>
    </row>
    <row r="44" spans="1:3" x14ac:dyDescent="0.25">
      <c r="A44" s="17" t="s">
        <v>470</v>
      </c>
      <c r="B44" s="1">
        <v>8050347</v>
      </c>
      <c r="C44" s="21" t="s">
        <v>42</v>
      </c>
    </row>
    <row r="45" spans="1:3" x14ac:dyDescent="0.25">
      <c r="A45" s="17" t="s">
        <v>470</v>
      </c>
      <c r="B45" s="1">
        <v>9936017</v>
      </c>
      <c r="C45" s="21" t="s">
        <v>43</v>
      </c>
    </row>
    <row r="46" spans="1:3" x14ac:dyDescent="0.25">
      <c r="A46" s="17" t="s">
        <v>470</v>
      </c>
      <c r="B46" s="1">
        <v>10533753</v>
      </c>
      <c r="C46" s="21" t="s">
        <v>44</v>
      </c>
    </row>
    <row r="47" spans="1:3" x14ac:dyDescent="0.25">
      <c r="A47" s="17" t="s">
        <v>470</v>
      </c>
      <c r="B47" s="1">
        <v>10615718</v>
      </c>
      <c r="C47" s="21" t="s">
        <v>68</v>
      </c>
    </row>
    <row r="48" spans="1:3" x14ac:dyDescent="0.25">
      <c r="A48" s="17" t="s">
        <v>470</v>
      </c>
      <c r="B48" s="1">
        <v>10788636</v>
      </c>
      <c r="C48" s="21" t="s">
        <v>99</v>
      </c>
    </row>
    <row r="49" spans="1:3" x14ac:dyDescent="0.25">
      <c r="A49" s="17" t="s">
        <v>470</v>
      </c>
      <c r="B49" s="1">
        <v>11666165</v>
      </c>
      <c r="C49" s="21" t="s">
        <v>30</v>
      </c>
    </row>
    <row r="50" spans="1:3" x14ac:dyDescent="0.25">
      <c r="A50" s="17" t="s">
        <v>470</v>
      </c>
      <c r="B50" s="1">
        <v>11666812</v>
      </c>
      <c r="C50" s="21" t="s">
        <v>69</v>
      </c>
    </row>
    <row r="51" spans="1:3" x14ac:dyDescent="0.25">
      <c r="A51" s="17" t="s">
        <v>470</v>
      </c>
      <c r="B51" s="1">
        <v>11704074</v>
      </c>
      <c r="C51" s="21" t="s">
        <v>37</v>
      </c>
    </row>
    <row r="52" spans="1:3" x14ac:dyDescent="0.25">
      <c r="A52" s="17" t="s">
        <v>470</v>
      </c>
      <c r="B52" s="1">
        <v>11921508</v>
      </c>
      <c r="C52" s="21" t="s">
        <v>45</v>
      </c>
    </row>
    <row r="53" spans="1:3" x14ac:dyDescent="0.25">
      <c r="A53" s="17" t="s">
        <v>470</v>
      </c>
      <c r="B53" s="1">
        <v>12061026</v>
      </c>
      <c r="C53" s="21" t="s">
        <v>98</v>
      </c>
    </row>
    <row r="54" spans="1:3" x14ac:dyDescent="0.25">
      <c r="A54" s="17" t="s">
        <v>470</v>
      </c>
      <c r="B54" s="1">
        <v>12287719</v>
      </c>
      <c r="C54" s="21" t="s">
        <v>46</v>
      </c>
    </row>
    <row r="55" spans="1:3" x14ac:dyDescent="0.25">
      <c r="A55" s="17" t="s">
        <v>470</v>
      </c>
      <c r="B55" s="1">
        <v>12608804</v>
      </c>
      <c r="C55" s="21" t="s">
        <v>31</v>
      </c>
    </row>
    <row r="56" spans="1:3" x14ac:dyDescent="0.25">
      <c r="A56" s="17" t="s">
        <v>470</v>
      </c>
      <c r="B56" s="1">
        <v>12783215</v>
      </c>
      <c r="C56" s="21" t="s">
        <v>70</v>
      </c>
    </row>
    <row r="57" spans="1:3" x14ac:dyDescent="0.25">
      <c r="A57" s="17" t="s">
        <v>470</v>
      </c>
      <c r="B57" s="1">
        <v>12866508</v>
      </c>
      <c r="C57" s="21" t="s">
        <v>32</v>
      </c>
    </row>
    <row r="58" spans="1:3" x14ac:dyDescent="0.25">
      <c r="A58" s="17" t="s">
        <v>470</v>
      </c>
      <c r="B58" s="1">
        <v>13217154</v>
      </c>
      <c r="C58" s="21" t="s">
        <v>71</v>
      </c>
    </row>
    <row r="59" spans="1:3" x14ac:dyDescent="0.25">
      <c r="A59" s="17" t="s">
        <v>470</v>
      </c>
      <c r="B59" s="1">
        <v>13319654</v>
      </c>
      <c r="C59" s="21" t="s">
        <v>47</v>
      </c>
    </row>
    <row r="60" spans="1:3" x14ac:dyDescent="0.25">
      <c r="A60" s="17" t="s">
        <v>470</v>
      </c>
      <c r="B60" s="1">
        <v>13423798</v>
      </c>
      <c r="C60" s="21" t="s">
        <v>49</v>
      </c>
    </row>
    <row r="61" spans="1:3" x14ac:dyDescent="0.25">
      <c r="A61" s="17" t="s">
        <v>470</v>
      </c>
      <c r="B61" s="1">
        <v>13538469</v>
      </c>
      <c r="C61" s="21" t="s">
        <v>48</v>
      </c>
    </row>
    <row r="62" spans="1:3" x14ac:dyDescent="0.25">
      <c r="A62" s="17" t="s">
        <v>470</v>
      </c>
      <c r="B62" s="1">
        <v>13631359</v>
      </c>
      <c r="C62" s="21" t="s">
        <v>50</v>
      </c>
    </row>
    <row r="63" spans="1:3" x14ac:dyDescent="0.25">
      <c r="A63" s="17" t="s">
        <v>470</v>
      </c>
      <c r="B63" s="1">
        <v>13717013</v>
      </c>
      <c r="C63" s="21" t="s">
        <v>51</v>
      </c>
    </row>
    <row r="64" spans="1:3" x14ac:dyDescent="0.25">
      <c r="A64" s="17" t="s">
        <v>470</v>
      </c>
      <c r="B64" s="1">
        <v>14196977</v>
      </c>
      <c r="C64" s="21" t="s">
        <v>52</v>
      </c>
    </row>
    <row r="65" spans="1:3" x14ac:dyDescent="0.25">
      <c r="A65" s="17" t="s">
        <v>470</v>
      </c>
      <c r="B65" s="1">
        <v>14472161</v>
      </c>
      <c r="C65" s="21" t="s">
        <v>53</v>
      </c>
    </row>
    <row r="66" spans="1:3" x14ac:dyDescent="0.25">
      <c r="A66" s="17" t="s">
        <v>470</v>
      </c>
      <c r="B66" s="1">
        <v>14575995</v>
      </c>
      <c r="C66" s="21" t="s">
        <v>90</v>
      </c>
    </row>
    <row r="67" spans="1:3" x14ac:dyDescent="0.25">
      <c r="A67" s="17" t="s">
        <v>470</v>
      </c>
      <c r="B67" s="1">
        <v>14678294</v>
      </c>
      <c r="C67" s="21" t="s">
        <v>72</v>
      </c>
    </row>
    <row r="68" spans="1:3" x14ac:dyDescent="0.25">
      <c r="A68" s="17" t="s">
        <v>470</v>
      </c>
      <c r="B68" s="1">
        <v>14688130</v>
      </c>
      <c r="C68" s="21" t="s">
        <v>54</v>
      </c>
    </row>
    <row r="69" spans="1:3" x14ac:dyDescent="0.25">
      <c r="A69" s="17" t="s">
        <v>470</v>
      </c>
      <c r="B69" s="1">
        <v>16083898</v>
      </c>
      <c r="C69" s="21" t="s">
        <v>56</v>
      </c>
    </row>
    <row r="70" spans="1:3" x14ac:dyDescent="0.25">
      <c r="A70" s="17" t="s">
        <v>470</v>
      </c>
      <c r="B70" s="1">
        <v>16091842</v>
      </c>
      <c r="C70" s="21" t="s">
        <v>55</v>
      </c>
    </row>
    <row r="71" spans="1:3" x14ac:dyDescent="0.25">
      <c r="A71" s="17" t="s">
        <v>470</v>
      </c>
      <c r="B71" s="1">
        <v>16452265</v>
      </c>
      <c r="C71" s="21" t="s">
        <v>57</v>
      </c>
    </row>
    <row r="72" spans="1:3" x14ac:dyDescent="0.25">
      <c r="A72" s="17" t="s">
        <v>470</v>
      </c>
      <c r="B72" s="1">
        <v>16857724</v>
      </c>
      <c r="C72" s="21" t="s">
        <v>59</v>
      </c>
    </row>
    <row r="73" spans="1:3" x14ac:dyDescent="0.25">
      <c r="A73" s="17" t="s">
        <v>470</v>
      </c>
      <c r="B73" s="1">
        <v>17167810</v>
      </c>
      <c r="C73" s="21" t="s">
        <v>60</v>
      </c>
    </row>
    <row r="74" spans="1:3" x14ac:dyDescent="0.25">
      <c r="A74" s="17" t="s">
        <v>470</v>
      </c>
      <c r="B74" s="1">
        <v>17168926</v>
      </c>
      <c r="C74" s="21" t="s">
        <v>61</v>
      </c>
    </row>
    <row r="75" spans="1:3" x14ac:dyDescent="0.25">
      <c r="A75" s="17" t="s">
        <v>470</v>
      </c>
      <c r="B75" s="1">
        <v>17235769</v>
      </c>
      <c r="C75" s="21" t="s">
        <v>58</v>
      </c>
    </row>
    <row r="76" spans="1:3" x14ac:dyDescent="0.25">
      <c r="A76" s="17" t="s">
        <v>470</v>
      </c>
      <c r="B76" s="1">
        <v>17758362</v>
      </c>
      <c r="C76" s="21" t="s">
        <v>91</v>
      </c>
    </row>
    <row r="77" spans="1:3" x14ac:dyDescent="0.25">
      <c r="A77" s="17" t="s">
        <v>470</v>
      </c>
      <c r="B77" s="1">
        <v>18132901</v>
      </c>
      <c r="C77" s="21" t="s">
        <v>62</v>
      </c>
    </row>
    <row r="78" spans="1:3" x14ac:dyDescent="0.25">
      <c r="A78" s="17" t="s">
        <v>470</v>
      </c>
      <c r="B78" s="1">
        <v>18497916</v>
      </c>
      <c r="C78" s="21" t="s">
        <v>63</v>
      </c>
    </row>
    <row r="79" spans="1:3" x14ac:dyDescent="0.25">
      <c r="A79" s="17" t="s">
        <v>470</v>
      </c>
      <c r="B79" s="1">
        <v>18599866</v>
      </c>
      <c r="C79" s="21" t="s">
        <v>64</v>
      </c>
    </row>
    <row r="80" spans="1:3" x14ac:dyDescent="0.25">
      <c r="A80" s="17" t="s">
        <v>470</v>
      </c>
      <c r="B80" s="1">
        <v>18708245</v>
      </c>
      <c r="C80" s="21" t="s">
        <v>65</v>
      </c>
    </row>
    <row r="81" spans="1:3" x14ac:dyDescent="0.25">
      <c r="A81" s="17" t="s">
        <v>470</v>
      </c>
      <c r="B81" s="1">
        <v>18760583</v>
      </c>
      <c r="C81" s="21" t="s">
        <v>73</v>
      </c>
    </row>
    <row r="82" spans="1:3" x14ac:dyDescent="0.25">
      <c r="A82" s="17" t="s">
        <v>470</v>
      </c>
      <c r="B82" s="1">
        <v>19821716</v>
      </c>
      <c r="C82" s="21" t="s">
        <v>76</v>
      </c>
    </row>
    <row r="83" spans="1:3" x14ac:dyDescent="0.25">
      <c r="A83" s="17" t="s">
        <v>470</v>
      </c>
      <c r="B83" s="1">
        <v>19967382</v>
      </c>
      <c r="C83" s="21" t="s">
        <v>74</v>
      </c>
    </row>
    <row r="84" spans="1:3" x14ac:dyDescent="0.25">
      <c r="A84" s="17" t="s">
        <v>470</v>
      </c>
      <c r="B84" s="1">
        <v>20638131</v>
      </c>
      <c r="C84" s="21" t="s">
        <v>84</v>
      </c>
    </row>
    <row r="85" spans="1:3" x14ac:dyDescent="0.25">
      <c r="A85" s="17" t="s">
        <v>470</v>
      </c>
      <c r="B85" s="1">
        <v>20870242</v>
      </c>
      <c r="C85" s="21" t="s">
        <v>85</v>
      </c>
    </row>
    <row r="86" spans="1:3" x14ac:dyDescent="0.25">
      <c r="A86" s="17" t="s">
        <v>470</v>
      </c>
      <c r="B86" s="1">
        <v>21254964</v>
      </c>
      <c r="C86" s="21" t="s">
        <v>75</v>
      </c>
    </row>
    <row r="87" spans="1:3" x14ac:dyDescent="0.25">
      <c r="A87" s="17" t="s">
        <v>470</v>
      </c>
      <c r="B87" s="1">
        <v>21481895</v>
      </c>
      <c r="C87" s="21" t="s">
        <v>89</v>
      </c>
    </row>
    <row r="88" spans="1:3" x14ac:dyDescent="0.25">
      <c r="A88" s="17" t="s">
        <v>470</v>
      </c>
      <c r="B88" s="1">
        <v>22381150</v>
      </c>
      <c r="C88" s="21" t="s">
        <v>490</v>
      </c>
    </row>
    <row r="89" spans="1:3" x14ac:dyDescent="0.25">
      <c r="A89" s="17" t="s">
        <v>470</v>
      </c>
      <c r="B89" s="1">
        <v>22381833</v>
      </c>
      <c r="C89" s="21" t="s">
        <v>92</v>
      </c>
    </row>
    <row r="90" spans="1:3" x14ac:dyDescent="0.25">
      <c r="A90" s="17" t="s">
        <v>470</v>
      </c>
      <c r="B90" s="1">
        <v>22754834</v>
      </c>
      <c r="C90" s="21" t="s">
        <v>93</v>
      </c>
    </row>
    <row r="91" spans="1:3" x14ac:dyDescent="0.25">
      <c r="A91" s="17" t="s">
        <v>470</v>
      </c>
      <c r="B91" s="1">
        <v>23000253</v>
      </c>
      <c r="C91" s="21" t="s">
        <v>94</v>
      </c>
    </row>
    <row r="92" spans="1:3" x14ac:dyDescent="0.25">
      <c r="A92" s="17" t="s">
        <v>470</v>
      </c>
      <c r="B92" s="1">
        <v>23654515</v>
      </c>
      <c r="C92" s="21" t="s">
        <v>95</v>
      </c>
    </row>
    <row r="93" spans="1:3" x14ac:dyDescent="0.25">
      <c r="A93" s="17" t="s">
        <v>470</v>
      </c>
      <c r="B93" s="1">
        <v>23713790</v>
      </c>
      <c r="C93" s="21" t="s">
        <v>96</v>
      </c>
    </row>
    <row r="94" spans="1:3" x14ac:dyDescent="0.25">
      <c r="A94" s="17" t="s">
        <v>470</v>
      </c>
      <c r="B94" s="1">
        <v>23947177</v>
      </c>
      <c r="C94" s="21" t="s">
        <v>97</v>
      </c>
    </row>
    <row r="95" spans="1:3" x14ac:dyDescent="0.25">
      <c r="A95" s="17" t="s">
        <v>470</v>
      </c>
      <c r="B95" s="1">
        <v>24886941</v>
      </c>
      <c r="C95" s="21" t="s">
        <v>77</v>
      </c>
    </row>
    <row r="96" spans="1:3" x14ac:dyDescent="0.25">
      <c r="A96" s="17" t="s">
        <v>470</v>
      </c>
      <c r="B96" s="1">
        <v>25504461</v>
      </c>
      <c r="C96" s="21" t="s">
        <v>100</v>
      </c>
    </row>
    <row r="97" spans="1:3" x14ac:dyDescent="0.25">
      <c r="A97" s="17" t="s">
        <v>470</v>
      </c>
      <c r="B97" s="1">
        <v>26303376</v>
      </c>
      <c r="C97" s="21" t="s">
        <v>38</v>
      </c>
    </row>
    <row r="98" spans="1:3" x14ac:dyDescent="0.25">
      <c r="A98" s="17" t="s">
        <v>470</v>
      </c>
      <c r="B98" s="1">
        <v>26421691</v>
      </c>
      <c r="C98" s="21" t="s">
        <v>78</v>
      </c>
    </row>
    <row r="99" spans="1:3" x14ac:dyDescent="0.25">
      <c r="A99" s="17" t="s">
        <v>470</v>
      </c>
      <c r="B99" s="1">
        <v>26588621</v>
      </c>
      <c r="C99" s="21" t="s">
        <v>86</v>
      </c>
    </row>
    <row r="100" spans="1:3" x14ac:dyDescent="0.25">
      <c r="A100" s="17" t="s">
        <v>470</v>
      </c>
      <c r="B100" s="1">
        <v>26715533</v>
      </c>
      <c r="C100" s="21" t="s">
        <v>66</v>
      </c>
    </row>
    <row r="101" spans="1:3" x14ac:dyDescent="0.25">
      <c r="A101" s="17" t="s">
        <v>470</v>
      </c>
      <c r="B101" s="1">
        <v>26866601</v>
      </c>
      <c r="C101" s="21" t="s">
        <v>79</v>
      </c>
    </row>
    <row r="102" spans="1:3" x14ac:dyDescent="0.25">
      <c r="A102" s="17" t="s">
        <v>470</v>
      </c>
      <c r="B102" s="1">
        <v>26991445</v>
      </c>
      <c r="C102" s="21" t="s">
        <v>80</v>
      </c>
    </row>
    <row r="103" spans="1:3" x14ac:dyDescent="0.25">
      <c r="A103" s="17" t="s">
        <v>470</v>
      </c>
      <c r="B103" s="1">
        <v>27163180</v>
      </c>
      <c r="C103" s="21" t="s">
        <v>81</v>
      </c>
    </row>
    <row r="104" spans="1:3" x14ac:dyDescent="0.25">
      <c r="A104" s="17" t="s">
        <v>470</v>
      </c>
      <c r="B104" s="1">
        <v>27894304</v>
      </c>
      <c r="C104" s="21" t="s">
        <v>67</v>
      </c>
    </row>
    <row r="105" spans="1:3" x14ac:dyDescent="0.25">
      <c r="A105" s="17" t="s">
        <v>470</v>
      </c>
      <c r="B105" s="2">
        <v>28337714</v>
      </c>
      <c r="C105" s="21" t="s">
        <v>82</v>
      </c>
    </row>
    <row r="106" spans="1:3" x14ac:dyDescent="0.25">
      <c r="A106" s="17" t="s">
        <v>470</v>
      </c>
      <c r="B106" s="2">
        <v>4884311</v>
      </c>
      <c r="C106" s="21" t="s">
        <v>102</v>
      </c>
    </row>
    <row r="107" spans="1:3" x14ac:dyDescent="0.25">
      <c r="A107" s="17" t="s">
        <v>470</v>
      </c>
      <c r="B107" s="6">
        <v>6523617</v>
      </c>
      <c r="C107" s="21" t="s">
        <v>83</v>
      </c>
    </row>
    <row r="108" spans="1:3" x14ac:dyDescent="0.25">
      <c r="A108" s="17" t="s">
        <v>470</v>
      </c>
      <c r="B108" s="2">
        <v>6526019</v>
      </c>
      <c r="C108" s="21" t="s">
        <v>104</v>
      </c>
    </row>
    <row r="109" spans="1:3" x14ac:dyDescent="0.25">
      <c r="A109" s="17" t="s">
        <v>471</v>
      </c>
      <c r="B109" s="2">
        <v>2644335</v>
      </c>
      <c r="C109" s="21" t="s">
        <v>136</v>
      </c>
    </row>
    <row r="110" spans="1:3" x14ac:dyDescent="0.25">
      <c r="A110" s="17" t="s">
        <v>471</v>
      </c>
      <c r="B110" s="2">
        <v>4103519</v>
      </c>
      <c r="C110" s="21" t="s">
        <v>178</v>
      </c>
    </row>
    <row r="111" spans="1:3" x14ac:dyDescent="0.25">
      <c r="A111" s="17" t="s">
        <v>471</v>
      </c>
      <c r="B111" s="1">
        <v>4352901</v>
      </c>
      <c r="C111" s="21" t="s">
        <v>179</v>
      </c>
    </row>
    <row r="112" spans="1:3" x14ac:dyDescent="0.25">
      <c r="A112" s="17" t="s">
        <v>471</v>
      </c>
      <c r="B112" s="2">
        <v>4357745</v>
      </c>
      <c r="C112" s="21" t="s">
        <v>180</v>
      </c>
    </row>
    <row r="113" spans="1:3" x14ac:dyDescent="0.25">
      <c r="A113" s="17" t="s">
        <v>471</v>
      </c>
      <c r="B113" s="2">
        <v>4835012</v>
      </c>
      <c r="C113" s="21" t="s">
        <v>158</v>
      </c>
    </row>
    <row r="114" spans="1:3" x14ac:dyDescent="0.25">
      <c r="A114" s="17" t="s">
        <v>471</v>
      </c>
      <c r="B114" s="2">
        <v>5568106</v>
      </c>
      <c r="C114" s="21" t="s">
        <v>165</v>
      </c>
    </row>
    <row r="115" spans="1:3" x14ac:dyDescent="0.25">
      <c r="A115" s="17" t="s">
        <v>471</v>
      </c>
      <c r="B115" s="2">
        <v>5608964</v>
      </c>
      <c r="C115" s="21" t="s">
        <v>181</v>
      </c>
    </row>
    <row r="116" spans="1:3" x14ac:dyDescent="0.25">
      <c r="A116" s="17" t="s">
        <v>471</v>
      </c>
      <c r="B116" s="2">
        <v>5963804</v>
      </c>
      <c r="C116" s="21" t="s">
        <v>117</v>
      </c>
    </row>
    <row r="117" spans="1:3" x14ac:dyDescent="0.25">
      <c r="A117" s="17" t="s">
        <v>471</v>
      </c>
      <c r="B117" s="2">
        <v>6116489</v>
      </c>
      <c r="C117" s="21" t="s">
        <v>182</v>
      </c>
    </row>
    <row r="118" spans="1:3" x14ac:dyDescent="0.25">
      <c r="A118" s="17" t="s">
        <v>471</v>
      </c>
      <c r="B118" s="4">
        <v>6154833</v>
      </c>
      <c r="C118" s="21" t="s">
        <v>162</v>
      </c>
    </row>
    <row r="119" spans="1:3" x14ac:dyDescent="0.25">
      <c r="A119" s="17" t="s">
        <v>471</v>
      </c>
      <c r="B119" s="2">
        <v>6157935</v>
      </c>
      <c r="C119" s="21" t="s">
        <v>149</v>
      </c>
    </row>
    <row r="120" spans="1:3" x14ac:dyDescent="0.25">
      <c r="A120" s="17" t="s">
        <v>471</v>
      </c>
      <c r="B120" s="2">
        <v>6188536</v>
      </c>
      <c r="C120" s="21" t="s">
        <v>183</v>
      </c>
    </row>
    <row r="121" spans="1:3" x14ac:dyDescent="0.25">
      <c r="A121" s="17" t="s">
        <v>471</v>
      </c>
      <c r="B121" s="2">
        <v>6234194</v>
      </c>
      <c r="C121" s="21" t="s">
        <v>184</v>
      </c>
    </row>
    <row r="122" spans="1:3" x14ac:dyDescent="0.25">
      <c r="A122" s="17" t="s">
        <v>471</v>
      </c>
      <c r="B122" s="4">
        <v>6299669</v>
      </c>
      <c r="C122" s="21" t="s">
        <v>185</v>
      </c>
    </row>
    <row r="123" spans="1:3" x14ac:dyDescent="0.25">
      <c r="A123" s="17" t="s">
        <v>471</v>
      </c>
      <c r="B123" s="2">
        <v>6302412</v>
      </c>
      <c r="C123" s="21" t="s">
        <v>186</v>
      </c>
    </row>
    <row r="124" spans="1:3" x14ac:dyDescent="0.25">
      <c r="A124" s="17" t="s">
        <v>471</v>
      </c>
      <c r="B124" s="2">
        <v>6307719</v>
      </c>
      <c r="C124" s="21" t="s">
        <v>187</v>
      </c>
    </row>
    <row r="125" spans="1:3" x14ac:dyDescent="0.25">
      <c r="A125" s="17" t="s">
        <v>471</v>
      </c>
      <c r="B125" s="5">
        <v>6316723</v>
      </c>
      <c r="C125" s="21" t="s">
        <v>163</v>
      </c>
    </row>
    <row r="126" spans="1:3" x14ac:dyDescent="0.25">
      <c r="A126" s="17" t="s">
        <v>471</v>
      </c>
      <c r="B126" s="2">
        <v>6330974</v>
      </c>
      <c r="C126" s="21" t="s">
        <v>171</v>
      </c>
    </row>
    <row r="127" spans="1:3" x14ac:dyDescent="0.25">
      <c r="A127" s="17" t="s">
        <v>471</v>
      </c>
      <c r="B127" s="2">
        <v>6344146</v>
      </c>
      <c r="C127" s="21" t="s">
        <v>170</v>
      </c>
    </row>
    <row r="128" spans="1:3" x14ac:dyDescent="0.25">
      <c r="A128" s="17" t="s">
        <v>471</v>
      </c>
      <c r="B128" s="2">
        <v>6421113</v>
      </c>
      <c r="C128" s="21" t="s">
        <v>188</v>
      </c>
    </row>
    <row r="129" spans="1:3" x14ac:dyDescent="0.25">
      <c r="A129" s="17" t="s">
        <v>471</v>
      </c>
      <c r="B129" s="2">
        <v>6521056</v>
      </c>
      <c r="C129" s="21" t="s">
        <v>189</v>
      </c>
    </row>
    <row r="130" spans="1:3" x14ac:dyDescent="0.25">
      <c r="A130" s="17" t="s">
        <v>471</v>
      </c>
      <c r="B130" s="2">
        <v>6553850</v>
      </c>
      <c r="C130" s="21" t="s">
        <v>190</v>
      </c>
    </row>
    <row r="131" spans="1:3" x14ac:dyDescent="0.25">
      <c r="A131" s="17" t="s">
        <v>471</v>
      </c>
      <c r="B131" s="2">
        <v>6671780</v>
      </c>
      <c r="C131" s="21" t="s">
        <v>168</v>
      </c>
    </row>
    <row r="132" spans="1:3" x14ac:dyDescent="0.25">
      <c r="A132" s="17" t="s">
        <v>471</v>
      </c>
      <c r="B132" s="5">
        <v>6692649</v>
      </c>
      <c r="C132" s="21" t="s">
        <v>147</v>
      </c>
    </row>
    <row r="133" spans="1:3" x14ac:dyDescent="0.25">
      <c r="A133" s="17" t="s">
        <v>471</v>
      </c>
      <c r="B133" s="2">
        <v>6692650</v>
      </c>
      <c r="C133" s="21" t="s">
        <v>191</v>
      </c>
    </row>
    <row r="134" spans="1:3" x14ac:dyDescent="0.25">
      <c r="A134" s="17" t="s">
        <v>471</v>
      </c>
      <c r="B134" s="2">
        <v>6852865</v>
      </c>
      <c r="C134" s="21" t="s">
        <v>140</v>
      </c>
    </row>
    <row r="135" spans="1:3" x14ac:dyDescent="0.25">
      <c r="A135" s="17" t="s">
        <v>471</v>
      </c>
      <c r="B135" s="2">
        <v>6855894</v>
      </c>
      <c r="C135" s="21" t="s">
        <v>115</v>
      </c>
    </row>
    <row r="136" spans="1:3" x14ac:dyDescent="0.25">
      <c r="A136" s="17" t="s">
        <v>471</v>
      </c>
      <c r="B136" s="5">
        <v>6859321</v>
      </c>
      <c r="C136" s="21" t="s">
        <v>113</v>
      </c>
    </row>
    <row r="137" spans="1:3" x14ac:dyDescent="0.25">
      <c r="A137" s="17" t="s">
        <v>471</v>
      </c>
      <c r="B137" s="2">
        <v>6862537</v>
      </c>
      <c r="C137" s="21" t="s">
        <v>192</v>
      </c>
    </row>
    <row r="138" spans="1:3" x14ac:dyDescent="0.25">
      <c r="A138" s="17" t="s">
        <v>471</v>
      </c>
      <c r="B138" s="2">
        <v>6867697</v>
      </c>
      <c r="C138" s="21" t="s">
        <v>193</v>
      </c>
    </row>
    <row r="139" spans="1:3" x14ac:dyDescent="0.25">
      <c r="A139" s="17" t="s">
        <v>471</v>
      </c>
      <c r="B139" s="2">
        <v>6877349</v>
      </c>
      <c r="C139" s="21" t="s">
        <v>176</v>
      </c>
    </row>
    <row r="140" spans="1:3" x14ac:dyDescent="0.25">
      <c r="A140" s="17" t="s">
        <v>471</v>
      </c>
      <c r="B140" s="2">
        <v>6901545</v>
      </c>
      <c r="C140" s="21" t="s">
        <v>151</v>
      </c>
    </row>
    <row r="141" spans="1:3" x14ac:dyDescent="0.25">
      <c r="A141" s="17" t="s">
        <v>471</v>
      </c>
      <c r="B141" s="2">
        <v>6916826</v>
      </c>
      <c r="C141" s="21" t="s">
        <v>157</v>
      </c>
    </row>
    <row r="142" spans="1:3" x14ac:dyDescent="0.25">
      <c r="A142" s="17" t="s">
        <v>471</v>
      </c>
      <c r="B142" s="6">
        <v>6932228</v>
      </c>
      <c r="C142" s="21" t="s">
        <v>129</v>
      </c>
    </row>
    <row r="143" spans="1:3" x14ac:dyDescent="0.25">
      <c r="A143" s="17" t="s">
        <v>471</v>
      </c>
      <c r="B143" s="2">
        <v>6963025</v>
      </c>
      <c r="C143" s="21" t="s">
        <v>194</v>
      </c>
    </row>
    <row r="144" spans="1:3" x14ac:dyDescent="0.25">
      <c r="A144" s="17" t="s">
        <v>471</v>
      </c>
      <c r="B144" s="7">
        <v>6965440</v>
      </c>
      <c r="C144" s="21" t="s">
        <v>195</v>
      </c>
    </row>
    <row r="145" spans="1:3" x14ac:dyDescent="0.25">
      <c r="A145" s="17" t="s">
        <v>471</v>
      </c>
      <c r="B145" s="2">
        <v>6965462</v>
      </c>
      <c r="C145" s="21" t="s">
        <v>196</v>
      </c>
    </row>
    <row r="146" spans="1:3" x14ac:dyDescent="0.25">
      <c r="A146" s="17" t="s">
        <v>471</v>
      </c>
      <c r="B146" s="2">
        <v>6968417</v>
      </c>
      <c r="C146" s="21" t="s">
        <v>197</v>
      </c>
    </row>
    <row r="147" spans="1:3" x14ac:dyDescent="0.25">
      <c r="A147" s="17" t="s">
        <v>471</v>
      </c>
      <c r="B147" s="8">
        <v>7082265</v>
      </c>
      <c r="C147" s="21" t="s">
        <v>139</v>
      </c>
    </row>
    <row r="148" spans="1:3" x14ac:dyDescent="0.25">
      <c r="A148" s="17" t="s">
        <v>471</v>
      </c>
      <c r="B148" s="2">
        <v>7922201</v>
      </c>
      <c r="C148" s="21" t="s">
        <v>156</v>
      </c>
    </row>
    <row r="149" spans="1:3" x14ac:dyDescent="0.25">
      <c r="A149" s="17" t="s">
        <v>471</v>
      </c>
      <c r="B149" s="2">
        <v>7928721</v>
      </c>
      <c r="C149" s="21" t="s">
        <v>198</v>
      </c>
    </row>
    <row r="150" spans="1:3" x14ac:dyDescent="0.25">
      <c r="A150" s="17" t="s">
        <v>471</v>
      </c>
      <c r="B150" s="2">
        <v>7953728</v>
      </c>
      <c r="C150" s="21" t="s">
        <v>199</v>
      </c>
    </row>
    <row r="151" spans="1:3" x14ac:dyDescent="0.25">
      <c r="A151" s="17" t="s">
        <v>471</v>
      </c>
      <c r="B151" s="5">
        <v>7990710</v>
      </c>
      <c r="C151" s="21" t="s">
        <v>200</v>
      </c>
    </row>
    <row r="152" spans="1:3" x14ac:dyDescent="0.25">
      <c r="A152" s="17" t="s">
        <v>471</v>
      </c>
      <c r="B152" s="2">
        <v>8104790</v>
      </c>
      <c r="C152" s="21" t="s">
        <v>142</v>
      </c>
    </row>
    <row r="153" spans="1:3" x14ac:dyDescent="0.25">
      <c r="A153" s="17" t="s">
        <v>471</v>
      </c>
      <c r="B153" s="2">
        <v>8185922</v>
      </c>
      <c r="C153" s="21" t="s">
        <v>201</v>
      </c>
    </row>
    <row r="154" spans="1:3" x14ac:dyDescent="0.25">
      <c r="A154" s="17" t="s">
        <v>471</v>
      </c>
      <c r="B154" s="6">
        <v>8479170</v>
      </c>
      <c r="C154" s="21" t="s">
        <v>202</v>
      </c>
    </row>
    <row r="155" spans="1:3" x14ac:dyDescent="0.25">
      <c r="A155" s="17" t="s">
        <v>471</v>
      </c>
      <c r="B155" s="8">
        <v>8593916</v>
      </c>
      <c r="C155" s="21" t="s">
        <v>203</v>
      </c>
    </row>
    <row r="156" spans="1:3" x14ac:dyDescent="0.25">
      <c r="A156" s="17" t="s">
        <v>471</v>
      </c>
      <c r="B156" s="2">
        <v>8744969</v>
      </c>
      <c r="C156" s="21" t="s">
        <v>204</v>
      </c>
    </row>
    <row r="157" spans="1:3" x14ac:dyDescent="0.25">
      <c r="A157" s="17" t="s">
        <v>471</v>
      </c>
      <c r="B157" s="2">
        <v>8798104</v>
      </c>
      <c r="C157" s="21" t="s">
        <v>205</v>
      </c>
    </row>
    <row r="158" spans="1:3" x14ac:dyDescent="0.25">
      <c r="A158" s="17" t="s">
        <v>471</v>
      </c>
      <c r="B158" s="8">
        <v>8928635</v>
      </c>
      <c r="C158" s="21" t="s">
        <v>112</v>
      </c>
    </row>
    <row r="159" spans="1:3" x14ac:dyDescent="0.25">
      <c r="A159" s="17" t="s">
        <v>471</v>
      </c>
      <c r="B159" s="2">
        <v>8958592</v>
      </c>
      <c r="C159" s="21" t="s">
        <v>138</v>
      </c>
    </row>
    <row r="160" spans="1:3" x14ac:dyDescent="0.25">
      <c r="A160" s="17" t="s">
        <v>471</v>
      </c>
      <c r="B160" s="2">
        <v>9064070</v>
      </c>
      <c r="C160" s="21" t="s">
        <v>206</v>
      </c>
    </row>
    <row r="161" spans="1:3" x14ac:dyDescent="0.25">
      <c r="A161" s="17" t="s">
        <v>471</v>
      </c>
      <c r="B161" s="2">
        <v>9088654</v>
      </c>
      <c r="C161" s="21" t="s">
        <v>109</v>
      </c>
    </row>
    <row r="162" spans="1:3" x14ac:dyDescent="0.25">
      <c r="A162" s="17" t="s">
        <v>471</v>
      </c>
      <c r="B162" s="2">
        <v>9097597</v>
      </c>
      <c r="C162" s="21" t="s">
        <v>207</v>
      </c>
    </row>
    <row r="163" spans="1:3" x14ac:dyDescent="0.25">
      <c r="A163" s="17" t="s">
        <v>471</v>
      </c>
      <c r="B163" s="2">
        <v>9417315</v>
      </c>
      <c r="C163" s="21" t="s">
        <v>208</v>
      </c>
    </row>
    <row r="164" spans="1:3" x14ac:dyDescent="0.25">
      <c r="A164" s="17" t="s">
        <v>471</v>
      </c>
      <c r="B164" s="2">
        <v>9420460</v>
      </c>
      <c r="C164" s="21" t="s">
        <v>107</v>
      </c>
    </row>
    <row r="165" spans="1:3" x14ac:dyDescent="0.25">
      <c r="A165" s="17" t="s">
        <v>471</v>
      </c>
      <c r="B165" s="2">
        <v>9953242</v>
      </c>
      <c r="C165" s="21" t="s">
        <v>135</v>
      </c>
    </row>
    <row r="166" spans="1:3" x14ac:dyDescent="0.25">
      <c r="A166" s="17" t="s">
        <v>471</v>
      </c>
      <c r="B166" s="2">
        <v>9960427</v>
      </c>
      <c r="C166" s="21" t="s">
        <v>209</v>
      </c>
    </row>
    <row r="167" spans="1:3" x14ac:dyDescent="0.25">
      <c r="A167" s="17" t="s">
        <v>471</v>
      </c>
      <c r="B167" s="2">
        <v>9961370</v>
      </c>
      <c r="C167" s="21" t="s">
        <v>131</v>
      </c>
    </row>
    <row r="168" spans="1:3" x14ac:dyDescent="0.25">
      <c r="A168" s="17" t="s">
        <v>471</v>
      </c>
      <c r="B168" s="8">
        <v>9962492</v>
      </c>
      <c r="C168" s="21" t="s">
        <v>210</v>
      </c>
    </row>
    <row r="169" spans="1:3" x14ac:dyDescent="0.25">
      <c r="A169" s="17" t="s">
        <v>471</v>
      </c>
      <c r="B169" s="2">
        <v>9995555</v>
      </c>
      <c r="C169" s="21" t="s">
        <v>169</v>
      </c>
    </row>
    <row r="170" spans="1:3" x14ac:dyDescent="0.25">
      <c r="A170" s="17" t="s">
        <v>471</v>
      </c>
      <c r="B170" s="2">
        <v>10099361</v>
      </c>
      <c r="C170" s="21" t="s">
        <v>211</v>
      </c>
    </row>
    <row r="171" spans="1:3" x14ac:dyDescent="0.25">
      <c r="A171" s="17" t="s">
        <v>471</v>
      </c>
      <c r="B171" s="2">
        <v>10219318</v>
      </c>
      <c r="C171" s="21" t="s">
        <v>172</v>
      </c>
    </row>
    <row r="172" spans="1:3" x14ac:dyDescent="0.25">
      <c r="A172" s="17" t="s">
        <v>471</v>
      </c>
      <c r="B172" s="2">
        <v>10313631</v>
      </c>
      <c r="C172" s="21" t="s">
        <v>212</v>
      </c>
    </row>
    <row r="173" spans="1:3" x14ac:dyDescent="0.25">
      <c r="A173" s="17" t="s">
        <v>471</v>
      </c>
      <c r="B173" s="2">
        <v>10335016</v>
      </c>
      <c r="C173" s="21" t="s">
        <v>213</v>
      </c>
    </row>
    <row r="174" spans="1:3" x14ac:dyDescent="0.25">
      <c r="A174" s="17" t="s">
        <v>471</v>
      </c>
      <c r="B174" s="2">
        <v>10347465</v>
      </c>
      <c r="C174" s="21" t="s">
        <v>214</v>
      </c>
    </row>
    <row r="175" spans="1:3" x14ac:dyDescent="0.25">
      <c r="A175" s="17" t="s">
        <v>471</v>
      </c>
      <c r="B175" s="5">
        <v>10375277</v>
      </c>
      <c r="C175" s="21" t="s">
        <v>215</v>
      </c>
    </row>
    <row r="176" spans="1:3" x14ac:dyDescent="0.25">
      <c r="A176" s="17" t="s">
        <v>471</v>
      </c>
      <c r="B176" s="2">
        <v>10376653</v>
      </c>
      <c r="C176" s="21" t="s">
        <v>216</v>
      </c>
    </row>
    <row r="177" spans="1:3" x14ac:dyDescent="0.25">
      <c r="A177" s="17" t="s">
        <v>471</v>
      </c>
      <c r="B177" s="1">
        <v>10379575</v>
      </c>
      <c r="C177" s="21" t="s">
        <v>217</v>
      </c>
    </row>
    <row r="178" spans="1:3" x14ac:dyDescent="0.25">
      <c r="A178" s="17" t="s">
        <v>471</v>
      </c>
      <c r="B178" s="2">
        <v>10382319</v>
      </c>
      <c r="C178" s="21" t="s">
        <v>143</v>
      </c>
    </row>
    <row r="179" spans="1:3" x14ac:dyDescent="0.25">
      <c r="A179" s="17" t="s">
        <v>471</v>
      </c>
      <c r="B179" s="2">
        <v>10392346</v>
      </c>
      <c r="C179" s="21" t="s">
        <v>141</v>
      </c>
    </row>
    <row r="180" spans="1:3" x14ac:dyDescent="0.25">
      <c r="A180" s="17" t="s">
        <v>471</v>
      </c>
      <c r="B180" s="2">
        <v>10470628</v>
      </c>
      <c r="C180" s="21" t="s">
        <v>128</v>
      </c>
    </row>
    <row r="181" spans="1:3" x14ac:dyDescent="0.25">
      <c r="A181" s="17" t="s">
        <v>471</v>
      </c>
      <c r="B181" s="2">
        <v>10474497</v>
      </c>
      <c r="C181" s="21" t="s">
        <v>110</v>
      </c>
    </row>
    <row r="182" spans="1:3" x14ac:dyDescent="0.25">
      <c r="A182" s="17" t="s">
        <v>471</v>
      </c>
      <c r="B182" s="2">
        <v>10500619</v>
      </c>
      <c r="C182" s="21" t="s">
        <v>218</v>
      </c>
    </row>
    <row r="183" spans="1:3" x14ac:dyDescent="0.25">
      <c r="A183" s="17" t="s">
        <v>471</v>
      </c>
      <c r="B183" s="2">
        <v>10509014</v>
      </c>
      <c r="C183" s="21" t="s">
        <v>219</v>
      </c>
    </row>
    <row r="184" spans="1:3" x14ac:dyDescent="0.25">
      <c r="A184" s="17" t="s">
        <v>471</v>
      </c>
      <c r="B184" s="2">
        <v>10509836</v>
      </c>
      <c r="C184" s="21" t="s">
        <v>220</v>
      </c>
    </row>
    <row r="185" spans="1:3" x14ac:dyDescent="0.25">
      <c r="A185" s="17" t="s">
        <v>471</v>
      </c>
      <c r="B185" s="2">
        <v>10528106</v>
      </c>
      <c r="C185" s="21" t="s">
        <v>137</v>
      </c>
    </row>
    <row r="186" spans="1:3" x14ac:dyDescent="0.25">
      <c r="A186" s="17" t="s">
        <v>471</v>
      </c>
      <c r="B186" s="2">
        <v>10541565</v>
      </c>
      <c r="C186" s="21" t="s">
        <v>126</v>
      </c>
    </row>
    <row r="187" spans="1:3" x14ac:dyDescent="0.25">
      <c r="A187" s="17" t="s">
        <v>471</v>
      </c>
      <c r="B187" s="2">
        <v>10625420</v>
      </c>
      <c r="C187" s="21" t="s">
        <v>221</v>
      </c>
    </row>
    <row r="188" spans="1:3" x14ac:dyDescent="0.25">
      <c r="A188" s="17" t="s">
        <v>471</v>
      </c>
      <c r="B188" s="2">
        <v>10728407</v>
      </c>
      <c r="C188" s="21" t="s">
        <v>222</v>
      </c>
    </row>
    <row r="189" spans="1:3" x14ac:dyDescent="0.25">
      <c r="A189" s="17" t="s">
        <v>471</v>
      </c>
      <c r="B189" s="2">
        <v>10783446</v>
      </c>
      <c r="C189" s="21" t="s">
        <v>223</v>
      </c>
    </row>
    <row r="190" spans="1:3" x14ac:dyDescent="0.25">
      <c r="A190" s="17" t="s">
        <v>471</v>
      </c>
      <c r="B190" s="2">
        <v>10784886</v>
      </c>
      <c r="C190" s="21" t="s">
        <v>154</v>
      </c>
    </row>
    <row r="191" spans="1:3" x14ac:dyDescent="0.25">
      <c r="A191" s="17" t="s">
        <v>471</v>
      </c>
      <c r="B191" s="2">
        <v>10794199</v>
      </c>
      <c r="C191" s="21" t="s">
        <v>224</v>
      </c>
    </row>
    <row r="192" spans="1:3" x14ac:dyDescent="0.25">
      <c r="A192" s="17" t="s">
        <v>471</v>
      </c>
      <c r="B192" s="2">
        <v>10815747</v>
      </c>
      <c r="C192" s="21" t="s">
        <v>225</v>
      </c>
    </row>
    <row r="193" spans="1:3" x14ac:dyDescent="0.25">
      <c r="A193" s="17" t="s">
        <v>471</v>
      </c>
      <c r="B193" s="2">
        <v>10817216</v>
      </c>
      <c r="C193" s="21" t="s">
        <v>226</v>
      </c>
    </row>
    <row r="194" spans="1:3" x14ac:dyDescent="0.25">
      <c r="A194" s="17" t="s">
        <v>471</v>
      </c>
      <c r="B194" s="2">
        <v>10868344</v>
      </c>
      <c r="C194" s="21" t="s">
        <v>123</v>
      </c>
    </row>
    <row r="195" spans="1:3" x14ac:dyDescent="0.25">
      <c r="A195" s="17" t="s">
        <v>471</v>
      </c>
      <c r="B195" s="2">
        <v>10871376</v>
      </c>
      <c r="C195" s="21" t="s">
        <v>227</v>
      </c>
    </row>
    <row r="196" spans="1:3" x14ac:dyDescent="0.25">
      <c r="A196" s="17" t="s">
        <v>471</v>
      </c>
      <c r="B196" s="2">
        <v>10883153</v>
      </c>
      <c r="C196" s="21" t="s">
        <v>106</v>
      </c>
    </row>
    <row r="197" spans="1:3" x14ac:dyDescent="0.25">
      <c r="A197" s="17" t="s">
        <v>471</v>
      </c>
      <c r="B197" s="6">
        <v>11202341</v>
      </c>
      <c r="C197" s="21" t="s">
        <v>125</v>
      </c>
    </row>
    <row r="198" spans="1:3" x14ac:dyDescent="0.25">
      <c r="A198" s="17" t="s">
        <v>471</v>
      </c>
      <c r="B198" s="2">
        <v>11203282</v>
      </c>
      <c r="C198" s="21" t="s">
        <v>228</v>
      </c>
    </row>
    <row r="199" spans="1:3" x14ac:dyDescent="0.25">
      <c r="A199" s="17" t="s">
        <v>471</v>
      </c>
      <c r="B199" s="2">
        <v>11241343</v>
      </c>
      <c r="C199" s="21" t="s">
        <v>122</v>
      </c>
    </row>
    <row r="200" spans="1:3" x14ac:dyDescent="0.25">
      <c r="A200" s="17" t="s">
        <v>471</v>
      </c>
      <c r="B200" s="2">
        <v>11307551</v>
      </c>
      <c r="C200" s="21" t="s">
        <v>119</v>
      </c>
    </row>
    <row r="201" spans="1:3" x14ac:dyDescent="0.25">
      <c r="A201" s="17" t="s">
        <v>471</v>
      </c>
      <c r="B201" s="2">
        <v>11405845</v>
      </c>
      <c r="C201" s="21" t="s">
        <v>160</v>
      </c>
    </row>
    <row r="202" spans="1:3" x14ac:dyDescent="0.25">
      <c r="A202" s="17" t="s">
        <v>471</v>
      </c>
      <c r="B202" s="2">
        <v>11406272</v>
      </c>
      <c r="C202" s="21" t="s">
        <v>153</v>
      </c>
    </row>
    <row r="203" spans="1:3" x14ac:dyDescent="0.25">
      <c r="A203" s="17" t="s">
        <v>471</v>
      </c>
      <c r="B203" s="8">
        <v>11406273</v>
      </c>
      <c r="C203" s="21" t="s">
        <v>105</v>
      </c>
    </row>
    <row r="204" spans="1:3" x14ac:dyDescent="0.25">
      <c r="A204" s="17" t="s">
        <v>471</v>
      </c>
      <c r="B204" s="2">
        <v>11407592</v>
      </c>
      <c r="C204" s="21" t="s">
        <v>229</v>
      </c>
    </row>
    <row r="205" spans="1:3" x14ac:dyDescent="0.25">
      <c r="A205" s="17" t="s">
        <v>471</v>
      </c>
      <c r="B205" s="2">
        <v>11409380</v>
      </c>
      <c r="C205" s="21" t="s">
        <v>174</v>
      </c>
    </row>
    <row r="206" spans="1:3" x14ac:dyDescent="0.25">
      <c r="A206" s="17" t="s">
        <v>471</v>
      </c>
      <c r="B206" s="2">
        <v>11558656</v>
      </c>
      <c r="C206" s="21" t="s">
        <v>230</v>
      </c>
    </row>
    <row r="207" spans="1:3" x14ac:dyDescent="0.25">
      <c r="A207" s="17" t="s">
        <v>471</v>
      </c>
      <c r="B207" s="2">
        <v>11565454</v>
      </c>
      <c r="C207" s="21" t="s">
        <v>118</v>
      </c>
    </row>
    <row r="208" spans="1:3" x14ac:dyDescent="0.25">
      <c r="A208" s="17" t="s">
        <v>471</v>
      </c>
      <c r="B208" s="8">
        <v>11590610</v>
      </c>
      <c r="C208" s="21" t="s">
        <v>111</v>
      </c>
    </row>
    <row r="209" spans="1:3" x14ac:dyDescent="0.25">
      <c r="A209" s="17" t="s">
        <v>471</v>
      </c>
      <c r="B209" s="2">
        <v>11675247</v>
      </c>
      <c r="C209" s="21" t="s">
        <v>148</v>
      </c>
    </row>
    <row r="210" spans="1:3" x14ac:dyDescent="0.25">
      <c r="A210" s="17" t="s">
        <v>471</v>
      </c>
      <c r="B210" s="2">
        <v>11678846</v>
      </c>
      <c r="C210" s="21" t="s">
        <v>175</v>
      </c>
    </row>
    <row r="211" spans="1:3" x14ac:dyDescent="0.25">
      <c r="A211" s="17" t="s">
        <v>471</v>
      </c>
      <c r="B211" s="2">
        <v>11679527</v>
      </c>
      <c r="C211" s="21" t="s">
        <v>231</v>
      </c>
    </row>
    <row r="212" spans="1:3" x14ac:dyDescent="0.25">
      <c r="A212" s="17" t="s">
        <v>471</v>
      </c>
      <c r="B212" s="4">
        <v>11689884</v>
      </c>
      <c r="C212" s="21" t="s">
        <v>232</v>
      </c>
    </row>
    <row r="213" spans="1:3" x14ac:dyDescent="0.25">
      <c r="A213" s="17" t="s">
        <v>471</v>
      </c>
      <c r="B213" s="6">
        <v>11819707</v>
      </c>
      <c r="C213" s="21" t="s">
        <v>233</v>
      </c>
    </row>
    <row r="214" spans="1:3" x14ac:dyDescent="0.25">
      <c r="A214" s="17" t="s">
        <v>471</v>
      </c>
      <c r="B214" s="2">
        <v>11899747</v>
      </c>
      <c r="C214" s="21" t="s">
        <v>234</v>
      </c>
    </row>
    <row r="215" spans="1:3" x14ac:dyDescent="0.25">
      <c r="A215" s="17" t="s">
        <v>471</v>
      </c>
      <c r="B215" s="6">
        <v>11908102</v>
      </c>
      <c r="C215" s="21" t="s">
        <v>116</v>
      </c>
    </row>
    <row r="216" spans="1:3" x14ac:dyDescent="0.25">
      <c r="A216" s="17" t="s">
        <v>471</v>
      </c>
      <c r="B216" s="2">
        <v>11917550</v>
      </c>
      <c r="C216" s="21" t="s">
        <v>164</v>
      </c>
    </row>
    <row r="217" spans="1:3" x14ac:dyDescent="0.25">
      <c r="A217" s="17" t="s">
        <v>471</v>
      </c>
      <c r="B217" s="2">
        <v>11917913</v>
      </c>
      <c r="C217" s="21" t="s">
        <v>235</v>
      </c>
    </row>
    <row r="218" spans="1:3" x14ac:dyDescent="0.25">
      <c r="A218" s="17" t="s">
        <v>471</v>
      </c>
      <c r="B218" s="2">
        <v>11918573</v>
      </c>
      <c r="C218" s="21" t="s">
        <v>155</v>
      </c>
    </row>
    <row r="219" spans="1:3" x14ac:dyDescent="0.25">
      <c r="A219" s="17" t="s">
        <v>471</v>
      </c>
      <c r="B219" s="2">
        <v>11918634</v>
      </c>
      <c r="C219" s="21" t="s">
        <v>146</v>
      </c>
    </row>
    <row r="220" spans="1:3" x14ac:dyDescent="0.25">
      <c r="A220" s="17" t="s">
        <v>471</v>
      </c>
      <c r="B220" s="2">
        <v>11921046</v>
      </c>
      <c r="C220" s="21" t="s">
        <v>159</v>
      </c>
    </row>
    <row r="221" spans="1:3" x14ac:dyDescent="0.25">
      <c r="A221" s="17" t="s">
        <v>471</v>
      </c>
      <c r="B221" s="2">
        <v>11922356</v>
      </c>
      <c r="C221" s="21" t="s">
        <v>130</v>
      </c>
    </row>
    <row r="222" spans="1:3" x14ac:dyDescent="0.25">
      <c r="A222" s="17" t="s">
        <v>471</v>
      </c>
      <c r="B222" s="2">
        <v>11923611</v>
      </c>
      <c r="C222" s="21" t="s">
        <v>236</v>
      </c>
    </row>
    <row r="223" spans="1:3" x14ac:dyDescent="0.25">
      <c r="A223" s="17" t="s">
        <v>471</v>
      </c>
      <c r="B223" s="8">
        <v>11925476</v>
      </c>
      <c r="C223" s="21" t="s">
        <v>237</v>
      </c>
    </row>
    <row r="224" spans="1:3" x14ac:dyDescent="0.25">
      <c r="A224" s="17" t="s">
        <v>471</v>
      </c>
      <c r="B224" s="2">
        <v>11930868</v>
      </c>
      <c r="C224" s="21" t="s">
        <v>238</v>
      </c>
    </row>
    <row r="225" spans="1:3" x14ac:dyDescent="0.25">
      <c r="A225" s="17" t="s">
        <v>471</v>
      </c>
      <c r="B225" s="6">
        <v>11994298</v>
      </c>
      <c r="C225" s="21" t="s">
        <v>239</v>
      </c>
    </row>
    <row r="226" spans="1:3" x14ac:dyDescent="0.25">
      <c r="A226" s="17" t="s">
        <v>471</v>
      </c>
      <c r="B226" s="2">
        <v>12111014</v>
      </c>
      <c r="C226" s="21" t="s">
        <v>240</v>
      </c>
    </row>
    <row r="227" spans="1:3" x14ac:dyDescent="0.25">
      <c r="A227" s="17" t="s">
        <v>471</v>
      </c>
      <c r="B227" s="2">
        <v>12112258</v>
      </c>
      <c r="C227" s="21" t="s">
        <v>241</v>
      </c>
    </row>
    <row r="228" spans="1:3" x14ac:dyDescent="0.25">
      <c r="A228" s="17" t="s">
        <v>471</v>
      </c>
      <c r="B228" s="2">
        <v>12114091</v>
      </c>
      <c r="C228" s="21" t="s">
        <v>242</v>
      </c>
    </row>
    <row r="229" spans="1:3" x14ac:dyDescent="0.25">
      <c r="A229" s="17" t="s">
        <v>471</v>
      </c>
      <c r="B229" s="2">
        <v>12281806</v>
      </c>
      <c r="C229" s="21" t="s">
        <v>243</v>
      </c>
    </row>
    <row r="230" spans="1:3" x14ac:dyDescent="0.25">
      <c r="A230" s="17" t="s">
        <v>471</v>
      </c>
      <c r="B230" s="2">
        <v>12289719</v>
      </c>
      <c r="C230" s="21" t="s">
        <v>244</v>
      </c>
    </row>
    <row r="231" spans="1:3" x14ac:dyDescent="0.25">
      <c r="A231" s="17" t="s">
        <v>471</v>
      </c>
      <c r="B231" s="4">
        <v>12300747</v>
      </c>
      <c r="C231" s="21" t="s">
        <v>245</v>
      </c>
    </row>
    <row r="232" spans="1:3" x14ac:dyDescent="0.25">
      <c r="A232" s="17" t="s">
        <v>471</v>
      </c>
      <c r="B232" s="2">
        <v>12357367</v>
      </c>
      <c r="C232" s="21" t="s">
        <v>246</v>
      </c>
    </row>
    <row r="233" spans="1:3" x14ac:dyDescent="0.25">
      <c r="A233" s="17" t="s">
        <v>471</v>
      </c>
      <c r="B233" s="1">
        <v>12382602</v>
      </c>
      <c r="C233" s="21" t="s">
        <v>247</v>
      </c>
    </row>
    <row r="234" spans="1:3" x14ac:dyDescent="0.25">
      <c r="A234" s="17" t="s">
        <v>471</v>
      </c>
      <c r="B234" s="6">
        <v>12384336</v>
      </c>
      <c r="C234" s="21" t="s">
        <v>248</v>
      </c>
    </row>
    <row r="235" spans="1:3" x14ac:dyDescent="0.25">
      <c r="A235" s="17" t="s">
        <v>471</v>
      </c>
      <c r="B235" s="2">
        <v>12390716</v>
      </c>
      <c r="C235" s="21" t="s">
        <v>249</v>
      </c>
    </row>
    <row r="236" spans="1:3" x14ac:dyDescent="0.25">
      <c r="A236" s="17" t="s">
        <v>471</v>
      </c>
      <c r="B236" s="4">
        <v>12396334</v>
      </c>
      <c r="C236" s="21" t="s">
        <v>250</v>
      </c>
    </row>
    <row r="237" spans="1:3" x14ac:dyDescent="0.25">
      <c r="A237" s="17" t="s">
        <v>471</v>
      </c>
      <c r="B237" s="2">
        <v>12398275</v>
      </c>
      <c r="C237" s="21" t="s">
        <v>251</v>
      </c>
    </row>
    <row r="238" spans="1:3" x14ac:dyDescent="0.25">
      <c r="A238" s="17" t="s">
        <v>471</v>
      </c>
      <c r="B238" s="2">
        <v>12410293</v>
      </c>
      <c r="C238" s="21" t="s">
        <v>161</v>
      </c>
    </row>
    <row r="239" spans="1:3" x14ac:dyDescent="0.25">
      <c r="A239" s="17" t="s">
        <v>471</v>
      </c>
      <c r="B239" s="2">
        <v>12561193</v>
      </c>
      <c r="C239" s="21" t="s">
        <v>252</v>
      </c>
    </row>
    <row r="240" spans="1:3" x14ac:dyDescent="0.25">
      <c r="A240" s="17" t="s">
        <v>471</v>
      </c>
      <c r="B240" s="2">
        <v>12641345</v>
      </c>
      <c r="C240" s="21" t="s">
        <v>253</v>
      </c>
    </row>
    <row r="241" spans="1:3" x14ac:dyDescent="0.25">
      <c r="A241" s="17" t="s">
        <v>471</v>
      </c>
      <c r="B241" s="2">
        <v>12781587</v>
      </c>
      <c r="C241" s="21" t="s">
        <v>254</v>
      </c>
    </row>
    <row r="242" spans="1:3" x14ac:dyDescent="0.25">
      <c r="A242" s="17" t="s">
        <v>471</v>
      </c>
      <c r="B242" s="2">
        <v>12854512</v>
      </c>
      <c r="C242" s="21" t="s">
        <v>255</v>
      </c>
    </row>
    <row r="243" spans="1:3" x14ac:dyDescent="0.25">
      <c r="A243" s="17" t="s">
        <v>471</v>
      </c>
      <c r="B243" s="2">
        <v>12867339</v>
      </c>
      <c r="C243" s="21" t="s">
        <v>256</v>
      </c>
    </row>
    <row r="244" spans="1:3" x14ac:dyDescent="0.25">
      <c r="A244" s="17" t="s">
        <v>471</v>
      </c>
      <c r="B244" s="2">
        <v>12900851</v>
      </c>
      <c r="C244" s="21" t="s">
        <v>114</v>
      </c>
    </row>
    <row r="245" spans="1:3" x14ac:dyDescent="0.25">
      <c r="A245" s="17" t="s">
        <v>471</v>
      </c>
      <c r="B245" s="2">
        <v>12951325</v>
      </c>
      <c r="C245" s="21" t="s">
        <v>257</v>
      </c>
    </row>
    <row r="246" spans="1:3" x14ac:dyDescent="0.25">
      <c r="A246" s="17" t="s">
        <v>471</v>
      </c>
      <c r="B246" s="9">
        <v>13066471</v>
      </c>
      <c r="C246" s="21" t="s">
        <v>258</v>
      </c>
    </row>
    <row r="247" spans="1:3" x14ac:dyDescent="0.25">
      <c r="A247" s="17" t="s">
        <v>471</v>
      </c>
      <c r="B247" s="2">
        <v>13066658</v>
      </c>
      <c r="C247" s="21" t="s">
        <v>259</v>
      </c>
    </row>
    <row r="248" spans="1:3" x14ac:dyDescent="0.25">
      <c r="A248" s="17" t="s">
        <v>471</v>
      </c>
      <c r="B248" s="2">
        <v>13068459</v>
      </c>
      <c r="C248" s="21" t="s">
        <v>260</v>
      </c>
    </row>
    <row r="249" spans="1:3" x14ac:dyDescent="0.25">
      <c r="A249" s="17" t="s">
        <v>471</v>
      </c>
      <c r="B249" s="10">
        <v>13069845</v>
      </c>
      <c r="C249" s="21" t="s">
        <v>261</v>
      </c>
    </row>
    <row r="250" spans="1:3" x14ac:dyDescent="0.25">
      <c r="A250" s="17" t="s">
        <v>471</v>
      </c>
      <c r="B250" s="9">
        <v>13127394</v>
      </c>
      <c r="C250" s="21" t="s">
        <v>262</v>
      </c>
    </row>
    <row r="251" spans="1:3" x14ac:dyDescent="0.25">
      <c r="A251" s="17" t="s">
        <v>471</v>
      </c>
      <c r="B251" s="11">
        <v>13224484</v>
      </c>
      <c r="C251" s="21" t="s">
        <v>108</v>
      </c>
    </row>
    <row r="252" spans="1:3" x14ac:dyDescent="0.25">
      <c r="A252" s="17" t="s">
        <v>471</v>
      </c>
      <c r="B252" s="2">
        <v>13432917</v>
      </c>
      <c r="C252" s="21" t="s">
        <v>263</v>
      </c>
    </row>
    <row r="253" spans="1:3" x14ac:dyDescent="0.25">
      <c r="A253" s="17" t="s">
        <v>471</v>
      </c>
      <c r="B253" s="2">
        <v>13586859</v>
      </c>
      <c r="C253" s="21" t="s">
        <v>264</v>
      </c>
    </row>
    <row r="254" spans="1:3" x14ac:dyDescent="0.25">
      <c r="A254" s="17" t="s">
        <v>471</v>
      </c>
      <c r="B254" s="2">
        <v>13640753</v>
      </c>
      <c r="C254" s="21" t="s">
        <v>265</v>
      </c>
    </row>
    <row r="255" spans="1:3" x14ac:dyDescent="0.25">
      <c r="A255" s="17" t="s">
        <v>471</v>
      </c>
      <c r="B255" s="2">
        <v>13786283</v>
      </c>
      <c r="C255" s="21" t="s">
        <v>152</v>
      </c>
    </row>
    <row r="256" spans="1:3" x14ac:dyDescent="0.25">
      <c r="A256" s="17" t="s">
        <v>471</v>
      </c>
      <c r="B256" s="5">
        <v>13872339</v>
      </c>
      <c r="C256" s="21" t="s">
        <v>133</v>
      </c>
    </row>
    <row r="257" spans="1:3" x14ac:dyDescent="0.25">
      <c r="A257" s="17" t="s">
        <v>471</v>
      </c>
      <c r="B257" s="6">
        <v>13944994</v>
      </c>
      <c r="C257" s="21" t="s">
        <v>124</v>
      </c>
    </row>
    <row r="258" spans="1:3" x14ac:dyDescent="0.25">
      <c r="A258" s="17" t="s">
        <v>471</v>
      </c>
      <c r="B258" s="2">
        <v>14129191</v>
      </c>
      <c r="C258" s="21" t="s">
        <v>266</v>
      </c>
    </row>
    <row r="259" spans="1:3" x14ac:dyDescent="0.25">
      <c r="A259" s="17" t="s">
        <v>471</v>
      </c>
      <c r="B259" s="2">
        <v>14142158</v>
      </c>
      <c r="C259" s="21" t="s">
        <v>267</v>
      </c>
    </row>
    <row r="260" spans="1:3" x14ac:dyDescent="0.25">
      <c r="A260" s="17" t="s">
        <v>471</v>
      </c>
      <c r="B260" s="5">
        <v>14156230</v>
      </c>
      <c r="C260" s="21" t="s">
        <v>268</v>
      </c>
    </row>
    <row r="261" spans="1:3" x14ac:dyDescent="0.25">
      <c r="A261" s="17" t="s">
        <v>471</v>
      </c>
      <c r="B261" s="1">
        <v>14163587</v>
      </c>
      <c r="C261" s="21" t="s">
        <v>269</v>
      </c>
    </row>
    <row r="262" spans="1:3" x14ac:dyDescent="0.25">
      <c r="A262" s="17" t="s">
        <v>471</v>
      </c>
      <c r="B262" s="8">
        <v>14202223</v>
      </c>
      <c r="C262" s="21" t="s">
        <v>270</v>
      </c>
    </row>
    <row r="263" spans="1:3" x14ac:dyDescent="0.25">
      <c r="A263" s="17" t="s">
        <v>471</v>
      </c>
      <c r="B263" s="2">
        <v>14351631</v>
      </c>
      <c r="C263" s="21" t="s">
        <v>132</v>
      </c>
    </row>
    <row r="264" spans="1:3" x14ac:dyDescent="0.25">
      <c r="A264" s="17" t="s">
        <v>471</v>
      </c>
      <c r="B264" s="2">
        <v>14382027</v>
      </c>
      <c r="C264" s="21" t="s">
        <v>271</v>
      </c>
    </row>
    <row r="265" spans="1:3" x14ac:dyDescent="0.25">
      <c r="A265" s="17" t="s">
        <v>471</v>
      </c>
      <c r="B265" s="2">
        <v>14387454</v>
      </c>
      <c r="C265" s="21" t="s">
        <v>272</v>
      </c>
    </row>
    <row r="266" spans="1:3" x14ac:dyDescent="0.25">
      <c r="A266" s="17" t="s">
        <v>471</v>
      </c>
      <c r="B266" s="8">
        <v>14485268</v>
      </c>
      <c r="C266" s="21" t="s">
        <v>166</v>
      </c>
    </row>
    <row r="267" spans="1:3" x14ac:dyDescent="0.25">
      <c r="A267" s="17" t="s">
        <v>471</v>
      </c>
      <c r="B267" s="2">
        <v>14534489</v>
      </c>
      <c r="C267" s="21" t="s">
        <v>273</v>
      </c>
    </row>
    <row r="268" spans="1:3" x14ac:dyDescent="0.25">
      <c r="A268" s="17" t="s">
        <v>471</v>
      </c>
      <c r="B268" s="2">
        <v>14574510</v>
      </c>
      <c r="C268" s="21" t="s">
        <v>274</v>
      </c>
    </row>
    <row r="269" spans="1:3" x14ac:dyDescent="0.25">
      <c r="A269" s="17" t="s">
        <v>471</v>
      </c>
      <c r="B269" s="2">
        <v>14594963</v>
      </c>
      <c r="C269" s="21" t="s">
        <v>275</v>
      </c>
    </row>
    <row r="270" spans="1:3" x14ac:dyDescent="0.25">
      <c r="A270" s="17" t="s">
        <v>471</v>
      </c>
      <c r="B270" s="9">
        <v>14678944</v>
      </c>
      <c r="C270" s="21" t="s">
        <v>276</v>
      </c>
    </row>
    <row r="271" spans="1:3" x14ac:dyDescent="0.25">
      <c r="A271" s="17" t="s">
        <v>471</v>
      </c>
      <c r="B271" s="7">
        <v>14683421</v>
      </c>
      <c r="C271" s="21" t="s">
        <v>277</v>
      </c>
    </row>
    <row r="272" spans="1:3" x14ac:dyDescent="0.25">
      <c r="A272" s="17" t="s">
        <v>471</v>
      </c>
      <c r="B272" s="2">
        <v>14775353</v>
      </c>
      <c r="C272" s="21" t="s">
        <v>278</v>
      </c>
    </row>
    <row r="273" spans="1:3" x14ac:dyDescent="0.25">
      <c r="A273" s="17" t="s">
        <v>471</v>
      </c>
      <c r="B273" s="2">
        <v>14788705</v>
      </c>
      <c r="C273" s="21" t="s">
        <v>279</v>
      </c>
    </row>
    <row r="274" spans="1:3" x14ac:dyDescent="0.25">
      <c r="A274" s="17" t="s">
        <v>471</v>
      </c>
      <c r="B274" s="6">
        <v>14789781</v>
      </c>
      <c r="C274" s="21" t="s">
        <v>280</v>
      </c>
    </row>
    <row r="275" spans="1:3" x14ac:dyDescent="0.25">
      <c r="A275" s="17" t="s">
        <v>471</v>
      </c>
      <c r="B275" s="2">
        <v>14789951</v>
      </c>
      <c r="C275" s="21" t="s">
        <v>281</v>
      </c>
    </row>
    <row r="276" spans="1:3" x14ac:dyDescent="0.25">
      <c r="A276" s="17" t="s">
        <v>471</v>
      </c>
      <c r="B276" s="4">
        <v>14908050</v>
      </c>
      <c r="C276" s="21" t="s">
        <v>282</v>
      </c>
    </row>
    <row r="277" spans="1:3" x14ac:dyDescent="0.25">
      <c r="A277" s="17" t="s">
        <v>471</v>
      </c>
      <c r="B277" s="1">
        <v>14908165</v>
      </c>
      <c r="C277" s="21" t="s">
        <v>283</v>
      </c>
    </row>
    <row r="278" spans="1:3" x14ac:dyDescent="0.25">
      <c r="A278" s="17" t="s">
        <v>471</v>
      </c>
      <c r="B278" s="2">
        <v>14955826</v>
      </c>
      <c r="C278" s="21" t="s">
        <v>284</v>
      </c>
    </row>
    <row r="279" spans="1:3" x14ac:dyDescent="0.25">
      <c r="A279" s="17" t="s">
        <v>471</v>
      </c>
      <c r="B279" s="2">
        <v>14988295</v>
      </c>
      <c r="C279" s="21" t="s">
        <v>177</v>
      </c>
    </row>
    <row r="280" spans="1:3" x14ac:dyDescent="0.25">
      <c r="A280" s="17" t="s">
        <v>471</v>
      </c>
      <c r="B280" s="2">
        <v>15062407</v>
      </c>
      <c r="C280" s="21" t="s">
        <v>285</v>
      </c>
    </row>
    <row r="281" spans="1:3" x14ac:dyDescent="0.25">
      <c r="A281" s="17" t="s">
        <v>471</v>
      </c>
      <c r="B281" s="4">
        <v>15131913</v>
      </c>
      <c r="C281" s="21" t="s">
        <v>286</v>
      </c>
    </row>
    <row r="282" spans="1:3" x14ac:dyDescent="0.25">
      <c r="A282" s="17" t="s">
        <v>471</v>
      </c>
      <c r="B282" s="2">
        <v>15133760</v>
      </c>
      <c r="C282" s="21" t="s">
        <v>150</v>
      </c>
    </row>
    <row r="283" spans="1:3" x14ac:dyDescent="0.25">
      <c r="A283" s="17" t="s">
        <v>471</v>
      </c>
      <c r="B283" s="2">
        <v>15676996</v>
      </c>
      <c r="C283" s="21" t="s">
        <v>287</v>
      </c>
    </row>
    <row r="284" spans="1:3" x14ac:dyDescent="0.25">
      <c r="A284" s="17" t="s">
        <v>471</v>
      </c>
      <c r="B284" s="2">
        <v>15701100</v>
      </c>
      <c r="C284" s="21" t="s">
        <v>288</v>
      </c>
    </row>
    <row r="285" spans="1:3" x14ac:dyDescent="0.25">
      <c r="A285" s="17" t="s">
        <v>471</v>
      </c>
      <c r="B285" s="2">
        <v>15821167</v>
      </c>
      <c r="C285" s="21" t="s">
        <v>289</v>
      </c>
    </row>
    <row r="286" spans="1:3" x14ac:dyDescent="0.25">
      <c r="A286" s="17" t="s">
        <v>471</v>
      </c>
      <c r="B286" s="2">
        <v>15886515</v>
      </c>
      <c r="C286" s="21" t="s">
        <v>144</v>
      </c>
    </row>
    <row r="287" spans="1:3" x14ac:dyDescent="0.25">
      <c r="A287" s="17" t="s">
        <v>471</v>
      </c>
      <c r="B287" s="2">
        <v>16405102</v>
      </c>
      <c r="C287" s="21" t="s">
        <v>491</v>
      </c>
    </row>
    <row r="288" spans="1:3" x14ac:dyDescent="0.25">
      <c r="A288" s="17" t="s">
        <v>471</v>
      </c>
      <c r="B288" s="2">
        <v>16412133</v>
      </c>
      <c r="C288" s="21" t="s">
        <v>290</v>
      </c>
    </row>
    <row r="289" spans="1:3" x14ac:dyDescent="0.25">
      <c r="A289" s="17" t="s">
        <v>471</v>
      </c>
      <c r="B289" s="5">
        <v>16413606</v>
      </c>
      <c r="C289" s="21" t="s">
        <v>291</v>
      </c>
    </row>
    <row r="290" spans="1:3" x14ac:dyDescent="0.25">
      <c r="A290" s="17" t="s">
        <v>471</v>
      </c>
      <c r="B290" s="2">
        <v>16430124</v>
      </c>
      <c r="C290" s="21" t="s">
        <v>167</v>
      </c>
    </row>
    <row r="291" spans="1:3" x14ac:dyDescent="0.25">
      <c r="A291" s="17" t="s">
        <v>471</v>
      </c>
      <c r="B291" s="2">
        <v>16524777</v>
      </c>
      <c r="C291" s="21" t="s">
        <v>145</v>
      </c>
    </row>
    <row r="292" spans="1:3" x14ac:dyDescent="0.25">
      <c r="A292" s="17" t="s">
        <v>471</v>
      </c>
      <c r="B292" s="8">
        <v>16951535</v>
      </c>
      <c r="C292" s="21" t="s">
        <v>292</v>
      </c>
    </row>
    <row r="293" spans="1:3" x14ac:dyDescent="0.25">
      <c r="A293" s="17" t="s">
        <v>471</v>
      </c>
      <c r="B293" s="5">
        <v>17143437</v>
      </c>
      <c r="C293" s="21" t="s">
        <v>127</v>
      </c>
    </row>
    <row r="294" spans="1:3" x14ac:dyDescent="0.25">
      <c r="A294" s="17" t="s">
        <v>471</v>
      </c>
      <c r="B294" s="9">
        <v>17326111</v>
      </c>
      <c r="C294" s="21" t="s">
        <v>293</v>
      </c>
    </row>
    <row r="295" spans="1:3" x14ac:dyDescent="0.25">
      <c r="A295" s="17" t="s">
        <v>471</v>
      </c>
      <c r="B295" s="5">
        <v>17464764</v>
      </c>
      <c r="C295" s="21" t="s">
        <v>294</v>
      </c>
    </row>
    <row r="296" spans="1:3" x14ac:dyDescent="0.25">
      <c r="A296" s="17" t="s">
        <v>471</v>
      </c>
      <c r="B296" s="4">
        <v>17532493</v>
      </c>
      <c r="C296" s="21" t="s">
        <v>120</v>
      </c>
    </row>
    <row r="297" spans="1:3" x14ac:dyDescent="0.25">
      <c r="A297" s="17" t="s">
        <v>471</v>
      </c>
      <c r="B297" s="2">
        <v>18233169</v>
      </c>
      <c r="C297" s="21" t="s">
        <v>295</v>
      </c>
    </row>
    <row r="298" spans="1:3" x14ac:dyDescent="0.25">
      <c r="A298" s="17" t="s">
        <v>471</v>
      </c>
      <c r="B298" s="6">
        <v>18245658</v>
      </c>
      <c r="C298" s="21" t="s">
        <v>296</v>
      </c>
    </row>
    <row r="299" spans="1:3" x14ac:dyDescent="0.25">
      <c r="A299" s="17" t="s">
        <v>471</v>
      </c>
      <c r="B299" s="2">
        <v>18270230</v>
      </c>
      <c r="C299" s="21" t="s">
        <v>297</v>
      </c>
    </row>
    <row r="300" spans="1:3" x14ac:dyDescent="0.25">
      <c r="A300" s="17" t="s">
        <v>471</v>
      </c>
      <c r="B300" s="8">
        <v>18329156</v>
      </c>
      <c r="C300" s="21" t="s">
        <v>121</v>
      </c>
    </row>
    <row r="301" spans="1:3" x14ac:dyDescent="0.25">
      <c r="A301" s="17" t="s">
        <v>471</v>
      </c>
      <c r="B301" s="2">
        <v>18597674</v>
      </c>
      <c r="C301" s="21" t="s">
        <v>298</v>
      </c>
    </row>
    <row r="302" spans="1:3" x14ac:dyDescent="0.25">
      <c r="A302" s="17" t="s">
        <v>471</v>
      </c>
      <c r="B302" s="2">
        <v>18750804</v>
      </c>
      <c r="C302" s="21" t="s">
        <v>299</v>
      </c>
    </row>
    <row r="303" spans="1:3" x14ac:dyDescent="0.25">
      <c r="A303" s="17" t="s">
        <v>471</v>
      </c>
      <c r="B303" s="8">
        <v>18791565</v>
      </c>
      <c r="C303" s="21" t="s">
        <v>300</v>
      </c>
    </row>
    <row r="304" spans="1:3" x14ac:dyDescent="0.25">
      <c r="A304" s="17" t="s">
        <v>471</v>
      </c>
      <c r="B304" s="22">
        <v>18837159</v>
      </c>
      <c r="C304" s="21" t="s">
        <v>301</v>
      </c>
    </row>
    <row r="305" spans="1:3" x14ac:dyDescent="0.25">
      <c r="A305" s="17" t="s">
        <v>471</v>
      </c>
      <c r="B305" s="2">
        <v>19200366</v>
      </c>
      <c r="C305" s="21" t="s">
        <v>302</v>
      </c>
    </row>
    <row r="306" spans="1:3" x14ac:dyDescent="0.25">
      <c r="A306" s="17" t="s">
        <v>471</v>
      </c>
      <c r="B306" s="5">
        <v>19224401</v>
      </c>
      <c r="C306" s="21" t="s">
        <v>303</v>
      </c>
    </row>
    <row r="307" spans="1:3" x14ac:dyDescent="0.25">
      <c r="A307" s="17" t="s">
        <v>471</v>
      </c>
      <c r="B307" s="11">
        <v>19270878</v>
      </c>
      <c r="C307" s="21" t="s">
        <v>304</v>
      </c>
    </row>
    <row r="308" spans="1:3" x14ac:dyDescent="0.25">
      <c r="A308" s="17" t="s">
        <v>471</v>
      </c>
      <c r="B308" s="8">
        <v>19380901</v>
      </c>
      <c r="C308" s="21" t="s">
        <v>305</v>
      </c>
    </row>
    <row r="309" spans="1:3" x14ac:dyDescent="0.25">
      <c r="A309" s="17" t="s">
        <v>471</v>
      </c>
      <c r="B309" s="11">
        <v>19508114</v>
      </c>
      <c r="C309" s="21" t="s">
        <v>306</v>
      </c>
    </row>
    <row r="310" spans="1:3" x14ac:dyDescent="0.25">
      <c r="A310" s="17" t="s">
        <v>471</v>
      </c>
      <c r="B310" s="5">
        <v>19666874</v>
      </c>
      <c r="C310" s="21" t="s">
        <v>307</v>
      </c>
    </row>
    <row r="311" spans="1:3" x14ac:dyDescent="0.25">
      <c r="A311" s="17" t="s">
        <v>471</v>
      </c>
      <c r="B311" s="22">
        <v>19858685</v>
      </c>
      <c r="C311" s="21" t="s">
        <v>308</v>
      </c>
    </row>
    <row r="312" spans="1:3" x14ac:dyDescent="0.25">
      <c r="A312" s="17" t="s">
        <v>471</v>
      </c>
      <c r="B312" s="9">
        <v>19966314</v>
      </c>
      <c r="C312" s="21" t="s">
        <v>309</v>
      </c>
    </row>
    <row r="313" spans="1:3" x14ac:dyDescent="0.25">
      <c r="A313" s="17" t="s">
        <v>471</v>
      </c>
      <c r="B313" s="5">
        <v>20088027</v>
      </c>
      <c r="C313" s="21" t="s">
        <v>134</v>
      </c>
    </row>
    <row r="314" spans="1:3" x14ac:dyDescent="0.25">
      <c r="A314" s="17" t="s">
        <v>471</v>
      </c>
      <c r="B314" s="22">
        <v>20095914</v>
      </c>
      <c r="C314" s="21" t="s">
        <v>310</v>
      </c>
    </row>
    <row r="315" spans="1:3" x14ac:dyDescent="0.25">
      <c r="A315" s="17" t="s">
        <v>471</v>
      </c>
      <c r="B315" s="4">
        <v>20116083</v>
      </c>
      <c r="C315" s="21" t="s">
        <v>311</v>
      </c>
    </row>
    <row r="316" spans="1:3" x14ac:dyDescent="0.25">
      <c r="A316" s="17" t="s">
        <v>471</v>
      </c>
      <c r="B316" s="2">
        <v>20176098</v>
      </c>
      <c r="C316" s="21" t="s">
        <v>312</v>
      </c>
    </row>
    <row r="317" spans="1:3" x14ac:dyDescent="0.25">
      <c r="A317" s="17" t="s">
        <v>471</v>
      </c>
      <c r="B317" s="8">
        <v>20220489</v>
      </c>
      <c r="C317" s="21" t="s">
        <v>313</v>
      </c>
    </row>
    <row r="318" spans="1:3" x14ac:dyDescent="0.25">
      <c r="A318" s="17" t="s">
        <v>471</v>
      </c>
      <c r="B318" s="8">
        <v>20365316</v>
      </c>
      <c r="C318" s="21" t="s">
        <v>314</v>
      </c>
    </row>
    <row r="319" spans="1:3" x14ac:dyDescent="0.25">
      <c r="A319" s="17" t="s">
        <v>471</v>
      </c>
      <c r="B319" s="1">
        <v>20838191</v>
      </c>
      <c r="C319" s="21" t="s">
        <v>315</v>
      </c>
    </row>
    <row r="320" spans="1:3" x14ac:dyDescent="0.25">
      <c r="A320" s="17" t="s">
        <v>471</v>
      </c>
      <c r="B320" s="4">
        <v>20911035</v>
      </c>
      <c r="C320" s="21" t="s">
        <v>173</v>
      </c>
    </row>
    <row r="321" spans="1:3" x14ac:dyDescent="0.25">
      <c r="A321" s="17" t="s">
        <v>471</v>
      </c>
      <c r="B321" s="1">
        <v>21375509</v>
      </c>
      <c r="C321" s="21" t="s">
        <v>316</v>
      </c>
    </row>
    <row r="322" spans="1:3" x14ac:dyDescent="0.25">
      <c r="A322" s="17" t="s">
        <v>471</v>
      </c>
      <c r="B322" s="4">
        <v>21424618</v>
      </c>
      <c r="C322" s="21" t="s">
        <v>317</v>
      </c>
    </row>
    <row r="323" spans="1:3" x14ac:dyDescent="0.25">
      <c r="A323" s="17" t="s">
        <v>471</v>
      </c>
      <c r="B323" s="8">
        <v>21470016</v>
      </c>
      <c r="C323" s="21" t="s">
        <v>318</v>
      </c>
    </row>
    <row r="324" spans="1:3" x14ac:dyDescent="0.25">
      <c r="A324" s="17" t="s">
        <v>471</v>
      </c>
      <c r="B324" s="9">
        <v>22502384</v>
      </c>
      <c r="C324" s="21" t="s">
        <v>319</v>
      </c>
    </row>
    <row r="325" spans="1:3" x14ac:dyDescent="0.25">
      <c r="A325" s="17" t="s">
        <v>471</v>
      </c>
      <c r="B325" s="5">
        <v>22915227</v>
      </c>
      <c r="C325" s="21" t="s">
        <v>320</v>
      </c>
    </row>
    <row r="326" spans="1:3" x14ac:dyDescent="0.25">
      <c r="A326" s="17" t="s">
        <v>471</v>
      </c>
      <c r="B326" s="4">
        <v>23616488</v>
      </c>
      <c r="C326" s="21" t="s">
        <v>321</v>
      </c>
    </row>
    <row r="327" spans="1:3" x14ac:dyDescent="0.25">
      <c r="A327" s="17" t="s">
        <v>471</v>
      </c>
      <c r="B327" s="9">
        <v>24635692</v>
      </c>
      <c r="C327" s="21" t="s">
        <v>322</v>
      </c>
    </row>
    <row r="328" spans="1:3" x14ac:dyDescent="0.25">
      <c r="A328" s="17" t="s">
        <v>471</v>
      </c>
      <c r="B328" s="8">
        <v>24723488</v>
      </c>
      <c r="C328" s="21" t="s">
        <v>323</v>
      </c>
    </row>
    <row r="329" spans="1:3" x14ac:dyDescent="0.25">
      <c r="A329" s="17" t="s">
        <v>471</v>
      </c>
      <c r="B329" s="1">
        <v>24900282</v>
      </c>
      <c r="C329" s="21" t="s">
        <v>324</v>
      </c>
    </row>
    <row r="330" spans="1:3" x14ac:dyDescent="0.25">
      <c r="A330" s="17" t="s">
        <v>471</v>
      </c>
      <c r="B330" s="1">
        <v>25444424</v>
      </c>
      <c r="C330" s="21" t="s">
        <v>325</v>
      </c>
    </row>
    <row r="331" spans="1:3" x14ac:dyDescent="0.25">
      <c r="A331" s="17" t="s">
        <v>471</v>
      </c>
      <c r="B331" s="1">
        <v>25846157</v>
      </c>
      <c r="C331" s="21" t="s">
        <v>326</v>
      </c>
    </row>
    <row r="332" spans="1:3" x14ac:dyDescent="0.25">
      <c r="A332" s="17" t="s">
        <v>471</v>
      </c>
      <c r="B332" s="2">
        <v>29768917</v>
      </c>
      <c r="C332" s="21" t="s">
        <v>327</v>
      </c>
    </row>
    <row r="333" spans="1:3" x14ac:dyDescent="0.25">
      <c r="A333" s="17" t="s">
        <v>472</v>
      </c>
      <c r="B333" s="5">
        <v>4884263</v>
      </c>
      <c r="C333" s="21" t="s">
        <v>328</v>
      </c>
    </row>
    <row r="334" spans="1:3" x14ac:dyDescent="0.25">
      <c r="A334" s="17" t="s">
        <v>472</v>
      </c>
      <c r="B334" s="6">
        <v>5303956</v>
      </c>
      <c r="C334" s="21" t="s">
        <v>329</v>
      </c>
    </row>
    <row r="335" spans="1:3" x14ac:dyDescent="0.25">
      <c r="A335" s="17" t="s">
        <v>472</v>
      </c>
      <c r="B335" s="2">
        <v>6526176</v>
      </c>
      <c r="C335" s="21" t="s">
        <v>330</v>
      </c>
    </row>
    <row r="336" spans="1:3" x14ac:dyDescent="0.25">
      <c r="A336" s="17" t="s">
        <v>472</v>
      </c>
      <c r="B336" s="2">
        <v>6896054</v>
      </c>
      <c r="C336" s="21" t="s">
        <v>331</v>
      </c>
    </row>
    <row r="337" spans="1:3" x14ac:dyDescent="0.25">
      <c r="A337" s="17" t="s">
        <v>472</v>
      </c>
      <c r="B337" s="5">
        <v>7268751</v>
      </c>
      <c r="C337" s="21" t="s">
        <v>332</v>
      </c>
    </row>
    <row r="338" spans="1:3" x14ac:dyDescent="0.25">
      <c r="A338" s="17" t="s">
        <v>472</v>
      </c>
      <c r="B338" s="1">
        <v>9880407</v>
      </c>
      <c r="C338" s="21" t="s">
        <v>333</v>
      </c>
    </row>
    <row r="339" spans="1:3" x14ac:dyDescent="0.25">
      <c r="A339" s="17" t="s">
        <v>472</v>
      </c>
      <c r="B339" s="8">
        <v>13050919</v>
      </c>
      <c r="C339" s="21" t="s">
        <v>334</v>
      </c>
    </row>
    <row r="340" spans="1:3" x14ac:dyDescent="0.25">
      <c r="A340" s="17" t="s">
        <v>472</v>
      </c>
      <c r="B340" s="2">
        <v>22011341</v>
      </c>
      <c r="C340" s="21" t="s">
        <v>335</v>
      </c>
    </row>
    <row r="341" spans="1:3" x14ac:dyDescent="0.25">
      <c r="A341" s="17" t="s">
        <v>12</v>
      </c>
      <c r="B341" s="1">
        <v>18270489</v>
      </c>
      <c r="C341" s="21" t="s">
        <v>5</v>
      </c>
    </row>
    <row r="342" spans="1:3" x14ac:dyDescent="0.25">
      <c r="A342" s="17" t="s">
        <v>12</v>
      </c>
      <c r="B342" s="2">
        <v>3251723</v>
      </c>
      <c r="C342" s="21" t="s">
        <v>337</v>
      </c>
    </row>
    <row r="343" spans="1:3" x14ac:dyDescent="0.25">
      <c r="A343" s="17" t="s">
        <v>12</v>
      </c>
      <c r="B343" s="8">
        <v>3741311</v>
      </c>
      <c r="C343" s="21" t="s">
        <v>14</v>
      </c>
    </row>
    <row r="344" spans="1:3" x14ac:dyDescent="0.25">
      <c r="A344" s="17" t="s">
        <v>12</v>
      </c>
      <c r="B344" s="2">
        <v>3759325</v>
      </c>
      <c r="C344" s="21" t="s">
        <v>338</v>
      </c>
    </row>
    <row r="345" spans="1:3" x14ac:dyDescent="0.25">
      <c r="A345" s="17" t="s">
        <v>12</v>
      </c>
      <c r="B345" s="2">
        <v>4682423</v>
      </c>
      <c r="C345" s="21" t="s">
        <v>339</v>
      </c>
    </row>
    <row r="346" spans="1:3" x14ac:dyDescent="0.25">
      <c r="A346" s="17" t="s">
        <v>12</v>
      </c>
      <c r="B346" s="2">
        <v>4852936</v>
      </c>
      <c r="C346" s="21" t="s">
        <v>340</v>
      </c>
    </row>
    <row r="347" spans="1:3" x14ac:dyDescent="0.25">
      <c r="A347" s="17" t="s">
        <v>12</v>
      </c>
      <c r="B347" s="9">
        <v>4854896</v>
      </c>
      <c r="C347" s="21" t="s">
        <v>341</v>
      </c>
    </row>
    <row r="348" spans="1:3" x14ac:dyDescent="0.25">
      <c r="A348" s="17" t="s">
        <v>12</v>
      </c>
      <c r="B348" s="7">
        <v>5542320</v>
      </c>
      <c r="C348" s="21" t="s">
        <v>342</v>
      </c>
    </row>
    <row r="349" spans="1:3" x14ac:dyDescent="0.25">
      <c r="A349" s="17" t="s">
        <v>12</v>
      </c>
      <c r="B349" s="2">
        <v>5605299</v>
      </c>
      <c r="C349" s="21" t="s">
        <v>343</v>
      </c>
    </row>
    <row r="350" spans="1:3" x14ac:dyDescent="0.25">
      <c r="A350" s="17" t="s">
        <v>12</v>
      </c>
      <c r="B350" s="2">
        <v>6001366</v>
      </c>
      <c r="C350" s="21" t="s">
        <v>344</v>
      </c>
    </row>
    <row r="351" spans="1:3" x14ac:dyDescent="0.25">
      <c r="A351" s="17" t="s">
        <v>12</v>
      </c>
      <c r="B351" s="6">
        <v>6040404</v>
      </c>
      <c r="C351" s="21" t="s">
        <v>345</v>
      </c>
    </row>
    <row r="352" spans="1:3" x14ac:dyDescent="0.25">
      <c r="A352" s="17" t="s">
        <v>12</v>
      </c>
      <c r="B352" s="2">
        <v>6092741</v>
      </c>
      <c r="C352" s="21" t="s">
        <v>346</v>
      </c>
    </row>
    <row r="353" spans="1:3" x14ac:dyDescent="0.25">
      <c r="A353" s="17" t="s">
        <v>12</v>
      </c>
      <c r="B353" s="4">
        <v>6117939</v>
      </c>
      <c r="C353" s="21" t="s">
        <v>347</v>
      </c>
    </row>
    <row r="354" spans="1:3" x14ac:dyDescent="0.25">
      <c r="A354" s="17" t="s">
        <v>12</v>
      </c>
      <c r="B354" s="1">
        <v>6220489</v>
      </c>
      <c r="C354" s="21" t="s">
        <v>348</v>
      </c>
    </row>
    <row r="355" spans="1:3" x14ac:dyDescent="0.25">
      <c r="A355" s="17" t="s">
        <v>12</v>
      </c>
      <c r="B355" s="2">
        <v>6244043</v>
      </c>
      <c r="C355" s="21" t="s">
        <v>349</v>
      </c>
    </row>
    <row r="356" spans="1:3" x14ac:dyDescent="0.25">
      <c r="A356" s="17" t="s">
        <v>12</v>
      </c>
      <c r="B356" s="2">
        <v>6254355</v>
      </c>
      <c r="C356" s="21" t="s">
        <v>350</v>
      </c>
    </row>
    <row r="357" spans="1:3" x14ac:dyDescent="0.25">
      <c r="A357" s="17" t="s">
        <v>12</v>
      </c>
      <c r="B357" s="2">
        <v>6256734</v>
      </c>
      <c r="C357" s="21" t="s">
        <v>351</v>
      </c>
    </row>
    <row r="358" spans="1:3" x14ac:dyDescent="0.25">
      <c r="A358" s="17" t="s">
        <v>12</v>
      </c>
      <c r="B358" s="4">
        <v>6263882</v>
      </c>
      <c r="C358" s="21" t="s">
        <v>352</v>
      </c>
    </row>
    <row r="359" spans="1:3" x14ac:dyDescent="0.25">
      <c r="A359" s="17" t="s">
        <v>12</v>
      </c>
      <c r="B359" s="2">
        <v>6276576</v>
      </c>
      <c r="C359" s="21" t="s">
        <v>353</v>
      </c>
    </row>
    <row r="360" spans="1:3" x14ac:dyDescent="0.25">
      <c r="A360" s="17" t="s">
        <v>12</v>
      </c>
      <c r="B360" s="2">
        <v>6297356</v>
      </c>
      <c r="C360" s="21" t="s">
        <v>354</v>
      </c>
    </row>
    <row r="361" spans="1:3" x14ac:dyDescent="0.25">
      <c r="A361" s="17" t="s">
        <v>12</v>
      </c>
      <c r="B361" s="2">
        <v>6318111</v>
      </c>
      <c r="C361" s="21" t="s">
        <v>355</v>
      </c>
    </row>
    <row r="362" spans="1:3" x14ac:dyDescent="0.25">
      <c r="A362" s="17" t="s">
        <v>12</v>
      </c>
      <c r="B362" s="2">
        <v>6357030</v>
      </c>
      <c r="C362" s="21" t="s">
        <v>356</v>
      </c>
    </row>
    <row r="363" spans="1:3" x14ac:dyDescent="0.25">
      <c r="A363" s="17" t="s">
        <v>12</v>
      </c>
      <c r="B363" s="2">
        <v>6435693</v>
      </c>
      <c r="C363" s="21" t="s">
        <v>357</v>
      </c>
    </row>
    <row r="364" spans="1:3" x14ac:dyDescent="0.25">
      <c r="A364" s="17" t="s">
        <v>12</v>
      </c>
      <c r="B364" s="2">
        <v>6435695</v>
      </c>
      <c r="C364" s="21" t="s">
        <v>358</v>
      </c>
    </row>
    <row r="365" spans="1:3" x14ac:dyDescent="0.25">
      <c r="A365" s="17" t="s">
        <v>12</v>
      </c>
      <c r="B365" s="2">
        <v>6511452</v>
      </c>
      <c r="C365" s="21" t="s">
        <v>359</v>
      </c>
    </row>
    <row r="366" spans="1:3" x14ac:dyDescent="0.25">
      <c r="A366" s="17" t="s">
        <v>12</v>
      </c>
      <c r="B366" s="5">
        <v>6547888</v>
      </c>
      <c r="C366" s="21" t="s">
        <v>360</v>
      </c>
    </row>
    <row r="367" spans="1:3" x14ac:dyDescent="0.25">
      <c r="A367" s="17" t="s">
        <v>12</v>
      </c>
      <c r="B367" s="2">
        <v>6621228</v>
      </c>
      <c r="C367" s="21" t="s">
        <v>13</v>
      </c>
    </row>
    <row r="368" spans="1:3" x14ac:dyDescent="0.25">
      <c r="A368" s="17" t="s">
        <v>12</v>
      </c>
      <c r="B368" s="2">
        <v>6826775</v>
      </c>
      <c r="C368" s="21" t="s">
        <v>154</v>
      </c>
    </row>
    <row r="369" spans="1:3" x14ac:dyDescent="0.25">
      <c r="A369" s="17" t="s">
        <v>12</v>
      </c>
      <c r="B369" s="8">
        <v>6852779</v>
      </c>
      <c r="C369" s="21" t="s">
        <v>361</v>
      </c>
    </row>
    <row r="370" spans="1:3" x14ac:dyDescent="0.25">
      <c r="A370" s="17" t="s">
        <v>12</v>
      </c>
      <c r="B370" s="5">
        <v>6853002</v>
      </c>
      <c r="C370" s="21" t="s">
        <v>362</v>
      </c>
    </row>
    <row r="371" spans="1:3" x14ac:dyDescent="0.25">
      <c r="A371" s="17" t="s">
        <v>12</v>
      </c>
      <c r="B371" s="9">
        <v>6853103</v>
      </c>
      <c r="C371" s="21" t="s">
        <v>363</v>
      </c>
    </row>
    <row r="372" spans="1:3" x14ac:dyDescent="0.25">
      <c r="A372" s="17" t="s">
        <v>12</v>
      </c>
      <c r="B372" s="5">
        <v>6853632</v>
      </c>
      <c r="C372" s="21" t="s">
        <v>364</v>
      </c>
    </row>
    <row r="373" spans="1:3" x14ac:dyDescent="0.25">
      <c r="A373" s="17" t="s">
        <v>12</v>
      </c>
      <c r="B373" s="4">
        <v>6866189</v>
      </c>
      <c r="C373" s="21" t="s">
        <v>365</v>
      </c>
    </row>
    <row r="374" spans="1:3" x14ac:dyDescent="0.25">
      <c r="A374" s="17" t="s">
        <v>12</v>
      </c>
      <c r="B374" s="2">
        <v>6892033</v>
      </c>
      <c r="C374" s="21" t="s">
        <v>366</v>
      </c>
    </row>
    <row r="375" spans="1:3" x14ac:dyDescent="0.25">
      <c r="A375" s="17" t="s">
        <v>12</v>
      </c>
      <c r="B375" s="6">
        <v>6893084</v>
      </c>
      <c r="C375" s="21" t="s">
        <v>367</v>
      </c>
    </row>
    <row r="376" spans="1:3" x14ac:dyDescent="0.25">
      <c r="A376" s="17" t="s">
        <v>12</v>
      </c>
      <c r="B376" s="2">
        <v>6904523</v>
      </c>
      <c r="C376" s="21" t="s">
        <v>368</v>
      </c>
    </row>
    <row r="377" spans="1:3" x14ac:dyDescent="0.25">
      <c r="A377" s="17" t="s">
        <v>12</v>
      </c>
      <c r="B377" s="8">
        <v>6969089</v>
      </c>
      <c r="C377" s="21" t="s">
        <v>369</v>
      </c>
    </row>
    <row r="378" spans="1:3" x14ac:dyDescent="0.25">
      <c r="A378" s="17" t="s">
        <v>12</v>
      </c>
      <c r="B378" s="2">
        <v>6969577</v>
      </c>
      <c r="C378" s="21" t="s">
        <v>370</v>
      </c>
    </row>
    <row r="379" spans="1:3" x14ac:dyDescent="0.25">
      <c r="A379" s="17" t="s">
        <v>12</v>
      </c>
      <c r="B379" s="2">
        <v>7710715</v>
      </c>
      <c r="C379" s="21" t="s">
        <v>371</v>
      </c>
    </row>
    <row r="380" spans="1:3" x14ac:dyDescent="0.25">
      <c r="A380" s="17" t="s">
        <v>12</v>
      </c>
      <c r="B380" s="8">
        <v>7948797</v>
      </c>
      <c r="C380" s="21" t="s">
        <v>372</v>
      </c>
    </row>
    <row r="381" spans="1:3" x14ac:dyDescent="0.25">
      <c r="A381" s="17" t="s">
        <v>12</v>
      </c>
      <c r="B381" s="22">
        <v>8040854</v>
      </c>
      <c r="C381" s="21" t="s">
        <v>373</v>
      </c>
    </row>
    <row r="382" spans="1:3" x14ac:dyDescent="0.25">
      <c r="A382" s="17" t="s">
        <v>12</v>
      </c>
      <c r="B382" s="2">
        <v>8643689</v>
      </c>
      <c r="C382" s="21" t="s">
        <v>374</v>
      </c>
    </row>
    <row r="383" spans="1:3" x14ac:dyDescent="0.25">
      <c r="A383" s="17" t="s">
        <v>12</v>
      </c>
      <c r="B383" s="5">
        <v>9062557</v>
      </c>
      <c r="C383" s="21" t="s">
        <v>375</v>
      </c>
    </row>
    <row r="384" spans="1:3" x14ac:dyDescent="0.25">
      <c r="A384" s="17" t="s">
        <v>12</v>
      </c>
      <c r="B384" s="11">
        <v>9185716</v>
      </c>
      <c r="C384" s="21" t="s">
        <v>376</v>
      </c>
    </row>
    <row r="385" spans="1:3" x14ac:dyDescent="0.25">
      <c r="A385" s="17" t="s">
        <v>12</v>
      </c>
      <c r="B385" s="8">
        <v>9416185</v>
      </c>
      <c r="C385" s="21" t="s">
        <v>377</v>
      </c>
    </row>
    <row r="386" spans="1:3" x14ac:dyDescent="0.25">
      <c r="A386" s="17" t="s">
        <v>12</v>
      </c>
      <c r="B386" s="11">
        <v>9482632</v>
      </c>
      <c r="C386" s="21" t="s">
        <v>378</v>
      </c>
    </row>
    <row r="387" spans="1:3" x14ac:dyDescent="0.25">
      <c r="A387" s="17" t="s">
        <v>12</v>
      </c>
      <c r="B387" s="5">
        <v>9489511</v>
      </c>
      <c r="C387" s="21" t="s">
        <v>379</v>
      </c>
    </row>
    <row r="388" spans="1:3" x14ac:dyDescent="0.25">
      <c r="A388" s="17" t="s">
        <v>12</v>
      </c>
      <c r="B388" s="22">
        <v>9981671</v>
      </c>
      <c r="C388" s="21" t="s">
        <v>380</v>
      </c>
    </row>
    <row r="389" spans="1:3" x14ac:dyDescent="0.25">
      <c r="A389" s="17" t="s">
        <v>12</v>
      </c>
      <c r="B389" s="9">
        <v>10187721</v>
      </c>
      <c r="C389" s="21" t="s">
        <v>381</v>
      </c>
    </row>
    <row r="390" spans="1:3" x14ac:dyDescent="0.25">
      <c r="A390" s="17" t="s">
        <v>12</v>
      </c>
      <c r="B390" s="5">
        <v>10350738</v>
      </c>
      <c r="C390" s="21" t="s">
        <v>382</v>
      </c>
    </row>
    <row r="391" spans="1:3" x14ac:dyDescent="0.25">
      <c r="A391" s="17" t="s">
        <v>12</v>
      </c>
      <c r="B391" s="22">
        <v>10351260</v>
      </c>
      <c r="C391" s="21" t="s">
        <v>383</v>
      </c>
    </row>
    <row r="392" spans="1:3" x14ac:dyDescent="0.25">
      <c r="A392" s="17" t="s">
        <v>12</v>
      </c>
      <c r="B392" s="4">
        <v>10352406</v>
      </c>
      <c r="C392" s="21" t="s">
        <v>384</v>
      </c>
    </row>
    <row r="393" spans="1:3" x14ac:dyDescent="0.25">
      <c r="A393" s="17" t="s">
        <v>12</v>
      </c>
      <c r="B393" s="2">
        <v>10352940</v>
      </c>
      <c r="C393" s="21" t="s">
        <v>385</v>
      </c>
    </row>
    <row r="394" spans="1:3" x14ac:dyDescent="0.25">
      <c r="A394" s="17" t="s">
        <v>12</v>
      </c>
      <c r="B394" s="8">
        <v>10508040</v>
      </c>
      <c r="C394" s="21" t="s">
        <v>386</v>
      </c>
    </row>
    <row r="395" spans="1:3" x14ac:dyDescent="0.25">
      <c r="A395" s="17" t="s">
        <v>12</v>
      </c>
      <c r="B395" s="8">
        <v>10540917</v>
      </c>
      <c r="C395" s="21" t="s">
        <v>387</v>
      </c>
    </row>
    <row r="396" spans="1:3" x14ac:dyDescent="0.25">
      <c r="A396" s="17" t="s">
        <v>12</v>
      </c>
      <c r="B396" s="1">
        <v>10788651</v>
      </c>
      <c r="C396" s="21" t="s">
        <v>388</v>
      </c>
    </row>
    <row r="397" spans="1:3" x14ac:dyDescent="0.25">
      <c r="A397" s="17" t="s">
        <v>12</v>
      </c>
      <c r="B397" s="4">
        <v>10793044</v>
      </c>
      <c r="C397" s="21" t="s">
        <v>389</v>
      </c>
    </row>
    <row r="398" spans="1:3" x14ac:dyDescent="0.25">
      <c r="A398" s="17" t="s">
        <v>12</v>
      </c>
      <c r="B398" s="1">
        <v>10817641</v>
      </c>
      <c r="C398" s="21" t="s">
        <v>390</v>
      </c>
    </row>
    <row r="399" spans="1:3" x14ac:dyDescent="0.25">
      <c r="A399" s="17" t="s">
        <v>12</v>
      </c>
      <c r="B399" s="4">
        <v>10872124</v>
      </c>
      <c r="C399" s="21" t="s">
        <v>391</v>
      </c>
    </row>
    <row r="400" spans="1:3" x14ac:dyDescent="0.25">
      <c r="A400" s="17" t="s">
        <v>12</v>
      </c>
      <c r="B400" s="8">
        <v>10888973</v>
      </c>
      <c r="C400" s="21" t="s">
        <v>392</v>
      </c>
    </row>
    <row r="401" spans="1:3" x14ac:dyDescent="0.25">
      <c r="A401" s="17" t="s">
        <v>12</v>
      </c>
      <c r="B401" s="9">
        <v>11026079</v>
      </c>
      <c r="C401" s="21" t="s">
        <v>393</v>
      </c>
    </row>
    <row r="402" spans="1:3" x14ac:dyDescent="0.25">
      <c r="A402" s="17" t="s">
        <v>12</v>
      </c>
      <c r="B402" s="5">
        <v>11037153</v>
      </c>
      <c r="C402" s="21" t="s">
        <v>394</v>
      </c>
    </row>
    <row r="403" spans="1:3" x14ac:dyDescent="0.25">
      <c r="A403" s="17" t="s">
        <v>12</v>
      </c>
      <c r="B403" s="4">
        <v>11041860</v>
      </c>
      <c r="C403" s="21" t="s">
        <v>395</v>
      </c>
    </row>
    <row r="404" spans="1:3" x14ac:dyDescent="0.25">
      <c r="A404" s="17" t="s">
        <v>12</v>
      </c>
      <c r="B404" s="9">
        <v>11049762</v>
      </c>
      <c r="C404" s="21" t="s">
        <v>396</v>
      </c>
    </row>
    <row r="405" spans="1:3" x14ac:dyDescent="0.25">
      <c r="A405" s="17" t="s">
        <v>12</v>
      </c>
      <c r="B405" s="8">
        <v>11055142</v>
      </c>
      <c r="C405" s="21" t="s">
        <v>397</v>
      </c>
    </row>
    <row r="406" spans="1:3" x14ac:dyDescent="0.25">
      <c r="A406" s="17" t="s">
        <v>12</v>
      </c>
      <c r="B406" s="1">
        <v>11095271</v>
      </c>
      <c r="C406" s="21" t="s">
        <v>398</v>
      </c>
    </row>
    <row r="407" spans="1:3" x14ac:dyDescent="0.25">
      <c r="A407" s="17" t="s">
        <v>12</v>
      </c>
      <c r="B407" s="1">
        <v>11157851</v>
      </c>
      <c r="C407" s="21" t="s">
        <v>399</v>
      </c>
    </row>
    <row r="408" spans="1:3" x14ac:dyDescent="0.25">
      <c r="A408" s="17" t="s">
        <v>12</v>
      </c>
      <c r="B408" s="1">
        <v>11413554</v>
      </c>
      <c r="C408" s="21" t="s">
        <v>400</v>
      </c>
    </row>
    <row r="409" spans="1:3" x14ac:dyDescent="0.25">
      <c r="A409" s="17" t="s">
        <v>12</v>
      </c>
      <c r="B409" s="2">
        <v>11500724</v>
      </c>
      <c r="C409" s="21" t="s">
        <v>401</v>
      </c>
    </row>
    <row r="410" spans="1:3" x14ac:dyDescent="0.25">
      <c r="A410" s="17" t="s">
        <v>12</v>
      </c>
      <c r="B410" s="2">
        <v>11604283</v>
      </c>
      <c r="C410" s="21" t="s">
        <v>402</v>
      </c>
    </row>
    <row r="411" spans="1:3" x14ac:dyDescent="0.25">
      <c r="A411" s="17" t="s">
        <v>12</v>
      </c>
      <c r="B411" s="2">
        <v>11676258</v>
      </c>
      <c r="C411" s="21" t="s">
        <v>403</v>
      </c>
    </row>
    <row r="412" spans="1:3" x14ac:dyDescent="0.25">
      <c r="A412" s="17" t="s">
        <v>12</v>
      </c>
      <c r="B412" s="2">
        <v>11944937</v>
      </c>
      <c r="C412" s="21" t="s">
        <v>404</v>
      </c>
    </row>
    <row r="413" spans="1:3" x14ac:dyDescent="0.25">
      <c r="A413" s="17" t="s">
        <v>12</v>
      </c>
      <c r="B413" s="2">
        <v>11994755</v>
      </c>
      <c r="C413" s="21" t="s">
        <v>405</v>
      </c>
    </row>
    <row r="414" spans="1:3" x14ac:dyDescent="0.25">
      <c r="A414" s="17" t="s">
        <v>12</v>
      </c>
      <c r="B414" s="2">
        <v>11994919</v>
      </c>
      <c r="C414" s="21" t="s">
        <v>406</v>
      </c>
    </row>
    <row r="415" spans="1:3" x14ac:dyDescent="0.25">
      <c r="A415" s="17" t="s">
        <v>12</v>
      </c>
      <c r="B415" s="2">
        <v>12357390</v>
      </c>
      <c r="C415" s="21" t="s">
        <v>407</v>
      </c>
    </row>
    <row r="416" spans="1:3" x14ac:dyDescent="0.25">
      <c r="A416" s="17" t="s">
        <v>12</v>
      </c>
      <c r="B416" s="2">
        <v>12384741</v>
      </c>
      <c r="C416" s="21" t="s">
        <v>408</v>
      </c>
    </row>
    <row r="417" spans="1:3" x14ac:dyDescent="0.25">
      <c r="A417" s="17" t="s">
        <v>12</v>
      </c>
      <c r="B417" s="2">
        <v>12397219</v>
      </c>
      <c r="C417" s="21" t="s">
        <v>409</v>
      </c>
    </row>
    <row r="418" spans="1:3" x14ac:dyDescent="0.25">
      <c r="A418" s="17" t="s">
        <v>12</v>
      </c>
      <c r="B418" s="2">
        <v>12616767</v>
      </c>
      <c r="C418" s="21" t="s">
        <v>410</v>
      </c>
    </row>
    <row r="419" spans="1:3" x14ac:dyDescent="0.25">
      <c r="A419" s="17" t="s">
        <v>12</v>
      </c>
      <c r="B419" s="2">
        <v>12685537</v>
      </c>
      <c r="C419" s="21" t="s">
        <v>411</v>
      </c>
    </row>
    <row r="420" spans="1:3" x14ac:dyDescent="0.25">
      <c r="A420" s="17" t="s">
        <v>12</v>
      </c>
      <c r="B420" s="2">
        <v>12834013</v>
      </c>
      <c r="C420" s="21" t="s">
        <v>412</v>
      </c>
    </row>
    <row r="421" spans="1:3" x14ac:dyDescent="0.25">
      <c r="A421" s="17" t="s">
        <v>12</v>
      </c>
      <c r="B421" s="2">
        <v>12878671</v>
      </c>
      <c r="C421" s="21" t="s">
        <v>413</v>
      </c>
    </row>
    <row r="422" spans="1:3" x14ac:dyDescent="0.25">
      <c r="A422" s="17" t="s">
        <v>12</v>
      </c>
      <c r="B422" s="2">
        <v>13048823</v>
      </c>
      <c r="C422" s="21" t="s">
        <v>414</v>
      </c>
    </row>
    <row r="423" spans="1:3" x14ac:dyDescent="0.25">
      <c r="A423" s="17" t="s">
        <v>12</v>
      </c>
      <c r="B423" s="2">
        <v>13159270</v>
      </c>
      <c r="C423" s="21" t="s">
        <v>415</v>
      </c>
    </row>
    <row r="424" spans="1:3" x14ac:dyDescent="0.25">
      <c r="A424" s="17" t="s">
        <v>12</v>
      </c>
      <c r="B424" s="2">
        <v>13290687</v>
      </c>
      <c r="C424" s="21" t="s">
        <v>416</v>
      </c>
    </row>
    <row r="425" spans="1:3" x14ac:dyDescent="0.25">
      <c r="A425" s="17" t="s">
        <v>12</v>
      </c>
      <c r="B425" s="2">
        <v>13374879</v>
      </c>
      <c r="C425" s="21" t="s">
        <v>417</v>
      </c>
    </row>
    <row r="426" spans="1:3" x14ac:dyDescent="0.25">
      <c r="A426" s="17" t="s">
        <v>12</v>
      </c>
      <c r="B426" s="2">
        <v>13537176</v>
      </c>
      <c r="C426" s="21" t="s">
        <v>418</v>
      </c>
    </row>
    <row r="427" spans="1:3" x14ac:dyDescent="0.25">
      <c r="A427" s="17" t="s">
        <v>12</v>
      </c>
      <c r="B427" s="2">
        <v>13548201</v>
      </c>
      <c r="C427" s="21" t="s">
        <v>419</v>
      </c>
    </row>
    <row r="428" spans="1:3" x14ac:dyDescent="0.25">
      <c r="A428" s="17" t="s">
        <v>12</v>
      </c>
      <c r="B428" s="2">
        <v>13615404</v>
      </c>
      <c r="C428" s="21" t="s">
        <v>420</v>
      </c>
    </row>
    <row r="429" spans="1:3" x14ac:dyDescent="0.25">
      <c r="A429" s="17" t="s">
        <v>12</v>
      </c>
      <c r="B429" s="2">
        <v>13685862</v>
      </c>
      <c r="C429" s="21" t="s">
        <v>421</v>
      </c>
    </row>
    <row r="430" spans="1:3" x14ac:dyDescent="0.25">
      <c r="A430" s="17" t="s">
        <v>12</v>
      </c>
      <c r="B430" s="2">
        <v>13686358</v>
      </c>
      <c r="C430" s="21" t="s">
        <v>422</v>
      </c>
    </row>
    <row r="431" spans="1:3" x14ac:dyDescent="0.25">
      <c r="A431" s="17" t="s">
        <v>12</v>
      </c>
      <c r="B431" s="2">
        <v>13686565</v>
      </c>
      <c r="C431" s="21" t="s">
        <v>423</v>
      </c>
    </row>
    <row r="432" spans="1:3" x14ac:dyDescent="0.25">
      <c r="A432" s="17" t="s">
        <v>12</v>
      </c>
      <c r="B432" s="2">
        <v>13864689</v>
      </c>
      <c r="C432" s="21" t="s">
        <v>424</v>
      </c>
    </row>
    <row r="433" spans="1:3" x14ac:dyDescent="0.25">
      <c r="A433" s="17" t="s">
        <v>12</v>
      </c>
      <c r="B433" s="2">
        <v>13871581</v>
      </c>
      <c r="C433" s="21" t="s">
        <v>425</v>
      </c>
    </row>
    <row r="434" spans="1:3" x14ac:dyDescent="0.25">
      <c r="A434" s="17" t="s">
        <v>12</v>
      </c>
      <c r="B434" s="2">
        <v>13873369</v>
      </c>
      <c r="C434" s="21" t="s">
        <v>426</v>
      </c>
    </row>
    <row r="435" spans="1:3" x14ac:dyDescent="0.25">
      <c r="A435" s="17" t="s">
        <v>12</v>
      </c>
      <c r="B435" s="2">
        <v>13885572</v>
      </c>
      <c r="C435" s="21" t="s">
        <v>427</v>
      </c>
    </row>
    <row r="436" spans="1:3" x14ac:dyDescent="0.25">
      <c r="A436" s="17" t="s">
        <v>12</v>
      </c>
      <c r="B436" s="2">
        <v>14158810</v>
      </c>
      <c r="C436" s="21" t="s">
        <v>428</v>
      </c>
    </row>
    <row r="437" spans="1:3" x14ac:dyDescent="0.25">
      <c r="A437" s="17" t="s">
        <v>12</v>
      </c>
      <c r="B437" s="2">
        <v>14346582</v>
      </c>
      <c r="C437" s="21" t="s">
        <v>429</v>
      </c>
    </row>
    <row r="438" spans="1:3" x14ac:dyDescent="0.25">
      <c r="A438" s="17" t="s">
        <v>12</v>
      </c>
      <c r="B438" s="2">
        <v>14532815</v>
      </c>
      <c r="C438" s="21" t="s">
        <v>430</v>
      </c>
    </row>
    <row r="439" spans="1:3" x14ac:dyDescent="0.25">
      <c r="A439" s="17" t="s">
        <v>12</v>
      </c>
      <c r="B439" s="2">
        <v>14789345</v>
      </c>
      <c r="C439" s="21" t="s">
        <v>431</v>
      </c>
    </row>
    <row r="440" spans="1:3" x14ac:dyDescent="0.25">
      <c r="A440" s="17" t="s">
        <v>12</v>
      </c>
      <c r="B440" s="2">
        <v>14955496</v>
      </c>
      <c r="C440" s="21" t="s">
        <v>432</v>
      </c>
    </row>
    <row r="441" spans="1:3" x14ac:dyDescent="0.25">
      <c r="A441" s="17" t="s">
        <v>12</v>
      </c>
      <c r="B441" s="2">
        <v>14992400</v>
      </c>
      <c r="C441" s="21" t="s">
        <v>433</v>
      </c>
    </row>
    <row r="442" spans="1:3" x14ac:dyDescent="0.25">
      <c r="A442" s="17" t="s">
        <v>12</v>
      </c>
      <c r="B442" s="2">
        <v>15040130</v>
      </c>
      <c r="C442" s="21" t="s">
        <v>434</v>
      </c>
    </row>
    <row r="443" spans="1:3" x14ac:dyDescent="0.25">
      <c r="A443" s="17" t="s">
        <v>12</v>
      </c>
      <c r="B443" s="2">
        <v>15420391</v>
      </c>
      <c r="C443" s="21" t="s">
        <v>435</v>
      </c>
    </row>
    <row r="444" spans="1:3" x14ac:dyDescent="0.25">
      <c r="A444" s="17" t="s">
        <v>12</v>
      </c>
      <c r="B444" s="2">
        <v>15574216</v>
      </c>
      <c r="C444" s="21" t="s">
        <v>436</v>
      </c>
    </row>
    <row r="445" spans="1:3" x14ac:dyDescent="0.25">
      <c r="A445" s="17" t="s">
        <v>12</v>
      </c>
      <c r="B445" s="2">
        <v>15574517</v>
      </c>
      <c r="C445" s="21" t="s">
        <v>437</v>
      </c>
    </row>
    <row r="446" spans="1:3" x14ac:dyDescent="0.25">
      <c r="A446" s="17" t="s">
        <v>12</v>
      </c>
      <c r="B446" s="2">
        <v>15587177</v>
      </c>
      <c r="C446" s="21" t="s">
        <v>438</v>
      </c>
    </row>
    <row r="447" spans="1:3" x14ac:dyDescent="0.25">
      <c r="A447" s="17" t="s">
        <v>12</v>
      </c>
      <c r="B447" s="2">
        <v>15870347</v>
      </c>
      <c r="C447" s="21" t="s">
        <v>439</v>
      </c>
    </row>
    <row r="448" spans="1:3" x14ac:dyDescent="0.25">
      <c r="A448" s="17" t="s">
        <v>12</v>
      </c>
      <c r="B448" s="2">
        <v>16084535</v>
      </c>
      <c r="C448" s="21" t="s">
        <v>440</v>
      </c>
    </row>
    <row r="449" spans="1:3" x14ac:dyDescent="0.25">
      <c r="A449" s="17" t="s">
        <v>12</v>
      </c>
      <c r="B449" s="2">
        <v>16096799</v>
      </c>
      <c r="C449" s="21" t="s">
        <v>441</v>
      </c>
    </row>
    <row r="450" spans="1:3" x14ac:dyDescent="0.25">
      <c r="A450" s="17" t="s">
        <v>12</v>
      </c>
      <c r="B450" s="2">
        <v>16452687</v>
      </c>
      <c r="C450" s="21" t="s">
        <v>450</v>
      </c>
    </row>
    <row r="451" spans="1:3" x14ac:dyDescent="0.25">
      <c r="A451" s="17" t="s">
        <v>12</v>
      </c>
      <c r="B451" s="2">
        <v>16557897</v>
      </c>
      <c r="C451" s="21" t="s">
        <v>442</v>
      </c>
    </row>
    <row r="452" spans="1:3" x14ac:dyDescent="0.25">
      <c r="A452" s="17" t="s">
        <v>12</v>
      </c>
      <c r="B452" s="2">
        <v>17927965</v>
      </c>
      <c r="C452" s="21" t="s">
        <v>443</v>
      </c>
    </row>
    <row r="453" spans="1:3" x14ac:dyDescent="0.25">
      <c r="A453" s="17" t="s">
        <v>12</v>
      </c>
      <c r="B453" s="2">
        <v>18182112</v>
      </c>
      <c r="C453" s="21" t="s">
        <v>444</v>
      </c>
    </row>
    <row r="454" spans="1:3" x14ac:dyDescent="0.25">
      <c r="A454" s="17" t="s">
        <v>12</v>
      </c>
      <c r="B454" s="2">
        <v>18443335</v>
      </c>
      <c r="C454" s="21" t="s">
        <v>445</v>
      </c>
    </row>
    <row r="455" spans="1:3" x14ac:dyDescent="0.25">
      <c r="A455" s="17" t="s">
        <v>12</v>
      </c>
      <c r="B455" s="2">
        <v>18487296</v>
      </c>
      <c r="C455" s="21" t="s">
        <v>446</v>
      </c>
    </row>
    <row r="456" spans="1:3" x14ac:dyDescent="0.25">
      <c r="A456" s="17" t="s">
        <v>12</v>
      </c>
      <c r="B456" s="2">
        <v>18541368</v>
      </c>
      <c r="C456" s="21" t="s">
        <v>447</v>
      </c>
    </row>
    <row r="457" spans="1:3" x14ac:dyDescent="0.25">
      <c r="A457" s="17" t="s">
        <v>12</v>
      </c>
      <c r="B457" s="2">
        <v>19349783</v>
      </c>
      <c r="C457" s="21" t="s">
        <v>448</v>
      </c>
    </row>
    <row r="458" spans="1:3" x14ac:dyDescent="0.25">
      <c r="A458" s="17" t="s">
        <v>12</v>
      </c>
      <c r="B458" s="2">
        <v>19560257</v>
      </c>
      <c r="C458" s="21" t="s">
        <v>449</v>
      </c>
    </row>
    <row r="459" spans="1:3" x14ac:dyDescent="0.25">
      <c r="A459" s="17" t="s">
        <v>12</v>
      </c>
      <c r="B459" s="2">
        <v>19735201</v>
      </c>
      <c r="C459" s="21" t="s">
        <v>451</v>
      </c>
    </row>
    <row r="460" spans="1:3" x14ac:dyDescent="0.25">
      <c r="A460" s="17" t="s">
        <v>12</v>
      </c>
      <c r="B460" s="2">
        <v>23926058</v>
      </c>
      <c r="C460" s="21" t="s">
        <v>452</v>
      </c>
    </row>
    <row r="461" spans="1:3" x14ac:dyDescent="0.25">
      <c r="A461" s="17" t="s">
        <v>12</v>
      </c>
      <c r="B461" s="2">
        <v>26281689</v>
      </c>
      <c r="C461" s="21" t="s">
        <v>453</v>
      </c>
    </row>
    <row r="462" spans="1:3" x14ac:dyDescent="0.25">
      <c r="A462" s="23" t="s">
        <v>470</v>
      </c>
      <c r="B462" s="12">
        <v>22760305</v>
      </c>
      <c r="C462" s="13" t="s">
        <v>474</v>
      </c>
    </row>
    <row r="463" spans="1:3" x14ac:dyDescent="0.25">
      <c r="A463" s="23" t="s">
        <v>470</v>
      </c>
      <c r="B463" s="12">
        <v>27103750</v>
      </c>
      <c r="C463" s="13" t="s">
        <v>475</v>
      </c>
    </row>
    <row r="464" spans="1:3" x14ac:dyDescent="0.25">
      <c r="A464" s="17" t="s">
        <v>12</v>
      </c>
      <c r="B464" s="19">
        <v>13247814</v>
      </c>
      <c r="C464" s="17" t="s">
        <v>476</v>
      </c>
    </row>
    <row r="465" spans="1:3" x14ac:dyDescent="0.25">
      <c r="A465" s="17" t="s">
        <v>473</v>
      </c>
      <c r="B465" s="19">
        <v>5994165</v>
      </c>
      <c r="C465" s="17" t="s">
        <v>477</v>
      </c>
    </row>
    <row r="466" spans="1:3" x14ac:dyDescent="0.25">
      <c r="A466" s="17" t="s">
        <v>471</v>
      </c>
      <c r="B466" s="19">
        <v>5527108</v>
      </c>
      <c r="C466" s="17" t="s">
        <v>478</v>
      </c>
    </row>
    <row r="467" spans="1:3" x14ac:dyDescent="0.25">
      <c r="A467" s="17" t="s">
        <v>471</v>
      </c>
      <c r="B467" s="19">
        <v>11918573</v>
      </c>
      <c r="C467" s="21" t="s">
        <v>479</v>
      </c>
    </row>
    <row r="468" spans="1:3" x14ac:dyDescent="0.25">
      <c r="A468" s="17" t="s">
        <v>471</v>
      </c>
      <c r="B468" s="19">
        <v>10888973</v>
      </c>
      <c r="C468" s="17" t="s">
        <v>480</v>
      </c>
    </row>
    <row r="469" spans="1:3" x14ac:dyDescent="0.25">
      <c r="A469" s="17" t="s">
        <v>471</v>
      </c>
      <c r="B469" s="20">
        <v>12616767</v>
      </c>
      <c r="C469" s="17" t="s">
        <v>481</v>
      </c>
    </row>
    <row r="470" spans="1:3" x14ac:dyDescent="0.25">
      <c r="A470" s="17" t="s">
        <v>471</v>
      </c>
      <c r="B470" s="19">
        <v>14444039</v>
      </c>
      <c r="C470" s="17" t="s">
        <v>482</v>
      </c>
    </row>
    <row r="471" spans="1:3" x14ac:dyDescent="0.25">
      <c r="A471" s="17" t="s">
        <v>471</v>
      </c>
      <c r="B471" s="19">
        <v>21469041</v>
      </c>
      <c r="C471" s="21" t="s">
        <v>483</v>
      </c>
    </row>
    <row r="472" spans="1:3" x14ac:dyDescent="0.25">
      <c r="A472" s="17" t="s">
        <v>471</v>
      </c>
      <c r="B472" s="19">
        <v>3566593</v>
      </c>
      <c r="C472" s="17" t="s">
        <v>484</v>
      </c>
    </row>
    <row r="473" spans="1:3" x14ac:dyDescent="0.25">
      <c r="A473" s="17" t="s">
        <v>471</v>
      </c>
      <c r="B473" s="19">
        <v>9480485</v>
      </c>
      <c r="C473" s="17" t="s">
        <v>485</v>
      </c>
    </row>
    <row r="474" spans="1:3" x14ac:dyDescent="0.25">
      <c r="A474" s="17" t="s">
        <v>471</v>
      </c>
      <c r="B474" s="19">
        <v>14382027</v>
      </c>
      <c r="C474" s="21" t="s">
        <v>486</v>
      </c>
    </row>
    <row r="475" spans="1:3" x14ac:dyDescent="0.25">
      <c r="A475" s="23" t="s">
        <v>470</v>
      </c>
      <c r="B475" s="12">
        <v>24318588</v>
      </c>
      <c r="C475" s="13" t="s">
        <v>103</v>
      </c>
    </row>
  </sheetData>
  <conditionalFormatting sqref="B417">
    <cfRule type="duplicateValues" dxfId="704" priority="36"/>
  </conditionalFormatting>
  <conditionalFormatting sqref="B418:B461">
    <cfRule type="duplicateValues" dxfId="703" priority="35"/>
  </conditionalFormatting>
  <conditionalFormatting sqref="B9:B10">
    <cfRule type="duplicateValues" dxfId="702" priority="37"/>
  </conditionalFormatting>
  <conditionalFormatting sqref="B12">
    <cfRule type="duplicateValues" dxfId="701" priority="38"/>
  </conditionalFormatting>
  <conditionalFormatting sqref="B11">
    <cfRule type="duplicateValues" dxfId="700" priority="39"/>
  </conditionalFormatting>
  <conditionalFormatting sqref="B13">
    <cfRule type="duplicateValues" dxfId="699" priority="40"/>
  </conditionalFormatting>
  <conditionalFormatting sqref="B14:B19">
    <cfRule type="duplicateValues" dxfId="698" priority="41"/>
  </conditionalFormatting>
  <conditionalFormatting sqref="B9:B19">
    <cfRule type="duplicateValues" dxfId="697" priority="42"/>
  </conditionalFormatting>
  <conditionalFormatting sqref="B21">
    <cfRule type="duplicateValues" dxfId="696" priority="43"/>
    <cfRule type="duplicateValues" dxfId="695" priority="44"/>
  </conditionalFormatting>
  <conditionalFormatting sqref="B21">
    <cfRule type="duplicateValues" dxfId="694" priority="45"/>
  </conditionalFormatting>
  <conditionalFormatting sqref="B22">
    <cfRule type="duplicateValues" dxfId="693" priority="46"/>
    <cfRule type="duplicateValues" dxfId="692" priority="47"/>
  </conditionalFormatting>
  <conditionalFormatting sqref="B22">
    <cfRule type="duplicateValues" dxfId="691" priority="48"/>
  </conditionalFormatting>
  <conditionalFormatting sqref="B20">
    <cfRule type="duplicateValues" dxfId="690" priority="49"/>
  </conditionalFormatting>
  <conditionalFormatting sqref="B58">
    <cfRule type="duplicateValues" dxfId="689" priority="50"/>
    <cfRule type="duplicateValues" dxfId="688" priority="51"/>
  </conditionalFormatting>
  <conditionalFormatting sqref="B58">
    <cfRule type="duplicateValues" dxfId="687" priority="52"/>
  </conditionalFormatting>
  <conditionalFormatting sqref="B59">
    <cfRule type="duplicateValues" dxfId="686" priority="53"/>
    <cfRule type="duplicateValues" dxfId="685" priority="54"/>
  </conditionalFormatting>
  <conditionalFormatting sqref="B59">
    <cfRule type="duplicateValues" dxfId="684" priority="55"/>
  </conditionalFormatting>
  <conditionalFormatting sqref="B60">
    <cfRule type="duplicateValues" dxfId="683" priority="56"/>
    <cfRule type="duplicateValues" dxfId="682" priority="57"/>
  </conditionalFormatting>
  <conditionalFormatting sqref="B60">
    <cfRule type="duplicateValues" dxfId="681" priority="58"/>
  </conditionalFormatting>
  <conditionalFormatting sqref="B61">
    <cfRule type="duplicateValues" dxfId="680" priority="59"/>
    <cfRule type="duplicateValues" dxfId="679" priority="60"/>
  </conditionalFormatting>
  <conditionalFormatting sqref="B61">
    <cfRule type="duplicateValues" dxfId="678" priority="61"/>
  </conditionalFormatting>
  <conditionalFormatting sqref="B55">
    <cfRule type="duplicateValues" dxfId="677" priority="62"/>
  </conditionalFormatting>
  <conditionalFormatting sqref="B62:B64">
    <cfRule type="duplicateValues" dxfId="676" priority="63"/>
    <cfRule type="duplicateValues" dxfId="675" priority="64"/>
  </conditionalFormatting>
  <conditionalFormatting sqref="B62:B64">
    <cfRule type="duplicateValues" dxfId="674" priority="65"/>
  </conditionalFormatting>
  <conditionalFormatting sqref="B72:B73">
    <cfRule type="duplicateValues" dxfId="673" priority="66"/>
    <cfRule type="duplicateValues" dxfId="672" priority="67"/>
  </conditionalFormatting>
  <conditionalFormatting sqref="B72:B73">
    <cfRule type="duplicateValues" dxfId="671" priority="68"/>
  </conditionalFormatting>
  <conditionalFormatting sqref="B55:B57">
    <cfRule type="duplicateValues" dxfId="670" priority="69"/>
    <cfRule type="duplicateValues" dxfId="669" priority="70"/>
  </conditionalFormatting>
  <conditionalFormatting sqref="B55:B57">
    <cfRule type="duplicateValues" dxfId="668" priority="71"/>
  </conditionalFormatting>
  <conditionalFormatting sqref="B65:B66">
    <cfRule type="duplicateValues" dxfId="667" priority="72"/>
    <cfRule type="duplicateValues" dxfId="666" priority="73"/>
  </conditionalFormatting>
  <conditionalFormatting sqref="B65:B66">
    <cfRule type="duplicateValues" dxfId="665" priority="74"/>
  </conditionalFormatting>
  <conditionalFormatting sqref="B74">
    <cfRule type="duplicateValues" dxfId="664" priority="75"/>
    <cfRule type="duplicateValues" dxfId="663" priority="76"/>
  </conditionalFormatting>
  <conditionalFormatting sqref="B74">
    <cfRule type="duplicateValues" dxfId="662" priority="77"/>
  </conditionalFormatting>
  <conditionalFormatting sqref="B71">
    <cfRule type="duplicateValues" dxfId="661" priority="78"/>
    <cfRule type="duplicateValues" dxfId="660" priority="79"/>
  </conditionalFormatting>
  <conditionalFormatting sqref="B71">
    <cfRule type="duplicateValues" dxfId="659" priority="80"/>
  </conditionalFormatting>
  <conditionalFormatting sqref="B75:B77">
    <cfRule type="duplicateValues" dxfId="658" priority="81"/>
    <cfRule type="duplicateValues" dxfId="657" priority="82"/>
  </conditionalFormatting>
  <conditionalFormatting sqref="B75:B77">
    <cfRule type="duplicateValues" dxfId="656" priority="83"/>
  </conditionalFormatting>
  <conditionalFormatting sqref="B78:B81">
    <cfRule type="duplicateValues" dxfId="655" priority="84"/>
  </conditionalFormatting>
  <conditionalFormatting sqref="B78:B81">
    <cfRule type="duplicateValues" dxfId="654" priority="85"/>
    <cfRule type="duplicateValues" dxfId="653" priority="86"/>
  </conditionalFormatting>
  <conditionalFormatting sqref="B83">
    <cfRule type="duplicateValues" dxfId="652" priority="87"/>
  </conditionalFormatting>
  <conditionalFormatting sqref="B83">
    <cfRule type="duplicateValues" dxfId="651" priority="88"/>
    <cfRule type="duplicateValues" dxfId="650" priority="89"/>
  </conditionalFormatting>
  <conditionalFormatting sqref="B82">
    <cfRule type="duplicateValues" dxfId="649" priority="90"/>
  </conditionalFormatting>
  <conditionalFormatting sqref="B82">
    <cfRule type="duplicateValues" dxfId="648" priority="91"/>
    <cfRule type="duplicateValues" dxfId="647" priority="92"/>
  </conditionalFormatting>
  <conditionalFormatting sqref="B84:B92">
    <cfRule type="duplicateValues" dxfId="646" priority="93"/>
  </conditionalFormatting>
  <conditionalFormatting sqref="B84:B92">
    <cfRule type="duplicateValues" dxfId="645" priority="94"/>
    <cfRule type="duplicateValues" dxfId="644" priority="95"/>
  </conditionalFormatting>
  <conditionalFormatting sqref="B52:B54">
    <cfRule type="duplicateValues" dxfId="643" priority="96"/>
    <cfRule type="duplicateValues" dxfId="642" priority="97"/>
  </conditionalFormatting>
  <conditionalFormatting sqref="B52:B54">
    <cfRule type="duplicateValues" dxfId="641" priority="98"/>
  </conditionalFormatting>
  <conditionalFormatting sqref="B93">
    <cfRule type="duplicateValues" dxfId="640" priority="99"/>
  </conditionalFormatting>
  <conditionalFormatting sqref="B93">
    <cfRule type="duplicateValues" dxfId="639" priority="100"/>
    <cfRule type="duplicateValues" dxfId="638" priority="101"/>
  </conditionalFormatting>
  <conditionalFormatting sqref="B67:B70">
    <cfRule type="duplicateValues" dxfId="637" priority="102"/>
    <cfRule type="duplicateValues" dxfId="636" priority="103"/>
  </conditionalFormatting>
  <conditionalFormatting sqref="B67:B70">
    <cfRule type="duplicateValues" dxfId="635" priority="104"/>
  </conditionalFormatting>
  <conditionalFormatting sqref="B94:B97">
    <cfRule type="duplicateValues" dxfId="634" priority="105"/>
    <cfRule type="duplicateValues" dxfId="633" priority="106"/>
  </conditionalFormatting>
  <conditionalFormatting sqref="B94:B97">
    <cfRule type="duplicateValues" dxfId="632" priority="107"/>
  </conditionalFormatting>
  <conditionalFormatting sqref="B98:B99">
    <cfRule type="duplicateValues" dxfId="631" priority="108"/>
    <cfRule type="duplicateValues" dxfId="630" priority="109"/>
  </conditionalFormatting>
  <conditionalFormatting sqref="B98:B99">
    <cfRule type="duplicateValues" dxfId="629" priority="110"/>
  </conditionalFormatting>
  <conditionalFormatting sqref="B100">
    <cfRule type="duplicateValues" dxfId="628" priority="111"/>
    <cfRule type="duplicateValues" dxfId="627" priority="112"/>
  </conditionalFormatting>
  <conditionalFormatting sqref="B100">
    <cfRule type="duplicateValues" dxfId="626" priority="113"/>
  </conditionalFormatting>
  <conditionalFormatting sqref="B101:B102">
    <cfRule type="duplicateValues" dxfId="625" priority="114"/>
    <cfRule type="duplicateValues" dxfId="624" priority="115"/>
  </conditionalFormatting>
  <conditionalFormatting sqref="B101:B102">
    <cfRule type="duplicateValues" dxfId="623" priority="116"/>
  </conditionalFormatting>
  <conditionalFormatting sqref="B23:B93">
    <cfRule type="duplicateValues" dxfId="622" priority="117"/>
    <cfRule type="duplicateValues" dxfId="621" priority="118"/>
  </conditionalFormatting>
  <conditionalFormatting sqref="B23:B93">
    <cfRule type="duplicateValues" dxfId="620" priority="119"/>
  </conditionalFormatting>
  <conditionalFormatting sqref="B333:B398 B247:B317">
    <cfRule type="duplicateValues" dxfId="619" priority="120"/>
  </conditionalFormatting>
  <conditionalFormatting sqref="B329:B398 B103:B317">
    <cfRule type="duplicateValues" dxfId="618" priority="121"/>
  </conditionalFormatting>
  <conditionalFormatting sqref="B329:B398 B103:B317">
    <cfRule type="duplicateValues" dxfId="617" priority="122"/>
    <cfRule type="duplicateValues" dxfId="616" priority="123"/>
  </conditionalFormatting>
  <conditionalFormatting sqref="B462">
    <cfRule type="duplicateValues" dxfId="615" priority="34" stopIfTrue="1"/>
  </conditionalFormatting>
  <conditionalFormatting sqref="B462">
    <cfRule type="duplicateValues" dxfId="614" priority="33"/>
  </conditionalFormatting>
  <conditionalFormatting sqref="B463">
    <cfRule type="duplicateValues" dxfId="613" priority="32" stopIfTrue="1"/>
  </conditionalFormatting>
  <conditionalFormatting sqref="B463">
    <cfRule type="duplicateValues" dxfId="612" priority="31"/>
  </conditionalFormatting>
  <conditionalFormatting sqref="B464">
    <cfRule type="duplicateValues" dxfId="611" priority="30"/>
  </conditionalFormatting>
  <conditionalFormatting sqref="B464">
    <cfRule type="duplicateValues" dxfId="610" priority="28"/>
    <cfRule type="duplicateValues" dxfId="609" priority="29"/>
  </conditionalFormatting>
  <conditionalFormatting sqref="B465">
    <cfRule type="duplicateValues" dxfId="608" priority="25"/>
  </conditionalFormatting>
  <conditionalFormatting sqref="B465">
    <cfRule type="duplicateValues" dxfId="607" priority="26"/>
    <cfRule type="duplicateValues" dxfId="606" priority="27"/>
  </conditionalFormatting>
  <conditionalFormatting sqref="B466">
    <cfRule type="duplicateValues" dxfId="605" priority="22"/>
  </conditionalFormatting>
  <conditionalFormatting sqref="B466">
    <cfRule type="duplicateValues" dxfId="604" priority="23"/>
    <cfRule type="duplicateValues" dxfId="603" priority="24"/>
  </conditionalFormatting>
  <conditionalFormatting sqref="B467">
    <cfRule type="duplicateValues" dxfId="602" priority="19"/>
  </conditionalFormatting>
  <conditionalFormatting sqref="B467">
    <cfRule type="duplicateValues" dxfId="601" priority="20"/>
    <cfRule type="duplicateValues" dxfId="600" priority="21"/>
  </conditionalFormatting>
  <conditionalFormatting sqref="B468">
    <cfRule type="duplicateValues" dxfId="599" priority="16"/>
  </conditionalFormatting>
  <conditionalFormatting sqref="B468">
    <cfRule type="duplicateValues" dxfId="598" priority="17"/>
    <cfRule type="duplicateValues" dxfId="597" priority="18"/>
  </conditionalFormatting>
  <conditionalFormatting sqref="B469">
    <cfRule type="duplicateValues" dxfId="596" priority="12"/>
  </conditionalFormatting>
  <conditionalFormatting sqref="B469">
    <cfRule type="duplicateValues" dxfId="595" priority="14" stopIfTrue="1"/>
    <cfRule type="duplicateValues" dxfId="594" priority="15" stopIfTrue="1"/>
  </conditionalFormatting>
  <conditionalFormatting sqref="B469">
    <cfRule type="duplicateValues" dxfId="593" priority="13" stopIfTrue="1"/>
  </conditionalFormatting>
  <conditionalFormatting sqref="B470:B472">
    <cfRule type="duplicateValues" dxfId="592" priority="11"/>
  </conditionalFormatting>
  <conditionalFormatting sqref="B470:B472">
    <cfRule type="duplicateValues" dxfId="591" priority="9"/>
    <cfRule type="duplicateValues" dxfId="590" priority="10"/>
  </conditionalFormatting>
  <conditionalFormatting sqref="B473">
    <cfRule type="duplicateValues" dxfId="589" priority="6"/>
  </conditionalFormatting>
  <conditionalFormatting sqref="B473">
    <cfRule type="duplicateValues" dxfId="588" priority="7"/>
    <cfRule type="duplicateValues" dxfId="587" priority="8"/>
  </conditionalFormatting>
  <conditionalFormatting sqref="B474">
    <cfRule type="duplicateValues" dxfId="586" priority="3"/>
  </conditionalFormatting>
  <conditionalFormatting sqref="B474">
    <cfRule type="duplicateValues" dxfId="585" priority="4"/>
    <cfRule type="duplicateValues" dxfId="584" priority="5"/>
  </conditionalFormatting>
  <conditionalFormatting sqref="B475">
    <cfRule type="duplicateValues" dxfId="583" priority="2" stopIfTrue="1"/>
  </conditionalFormatting>
  <conditionalFormatting sqref="B475">
    <cfRule type="duplicateValues" dxfId="582" priority="1"/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 tint="-0.499984740745262"/>
  </sheetPr>
  <dimension ref="A1:Q515"/>
  <sheetViews>
    <sheetView zoomScale="86" zoomScaleNormal="86" workbookViewId="0">
      <pane xSplit="2" ySplit="2" topLeftCell="E461" activePane="bottomRight" state="frozen"/>
      <selection pane="topRight" activeCell="C1" sqref="C1"/>
      <selection pane="bottomLeft" activeCell="A3" sqref="A3"/>
      <selection pane="bottomRight" activeCell="G3" sqref="G3:G486"/>
    </sheetView>
  </sheetViews>
  <sheetFormatPr baseColWidth="10" defaultColWidth="11.42578125" defaultRowHeight="15" x14ac:dyDescent="0.25"/>
  <cols>
    <col min="1" max="1" width="10.5703125" style="73" customWidth="1"/>
    <col min="2" max="2" width="37.28515625" style="73" bestFit="1" customWidth="1"/>
    <col min="3" max="3" width="37.28515625" style="73" customWidth="1"/>
    <col min="4" max="4" width="58.85546875" style="73" customWidth="1"/>
    <col min="5" max="5" width="26.140625" style="118" customWidth="1"/>
    <col min="6" max="6" width="64.5703125" style="73" customWidth="1"/>
    <col min="7" max="7" width="26.42578125" style="116" customWidth="1"/>
    <col min="8" max="8" width="19.28515625" style="73" customWidth="1"/>
    <col min="9" max="9" width="21.85546875" style="73" customWidth="1"/>
    <col min="10" max="10" width="34.7109375" style="74" bestFit="1" customWidth="1"/>
    <col min="11" max="11" width="20" style="74" bestFit="1" customWidth="1"/>
    <col min="12" max="13" width="16.7109375" style="73" bestFit="1" customWidth="1"/>
    <col min="14" max="14" width="15.5703125" style="73" customWidth="1"/>
    <col min="15" max="15" width="18" style="73" customWidth="1"/>
    <col min="16" max="16" width="40.28515625" style="73" bestFit="1" customWidth="1"/>
    <col min="17" max="18" width="40.28515625" style="77" bestFit="1" customWidth="1"/>
    <col min="19" max="16384" width="11.42578125" style="77"/>
  </cols>
  <sheetData>
    <row r="1" spans="1:17" x14ac:dyDescent="0.25">
      <c r="A1" s="117" t="s">
        <v>816</v>
      </c>
      <c r="B1" s="117" t="s">
        <v>816</v>
      </c>
      <c r="C1" s="117"/>
      <c r="D1" s="73" t="s">
        <v>816</v>
      </c>
      <c r="F1" s="73" t="s">
        <v>816</v>
      </c>
      <c r="G1" s="116" t="s">
        <v>816</v>
      </c>
      <c r="H1" s="73" t="s">
        <v>816</v>
      </c>
      <c r="I1" s="73" t="s">
        <v>816</v>
      </c>
      <c r="J1" s="74" t="s">
        <v>816</v>
      </c>
      <c r="K1" s="74" t="s">
        <v>816</v>
      </c>
      <c r="L1" s="241"/>
      <c r="M1" s="241"/>
      <c r="N1" s="241"/>
      <c r="O1" s="73" t="s">
        <v>816</v>
      </c>
      <c r="P1" s="73" t="s">
        <v>1424</v>
      </c>
      <c r="Q1" s="73" t="s">
        <v>1423</v>
      </c>
    </row>
    <row r="2" spans="1:17" x14ac:dyDescent="0.25">
      <c r="A2" s="109" t="s">
        <v>0</v>
      </c>
      <c r="B2" s="110" t="s">
        <v>457</v>
      </c>
      <c r="C2" s="110" t="s">
        <v>6</v>
      </c>
      <c r="D2" s="111" t="s">
        <v>743</v>
      </c>
      <c r="E2" s="110" t="s">
        <v>532</v>
      </c>
      <c r="F2" s="111" t="s">
        <v>701</v>
      </c>
      <c r="G2" s="112" t="s">
        <v>492</v>
      </c>
      <c r="H2" s="111" t="s">
        <v>493</v>
      </c>
      <c r="I2" s="113" t="s">
        <v>1425</v>
      </c>
      <c r="J2" s="113" t="s">
        <v>808</v>
      </c>
      <c r="K2" s="224"/>
      <c r="L2" s="241"/>
      <c r="M2" s="241"/>
      <c r="N2" s="241"/>
      <c r="P2" s="119" t="s">
        <v>788</v>
      </c>
      <c r="Q2" s="119" t="s">
        <v>789</v>
      </c>
    </row>
    <row r="3" spans="1:17" s="3" customFormat="1" x14ac:dyDescent="0.25">
      <c r="A3" s="294">
        <v>3810064</v>
      </c>
      <c r="B3" s="114" t="s">
        <v>913</v>
      </c>
      <c r="C3" s="114" t="s">
        <v>470</v>
      </c>
      <c r="D3" s="114" t="s">
        <v>939</v>
      </c>
      <c r="E3" s="120" t="s">
        <v>536</v>
      </c>
      <c r="F3" s="114" t="s">
        <v>697</v>
      </c>
      <c r="G3" s="121" t="s">
        <v>1427</v>
      </c>
      <c r="H3" s="265" t="s">
        <v>932</v>
      </c>
      <c r="I3" s="294"/>
      <c r="J3" s="219" t="s">
        <v>835</v>
      </c>
      <c r="K3" s="225"/>
      <c r="L3" s="241"/>
      <c r="M3" s="241"/>
      <c r="N3" s="241"/>
      <c r="O3" s="124"/>
      <c r="P3" s="123" t="s">
        <v>503</v>
      </c>
      <c r="Q3" s="123" t="s">
        <v>503</v>
      </c>
    </row>
    <row r="4" spans="1:17" x14ac:dyDescent="0.25">
      <c r="A4" s="294">
        <v>4278632</v>
      </c>
      <c r="B4" s="114" t="s">
        <v>530</v>
      </c>
      <c r="C4" s="114" t="s">
        <v>470</v>
      </c>
      <c r="D4" s="114" t="s">
        <v>939</v>
      </c>
      <c r="E4" s="120" t="s">
        <v>536</v>
      </c>
      <c r="F4" s="114" t="s">
        <v>697</v>
      </c>
      <c r="G4" s="121" t="s">
        <v>1427</v>
      </c>
      <c r="H4" s="265" t="s">
        <v>932</v>
      </c>
      <c r="I4" s="294"/>
      <c r="J4" s="219"/>
      <c r="K4" s="225"/>
      <c r="L4" s="241"/>
      <c r="M4" s="241"/>
      <c r="N4" s="241"/>
      <c r="P4" s="124" t="s">
        <v>506</v>
      </c>
      <c r="Q4" s="123" t="str">
        <f>"INHRR"&amp;"_"&amp;DIRECCIONES[[#This Row],[DIRECCION]]</f>
        <v xml:space="preserve">INHRR_ADMINISTRACION </v>
      </c>
    </row>
    <row r="5" spans="1:17" x14ac:dyDescent="0.25">
      <c r="A5" s="294">
        <v>4884263</v>
      </c>
      <c r="B5" s="114" t="s">
        <v>328</v>
      </c>
      <c r="C5" s="114" t="s">
        <v>471</v>
      </c>
      <c r="D5" s="114" t="s">
        <v>582</v>
      </c>
      <c r="E5" s="120" t="s">
        <v>533</v>
      </c>
      <c r="F5" s="114" t="s">
        <v>697</v>
      </c>
      <c r="G5" s="121" t="s">
        <v>1427</v>
      </c>
      <c r="H5" s="265" t="s">
        <v>932</v>
      </c>
      <c r="I5" s="294"/>
      <c r="J5" s="219"/>
      <c r="K5" s="225"/>
      <c r="L5" s="241"/>
      <c r="M5" s="241"/>
      <c r="N5" s="241"/>
      <c r="P5" s="124" t="s">
        <v>507</v>
      </c>
      <c r="Q5" s="123" t="str">
        <f>"INHRR"&amp;"_"&amp;DIRECCIONES[[#This Row],[DIRECCION]]</f>
        <v xml:space="preserve">INHRR_ATENCION DE CIUDADANO </v>
      </c>
    </row>
    <row r="6" spans="1:17" ht="14.25" customHeight="1" x14ac:dyDescent="0.25">
      <c r="A6" s="294">
        <v>4106547</v>
      </c>
      <c r="B6" s="114" t="s">
        <v>703</v>
      </c>
      <c r="C6" s="114" t="s">
        <v>524</v>
      </c>
      <c r="D6" s="114" t="s">
        <v>524</v>
      </c>
      <c r="E6" s="120" t="s">
        <v>769</v>
      </c>
      <c r="F6" s="114" t="s">
        <v>697</v>
      </c>
      <c r="G6" s="121" t="s">
        <v>1427</v>
      </c>
      <c r="H6" s="265" t="s">
        <v>932</v>
      </c>
      <c r="I6" s="294" t="s">
        <v>780</v>
      </c>
      <c r="J6" s="219"/>
      <c r="K6" s="225"/>
      <c r="L6" s="241"/>
      <c r="M6" s="241"/>
      <c r="N6" s="241"/>
      <c r="P6" s="124" t="s">
        <v>508</v>
      </c>
      <c r="Q6" s="123" t="str">
        <f>"INHRR"&amp;"_"&amp;DIRECCIONES[[#This Row],[DIRECCION]]</f>
        <v xml:space="preserve">INHRR_AUDITORIA </v>
      </c>
    </row>
    <row r="7" spans="1:17" x14ac:dyDescent="0.25">
      <c r="A7" s="219">
        <v>10509014</v>
      </c>
      <c r="B7" s="114" t="s">
        <v>219</v>
      </c>
      <c r="C7" s="114" t="s">
        <v>471</v>
      </c>
      <c r="D7" s="114" t="s">
        <v>543</v>
      </c>
      <c r="E7" s="120" t="s">
        <v>536</v>
      </c>
      <c r="F7" s="114" t="s">
        <v>697</v>
      </c>
      <c r="G7" s="121" t="s">
        <v>1427</v>
      </c>
      <c r="H7" s="265" t="s">
        <v>931</v>
      </c>
      <c r="I7" s="254" t="s">
        <v>781</v>
      </c>
      <c r="J7" s="219" t="s">
        <v>838</v>
      </c>
      <c r="K7" s="225"/>
      <c r="L7" s="241"/>
      <c r="M7" s="241"/>
      <c r="N7" s="241"/>
      <c r="P7" s="124" t="s">
        <v>504</v>
      </c>
      <c r="Q7" s="123" t="str">
        <f>"INHRR"&amp;"_"&amp;DIRECCIONES[[#This Row],[DIRECCION]]</f>
        <v>INHRR_CALIDAD</v>
      </c>
    </row>
    <row r="8" spans="1:17" x14ac:dyDescent="0.25">
      <c r="A8" s="219">
        <v>10871376</v>
      </c>
      <c r="B8" s="114" t="s">
        <v>227</v>
      </c>
      <c r="C8" s="114" t="s">
        <v>471</v>
      </c>
      <c r="D8" s="114" t="s">
        <v>542</v>
      </c>
      <c r="E8" s="120" t="s">
        <v>534</v>
      </c>
      <c r="F8" s="114" t="s">
        <v>697</v>
      </c>
      <c r="G8" s="121" t="s">
        <v>1427</v>
      </c>
      <c r="H8" s="265" t="s">
        <v>931</v>
      </c>
      <c r="I8" s="254" t="s">
        <v>781</v>
      </c>
      <c r="J8" s="219"/>
      <c r="K8" s="73"/>
      <c r="L8" s="241"/>
      <c r="M8" s="241"/>
      <c r="N8" s="241"/>
      <c r="P8" s="124" t="s">
        <v>505</v>
      </c>
      <c r="Q8" s="123" t="str">
        <f>"INHRR"&amp;"_"&amp;DIRECCIONES[[#This Row],[DIRECCION]]</f>
        <v>INHRR_CONSULTORIA JURIDICA</v>
      </c>
    </row>
    <row r="9" spans="1:17" x14ac:dyDescent="0.25">
      <c r="A9" s="219">
        <v>11678846</v>
      </c>
      <c r="B9" s="114" t="s">
        <v>175</v>
      </c>
      <c r="C9" s="114" t="s">
        <v>471</v>
      </c>
      <c r="D9" s="114" t="s">
        <v>558</v>
      </c>
      <c r="E9" s="120" t="s">
        <v>533</v>
      </c>
      <c r="F9" s="114" t="s">
        <v>697</v>
      </c>
      <c r="G9" s="121" t="s">
        <v>1427</v>
      </c>
      <c r="H9" s="265" t="s">
        <v>932</v>
      </c>
      <c r="I9" s="254" t="s">
        <v>781</v>
      </c>
      <c r="J9" s="219"/>
      <c r="K9" s="73"/>
      <c r="L9" s="241"/>
      <c r="M9" s="241"/>
      <c r="N9" s="241"/>
      <c r="P9" s="124" t="s">
        <v>509</v>
      </c>
      <c r="Q9" s="123" t="str">
        <f>"INHRR"&amp;"_"&amp;DIRECCIONES[[#This Row],[DIRECCION]]</f>
        <v xml:space="preserve">INHRR_DIAGNOSTICO </v>
      </c>
    </row>
    <row r="10" spans="1:17" x14ac:dyDescent="0.25">
      <c r="A10" s="219">
        <v>14789781</v>
      </c>
      <c r="B10" s="114" t="s">
        <v>280</v>
      </c>
      <c r="C10" s="114" t="s">
        <v>471</v>
      </c>
      <c r="D10" s="114" t="s">
        <v>542</v>
      </c>
      <c r="E10" s="120" t="s">
        <v>534</v>
      </c>
      <c r="F10" s="114" t="s">
        <v>697</v>
      </c>
      <c r="G10" s="121" t="s">
        <v>1427</v>
      </c>
      <c r="H10" s="265" t="s">
        <v>931</v>
      </c>
      <c r="I10" s="254" t="s">
        <v>781</v>
      </c>
      <c r="J10" s="219" t="s">
        <v>837</v>
      </c>
      <c r="K10" s="73"/>
      <c r="L10" s="241"/>
      <c r="M10" s="241"/>
      <c r="N10" s="241"/>
      <c r="P10" s="124" t="s">
        <v>510</v>
      </c>
      <c r="Q10" s="123" t="str">
        <f>"INHRR"&amp;"_"&amp;DIRECCIONES[[#This Row],[DIRECCION]]</f>
        <v xml:space="preserve">INHRR_DOCENCIA E INVESTIGACION </v>
      </c>
    </row>
    <row r="11" spans="1:17" x14ac:dyDescent="0.25">
      <c r="A11" s="219">
        <v>15701100</v>
      </c>
      <c r="B11" s="114" t="s">
        <v>288</v>
      </c>
      <c r="C11" s="114" t="s">
        <v>471</v>
      </c>
      <c r="D11" s="114" t="s">
        <v>542</v>
      </c>
      <c r="E11" s="120" t="s">
        <v>534</v>
      </c>
      <c r="F11" s="114" t="s">
        <v>697</v>
      </c>
      <c r="G11" s="121" t="s">
        <v>1427</v>
      </c>
      <c r="H11" s="265" t="s">
        <v>931</v>
      </c>
      <c r="I11" s="254" t="s">
        <v>781</v>
      </c>
      <c r="J11" s="219" t="s">
        <v>836</v>
      </c>
      <c r="K11" s="73"/>
      <c r="L11" s="241"/>
      <c r="M11" s="241"/>
      <c r="N11" s="241"/>
      <c r="P11" s="124" t="s">
        <v>511</v>
      </c>
      <c r="Q11" s="123" t="str">
        <f>"INHRR"&amp;"_"&amp;DIRECCIONES[[#This Row],[DIRECCION]]</f>
        <v xml:space="preserve">INHRR_INFRAESTRUCTURA Y PROYECTO </v>
      </c>
    </row>
    <row r="12" spans="1:17" x14ac:dyDescent="0.25">
      <c r="A12" s="219">
        <v>16083898</v>
      </c>
      <c r="B12" s="114" t="s">
        <v>56</v>
      </c>
      <c r="C12" s="114" t="s">
        <v>471</v>
      </c>
      <c r="D12" s="114" t="s">
        <v>556</v>
      </c>
      <c r="E12" s="120" t="s">
        <v>534</v>
      </c>
      <c r="F12" s="114" t="s">
        <v>697</v>
      </c>
      <c r="G12" s="121" t="s">
        <v>1427</v>
      </c>
      <c r="H12" s="265" t="s">
        <v>932</v>
      </c>
      <c r="I12" s="254" t="s">
        <v>781</v>
      </c>
      <c r="J12" s="219"/>
      <c r="K12" s="73"/>
      <c r="L12" s="241"/>
      <c r="M12" s="241"/>
      <c r="N12" s="241"/>
      <c r="P12" s="124" t="s">
        <v>502</v>
      </c>
      <c r="Q12" s="123" t="str">
        <f>"INHRR"&amp;"_"&amp;DIRECCIONES[[#This Row],[DIRECCION]]</f>
        <v>INHRR_JUNTA REVISORA</v>
      </c>
    </row>
    <row r="13" spans="1:17" x14ac:dyDescent="0.25">
      <c r="A13" s="219">
        <v>24900282</v>
      </c>
      <c r="B13" s="114" t="s">
        <v>324</v>
      </c>
      <c r="C13" s="114" t="s">
        <v>471</v>
      </c>
      <c r="D13" s="114" t="s">
        <v>556</v>
      </c>
      <c r="E13" s="120" t="s">
        <v>534</v>
      </c>
      <c r="F13" s="114" t="s">
        <v>697</v>
      </c>
      <c r="G13" s="121" t="s">
        <v>1427</v>
      </c>
      <c r="H13" s="265" t="s">
        <v>932</v>
      </c>
      <c r="I13" s="254" t="s">
        <v>781</v>
      </c>
      <c r="J13" s="219" t="s">
        <v>837</v>
      </c>
      <c r="K13" s="73"/>
      <c r="L13" s="241"/>
      <c r="M13" s="241"/>
      <c r="N13" s="241"/>
      <c r="P13" s="124" t="s">
        <v>512</v>
      </c>
      <c r="Q13" s="123" t="str">
        <f>"INHRR"&amp;"_"&amp;DIRECCIONES[[#This Row],[DIRECCION]]</f>
        <v xml:space="preserve">INHRR_PLANIFICACION Y PRESUPUESTO </v>
      </c>
    </row>
    <row r="14" spans="1:17" x14ac:dyDescent="0.25">
      <c r="A14" s="219">
        <v>6969089</v>
      </c>
      <c r="B14" s="114" t="s">
        <v>369</v>
      </c>
      <c r="C14" s="114" t="s">
        <v>12</v>
      </c>
      <c r="D14" s="114" t="s">
        <v>568</v>
      </c>
      <c r="E14" s="120" t="s">
        <v>537</v>
      </c>
      <c r="F14" s="114" t="s">
        <v>697</v>
      </c>
      <c r="G14" s="121" t="s">
        <v>1427</v>
      </c>
      <c r="H14" s="265" t="s">
        <v>932</v>
      </c>
      <c r="I14" s="254" t="s">
        <v>781</v>
      </c>
      <c r="J14" s="219" t="s">
        <v>837</v>
      </c>
      <c r="K14" s="73"/>
      <c r="L14" s="241"/>
      <c r="M14" s="241"/>
      <c r="N14" s="241"/>
      <c r="P14" s="124" t="s">
        <v>513</v>
      </c>
      <c r="Q14" s="123" t="str">
        <f>"INHRR"&amp;"_"&amp;DIRECCIONES[[#This Row],[DIRECCION]]</f>
        <v xml:space="preserve">INHRR_PRESIDENCIA </v>
      </c>
    </row>
    <row r="15" spans="1:17" x14ac:dyDescent="0.25">
      <c r="A15" s="219">
        <v>6526019</v>
      </c>
      <c r="B15" s="114" t="s">
        <v>104</v>
      </c>
      <c r="C15" s="114" t="s">
        <v>470</v>
      </c>
      <c r="D15" s="114" t="s">
        <v>759</v>
      </c>
      <c r="E15" s="120" t="s">
        <v>536</v>
      </c>
      <c r="F15" s="114" t="s">
        <v>697</v>
      </c>
      <c r="G15" s="121" t="s">
        <v>1427</v>
      </c>
      <c r="H15" s="265" t="s">
        <v>932</v>
      </c>
      <c r="I15" s="254" t="s">
        <v>781</v>
      </c>
      <c r="J15" s="219"/>
      <c r="K15" s="73"/>
      <c r="L15" s="410" t="s">
        <v>1422</v>
      </c>
      <c r="M15" s="410"/>
      <c r="N15" s="410"/>
      <c r="P15" s="124" t="s">
        <v>514</v>
      </c>
      <c r="Q15" s="123" t="str">
        <f>"INHRR"&amp;"_"&amp;DIRECCIONES[[#This Row],[DIRECCION]]</f>
        <v xml:space="preserve">INHRR_PRODUCCION </v>
      </c>
    </row>
    <row r="16" spans="1:17" x14ac:dyDescent="0.25">
      <c r="A16" s="219">
        <v>18500002</v>
      </c>
      <c r="B16" s="114" t="s">
        <v>670</v>
      </c>
      <c r="C16" s="114" t="s">
        <v>470</v>
      </c>
      <c r="D16" s="114" t="s">
        <v>762</v>
      </c>
      <c r="E16" s="120" t="s">
        <v>536</v>
      </c>
      <c r="F16" s="114" t="s">
        <v>697</v>
      </c>
      <c r="G16" s="121" t="s">
        <v>1427</v>
      </c>
      <c r="H16" s="265" t="s">
        <v>932</v>
      </c>
      <c r="I16" s="254" t="s">
        <v>781</v>
      </c>
      <c r="J16" s="219"/>
      <c r="K16" s="73"/>
      <c r="L16" s="242"/>
      <c r="M16" s="242"/>
      <c r="N16" s="243"/>
      <c r="P16" s="124" t="s">
        <v>515</v>
      </c>
      <c r="Q16" s="123" t="str">
        <f>"INHRR"&amp;"_"&amp;DIRECCIONES[[#This Row],[DIRECCION]]</f>
        <v xml:space="preserve">INHRR_REGULACION </v>
      </c>
    </row>
    <row r="17" spans="1:17" x14ac:dyDescent="0.25">
      <c r="A17" s="273">
        <v>6154833</v>
      </c>
      <c r="B17" s="114" t="s">
        <v>162</v>
      </c>
      <c r="C17" s="114" t="s">
        <v>471</v>
      </c>
      <c r="D17" s="114" t="s">
        <v>593</v>
      </c>
      <c r="E17" s="120" t="s">
        <v>536</v>
      </c>
      <c r="F17" s="114" t="s">
        <v>697</v>
      </c>
      <c r="G17" s="121" t="s">
        <v>1427</v>
      </c>
      <c r="H17" s="265" t="s">
        <v>932</v>
      </c>
      <c r="I17" s="254" t="s">
        <v>781</v>
      </c>
      <c r="J17" s="219"/>
      <c r="K17" s="73"/>
      <c r="L17" s="244" t="s">
        <v>784</v>
      </c>
      <c r="M17" s="244" t="s">
        <v>785</v>
      </c>
      <c r="N17" s="245" t="s">
        <v>786</v>
      </c>
      <c r="P17" s="124" t="s">
        <v>516</v>
      </c>
      <c r="Q17" s="123" t="str">
        <f>"INHRR"&amp;"_"&amp;DIRECCIONES[[#This Row],[DIRECCION]]</f>
        <v>INHRR_RELACIONES INTERINSTITUCIONALES</v>
      </c>
    </row>
    <row r="18" spans="1:17" x14ac:dyDescent="0.25">
      <c r="A18" s="219">
        <v>6553850</v>
      </c>
      <c r="B18" s="114" t="s">
        <v>190</v>
      </c>
      <c r="C18" s="114" t="s">
        <v>471</v>
      </c>
      <c r="D18" s="114" t="s">
        <v>542</v>
      </c>
      <c r="E18" s="120" t="s">
        <v>534</v>
      </c>
      <c r="F18" s="114" t="s">
        <v>697</v>
      </c>
      <c r="G18" s="121" t="s">
        <v>1427</v>
      </c>
      <c r="H18" s="265" t="s">
        <v>932</v>
      </c>
      <c r="I18" s="254"/>
      <c r="J18" s="219" t="s">
        <v>837</v>
      </c>
      <c r="K18" s="73"/>
      <c r="L18" s="122" t="s">
        <v>533</v>
      </c>
      <c r="M18" s="122">
        <v>287.81</v>
      </c>
      <c r="N18" s="122">
        <f>NUEVO[[#This Row],[MONTO DIARIO ]]*2</f>
        <v>575.62</v>
      </c>
      <c r="P18" s="124" t="s">
        <v>517</v>
      </c>
      <c r="Q18" s="123" t="str">
        <f>"INHRR"&amp;"_"&amp;DIRECCIONES[[#This Row],[DIRECCION]]</f>
        <v xml:space="preserve">INHRR_SEGURIDAD Y TRANSPORTE </v>
      </c>
    </row>
    <row r="19" spans="1:17" x14ac:dyDescent="0.25">
      <c r="A19" s="219">
        <v>6963025</v>
      </c>
      <c r="B19" s="114" t="s">
        <v>194</v>
      </c>
      <c r="C19" s="114" t="s">
        <v>471</v>
      </c>
      <c r="D19" s="114" t="s">
        <v>686</v>
      </c>
      <c r="E19" s="120" t="s">
        <v>535</v>
      </c>
      <c r="F19" s="114" t="s">
        <v>697</v>
      </c>
      <c r="G19" s="121" t="s">
        <v>1427</v>
      </c>
      <c r="H19" s="265" t="s">
        <v>932</v>
      </c>
      <c r="I19" s="254" t="s">
        <v>781</v>
      </c>
      <c r="J19" s="219" t="s">
        <v>837</v>
      </c>
      <c r="K19" s="73"/>
      <c r="L19" s="122" t="s">
        <v>536</v>
      </c>
      <c r="M19" s="122">
        <v>258.75</v>
      </c>
      <c r="N19" s="122">
        <f>NUEVO[[#This Row],[MONTO DIARIO ]]*2</f>
        <v>517.5</v>
      </c>
      <c r="P19" s="124" t="s">
        <v>522</v>
      </c>
      <c r="Q19" s="123" t="str">
        <f>"INHRR"&amp;"_"&amp;DIRECCIONES[[#This Row],[DIRECCION]]</f>
        <v xml:space="preserve">INHRR_SEGURIDAD INDUSTRIAL </v>
      </c>
    </row>
    <row r="20" spans="1:17" x14ac:dyDescent="0.25">
      <c r="A20" s="219">
        <v>8185922</v>
      </c>
      <c r="B20" s="114" t="s">
        <v>201</v>
      </c>
      <c r="C20" s="114" t="s">
        <v>471</v>
      </c>
      <c r="D20" s="114" t="s">
        <v>542</v>
      </c>
      <c r="E20" s="120" t="s">
        <v>534</v>
      </c>
      <c r="F20" s="114" t="s">
        <v>697</v>
      </c>
      <c r="G20" s="121" t="s">
        <v>1427</v>
      </c>
      <c r="H20" s="265" t="s">
        <v>932</v>
      </c>
      <c r="I20" s="254" t="s">
        <v>781</v>
      </c>
      <c r="J20" s="219" t="s">
        <v>839</v>
      </c>
      <c r="K20" s="73"/>
      <c r="L20" s="122" t="s">
        <v>535</v>
      </c>
      <c r="M20" s="122">
        <v>229.69</v>
      </c>
      <c r="N20" s="122">
        <f>NUEVO[[#This Row],[MONTO DIARIO ]]*2</f>
        <v>459.38</v>
      </c>
      <c r="P20" s="124" t="s">
        <v>518</v>
      </c>
      <c r="Q20" s="123" t="str">
        <f>"INHRR"&amp;"_"&amp;DIRECCIONES[[#This Row],[DIRECCION]]</f>
        <v xml:space="preserve">INHRR_TALENTO HUMANO </v>
      </c>
    </row>
    <row r="21" spans="1:17" x14ac:dyDescent="0.25">
      <c r="A21" s="219">
        <v>10347465</v>
      </c>
      <c r="B21" s="114" t="s">
        <v>214</v>
      </c>
      <c r="C21" s="114" t="s">
        <v>471</v>
      </c>
      <c r="D21" s="114" t="s">
        <v>557</v>
      </c>
      <c r="E21" s="120" t="s">
        <v>535</v>
      </c>
      <c r="F21" s="114" t="s">
        <v>697</v>
      </c>
      <c r="G21" s="121" t="s">
        <v>1427</v>
      </c>
      <c r="H21" s="265" t="s">
        <v>932</v>
      </c>
      <c r="I21" s="254" t="s">
        <v>781</v>
      </c>
      <c r="J21" s="219" t="s">
        <v>839</v>
      </c>
      <c r="K21" s="73"/>
      <c r="L21" s="122" t="s">
        <v>534</v>
      </c>
      <c r="M21" s="122">
        <v>215.16</v>
      </c>
      <c r="N21" s="122">
        <f>NUEVO[[#This Row],[MONTO DIARIO ]]*2</f>
        <v>430.32</v>
      </c>
      <c r="P21" s="124" t="s">
        <v>519</v>
      </c>
      <c r="Q21" s="123" t="str">
        <f>"INHRR"&amp;"_"&amp;DIRECCIONES[[#This Row],[DIRECCION]]</f>
        <v xml:space="preserve">INHRR_TECNOLOGIA </v>
      </c>
    </row>
    <row r="22" spans="1:17" x14ac:dyDescent="0.25">
      <c r="A22" s="219">
        <v>12390716</v>
      </c>
      <c r="B22" s="114" t="s">
        <v>249</v>
      </c>
      <c r="C22" s="114" t="s">
        <v>471</v>
      </c>
      <c r="D22" s="114" t="s">
        <v>544</v>
      </c>
      <c r="E22" s="120" t="s">
        <v>535</v>
      </c>
      <c r="F22" s="114" t="s">
        <v>752</v>
      </c>
      <c r="G22" s="121" t="s">
        <v>1427</v>
      </c>
      <c r="H22" s="265" t="s">
        <v>932</v>
      </c>
      <c r="I22" s="254" t="s">
        <v>781</v>
      </c>
      <c r="J22" s="219"/>
      <c r="K22" s="73"/>
      <c r="L22" s="122" t="s">
        <v>537</v>
      </c>
      <c r="M22" s="122">
        <v>200.63</v>
      </c>
      <c r="N22" s="122">
        <f>NUEVO[[#This Row],[MONTO DIARIO ]]*2</f>
        <v>401.26</v>
      </c>
      <c r="P22" s="123" t="s">
        <v>529</v>
      </c>
      <c r="Q22" s="123" t="str">
        <f>"INHRR"&amp;"_"&amp;DIRECCIONES[[#This Row],[DIRECCION]]</f>
        <v>INHRR_ESPECIAL</v>
      </c>
    </row>
    <row r="23" spans="1:17" x14ac:dyDescent="0.25">
      <c r="A23" s="219">
        <v>14575995</v>
      </c>
      <c r="B23" s="114" t="s">
        <v>90</v>
      </c>
      <c r="C23" s="114" t="s">
        <v>471</v>
      </c>
      <c r="D23" s="114" t="s">
        <v>563</v>
      </c>
      <c r="E23" s="120" t="s">
        <v>536</v>
      </c>
      <c r="F23" s="114" t="s">
        <v>697</v>
      </c>
      <c r="G23" s="121" t="s">
        <v>1427</v>
      </c>
      <c r="H23" s="265" t="s">
        <v>932</v>
      </c>
      <c r="I23" s="254"/>
      <c r="J23" s="219"/>
      <c r="K23" s="73"/>
    </row>
    <row r="24" spans="1:17" x14ac:dyDescent="0.25">
      <c r="A24" s="219">
        <v>14789951</v>
      </c>
      <c r="B24" s="114" t="s">
        <v>281</v>
      </c>
      <c r="C24" s="114" t="s">
        <v>471</v>
      </c>
      <c r="D24" s="114" t="s">
        <v>544</v>
      </c>
      <c r="E24" s="120" t="s">
        <v>535</v>
      </c>
      <c r="F24" s="114" t="s">
        <v>697</v>
      </c>
      <c r="G24" s="121" t="s">
        <v>1427</v>
      </c>
      <c r="H24" s="265" t="s">
        <v>931</v>
      </c>
      <c r="I24" s="254" t="s">
        <v>781</v>
      </c>
      <c r="J24" s="219"/>
      <c r="K24" s="73"/>
    </row>
    <row r="25" spans="1:17" x14ac:dyDescent="0.25">
      <c r="A25" s="219">
        <v>19666874</v>
      </c>
      <c r="B25" s="114" t="s">
        <v>307</v>
      </c>
      <c r="C25" s="114" t="s">
        <v>471</v>
      </c>
      <c r="D25" s="114" t="s">
        <v>552</v>
      </c>
      <c r="E25" s="120" t="s">
        <v>536</v>
      </c>
      <c r="F25" s="114" t="s">
        <v>697</v>
      </c>
      <c r="G25" s="121" t="s">
        <v>1427</v>
      </c>
      <c r="H25" s="265" t="s">
        <v>932</v>
      </c>
      <c r="I25" s="254" t="s">
        <v>781</v>
      </c>
      <c r="J25" s="219"/>
      <c r="K25" s="73"/>
      <c r="M25" s="123"/>
    </row>
    <row r="26" spans="1:17" x14ac:dyDescent="0.25">
      <c r="A26" s="219">
        <v>20604506</v>
      </c>
      <c r="B26" s="114" t="s">
        <v>101</v>
      </c>
      <c r="C26" s="114" t="s">
        <v>471</v>
      </c>
      <c r="D26" s="114" t="s">
        <v>545</v>
      </c>
      <c r="E26" s="120" t="s">
        <v>536</v>
      </c>
      <c r="F26" s="114" t="s">
        <v>697</v>
      </c>
      <c r="G26" s="121" t="s">
        <v>1427</v>
      </c>
      <c r="H26" s="265" t="s">
        <v>932</v>
      </c>
      <c r="I26" s="254" t="s">
        <v>781</v>
      </c>
      <c r="J26" s="219" t="s">
        <v>838</v>
      </c>
      <c r="K26" s="73"/>
      <c r="M26" s="220"/>
    </row>
    <row r="27" spans="1:17" x14ac:dyDescent="0.25">
      <c r="A27" s="219">
        <v>6853002</v>
      </c>
      <c r="B27" s="114" t="s">
        <v>362</v>
      </c>
      <c r="C27" s="114" t="s">
        <v>12</v>
      </c>
      <c r="D27" s="114" t="s">
        <v>565</v>
      </c>
      <c r="E27" s="120" t="s">
        <v>537</v>
      </c>
      <c r="F27" s="114" t="s">
        <v>697</v>
      </c>
      <c r="G27" s="121" t="s">
        <v>1427</v>
      </c>
      <c r="H27" s="265" t="s">
        <v>932</v>
      </c>
      <c r="I27" s="254" t="s">
        <v>781</v>
      </c>
      <c r="J27" s="219"/>
      <c r="K27" s="73"/>
      <c r="M27" s="123"/>
    </row>
    <row r="28" spans="1:17" x14ac:dyDescent="0.25">
      <c r="A28" s="219">
        <v>13338711</v>
      </c>
      <c r="B28" s="114" t="s">
        <v>767</v>
      </c>
      <c r="C28" s="114" t="s">
        <v>470</v>
      </c>
      <c r="D28" s="114" t="s">
        <v>762</v>
      </c>
      <c r="E28" s="120" t="s">
        <v>536</v>
      </c>
      <c r="F28" s="114" t="s">
        <v>697</v>
      </c>
      <c r="G28" s="121" t="s">
        <v>1427</v>
      </c>
      <c r="H28" s="265" t="s">
        <v>931</v>
      </c>
      <c r="I28" s="254" t="s">
        <v>781</v>
      </c>
      <c r="J28" s="219"/>
      <c r="K28" s="73"/>
      <c r="M28" s="123"/>
    </row>
    <row r="29" spans="1:17" x14ac:dyDescent="0.25">
      <c r="A29" s="219">
        <v>13945368</v>
      </c>
      <c r="B29" s="114" t="s">
        <v>918</v>
      </c>
      <c r="C29" s="114" t="s">
        <v>470</v>
      </c>
      <c r="D29" s="114" t="s">
        <v>762</v>
      </c>
      <c r="E29" s="120" t="s">
        <v>536</v>
      </c>
      <c r="F29" s="114" t="s">
        <v>697</v>
      </c>
      <c r="G29" s="121" t="s">
        <v>1427</v>
      </c>
      <c r="H29" s="265" t="s">
        <v>932</v>
      </c>
      <c r="I29" s="254" t="s">
        <v>781</v>
      </c>
      <c r="J29" s="219" t="s">
        <v>838</v>
      </c>
      <c r="K29" s="73"/>
      <c r="M29" s="123"/>
    </row>
    <row r="30" spans="1:17" x14ac:dyDescent="0.25">
      <c r="A30" s="219">
        <v>16682490</v>
      </c>
      <c r="B30" s="114" t="s">
        <v>960</v>
      </c>
      <c r="C30" s="114" t="s">
        <v>470</v>
      </c>
      <c r="D30" s="114" t="s">
        <v>763</v>
      </c>
      <c r="E30" s="120" t="s">
        <v>535</v>
      </c>
      <c r="F30" s="114" t="s">
        <v>697</v>
      </c>
      <c r="G30" s="121" t="s">
        <v>1427</v>
      </c>
      <c r="H30" s="265" t="s">
        <v>932</v>
      </c>
      <c r="I30" s="254" t="s">
        <v>781</v>
      </c>
      <c r="J30" s="219" t="s">
        <v>838</v>
      </c>
      <c r="K30" s="73"/>
    </row>
    <row r="31" spans="1:17" x14ac:dyDescent="0.25">
      <c r="A31" s="121">
        <v>17757322</v>
      </c>
      <c r="B31" s="262" t="s">
        <v>806</v>
      </c>
      <c r="C31" s="114" t="s">
        <v>470</v>
      </c>
      <c r="D31" s="114" t="s">
        <v>762</v>
      </c>
      <c r="E31" s="120" t="s">
        <v>536</v>
      </c>
      <c r="F31" s="114" t="s">
        <v>698</v>
      </c>
      <c r="G31" s="121" t="s">
        <v>1427</v>
      </c>
      <c r="H31" s="265" t="s">
        <v>931</v>
      </c>
      <c r="I31" s="254" t="s">
        <v>781</v>
      </c>
      <c r="J31" s="219"/>
      <c r="K31" s="73"/>
    </row>
    <row r="32" spans="1:17" x14ac:dyDescent="0.25">
      <c r="A32" s="219">
        <v>19813602</v>
      </c>
      <c r="B32" s="114" t="s">
        <v>677</v>
      </c>
      <c r="C32" s="114" t="s">
        <v>470</v>
      </c>
      <c r="D32" s="114" t="s">
        <v>762</v>
      </c>
      <c r="E32" s="120" t="s">
        <v>536</v>
      </c>
      <c r="F32" s="114" t="s">
        <v>697</v>
      </c>
      <c r="G32" s="121" t="s">
        <v>1427</v>
      </c>
      <c r="H32" s="265" t="s">
        <v>932</v>
      </c>
      <c r="I32" s="254" t="s">
        <v>781</v>
      </c>
      <c r="J32" s="219"/>
      <c r="K32" s="73"/>
    </row>
    <row r="33" spans="1:11" x14ac:dyDescent="0.25">
      <c r="A33" s="219">
        <v>21437039</v>
      </c>
      <c r="B33" s="114" t="s">
        <v>679</v>
      </c>
      <c r="C33" s="114" t="s">
        <v>470</v>
      </c>
      <c r="D33" s="114" t="s">
        <v>762</v>
      </c>
      <c r="E33" s="120" t="s">
        <v>536</v>
      </c>
      <c r="F33" s="114" t="s">
        <v>697</v>
      </c>
      <c r="G33" s="121" t="s">
        <v>1427</v>
      </c>
      <c r="H33" s="265" t="s">
        <v>932</v>
      </c>
      <c r="I33" s="254" t="s">
        <v>781</v>
      </c>
      <c r="J33" s="219" t="s">
        <v>835</v>
      </c>
      <c r="K33" s="73"/>
    </row>
    <row r="34" spans="1:11" x14ac:dyDescent="0.25">
      <c r="A34" s="219">
        <v>22348856</v>
      </c>
      <c r="B34" s="114" t="s">
        <v>692</v>
      </c>
      <c r="C34" s="114" t="s">
        <v>470</v>
      </c>
      <c r="D34" s="114" t="s">
        <v>762</v>
      </c>
      <c r="E34" s="120" t="s">
        <v>536</v>
      </c>
      <c r="F34" s="114" t="s">
        <v>697</v>
      </c>
      <c r="G34" s="121" t="s">
        <v>1427</v>
      </c>
      <c r="H34" s="265" t="s">
        <v>932</v>
      </c>
      <c r="I34" s="254" t="s">
        <v>781</v>
      </c>
      <c r="J34" s="219" t="s">
        <v>839</v>
      </c>
      <c r="K34" s="73"/>
    </row>
    <row r="35" spans="1:11" x14ac:dyDescent="0.25">
      <c r="A35" s="219">
        <v>22388131</v>
      </c>
      <c r="B35" s="114" t="s">
        <v>919</v>
      </c>
      <c r="C35" s="114" t="s">
        <v>470</v>
      </c>
      <c r="D35" s="114" t="s">
        <v>762</v>
      </c>
      <c r="E35" s="120" t="s">
        <v>536</v>
      </c>
      <c r="F35" s="114" t="s">
        <v>697</v>
      </c>
      <c r="G35" s="121" t="s">
        <v>1427</v>
      </c>
      <c r="H35" s="265" t="s">
        <v>932</v>
      </c>
      <c r="I35" s="254" t="s">
        <v>781</v>
      </c>
      <c r="J35" s="219"/>
      <c r="K35" s="73"/>
    </row>
    <row r="36" spans="1:11" x14ac:dyDescent="0.25">
      <c r="A36" s="219">
        <v>26454255</v>
      </c>
      <c r="B36" s="114" t="s">
        <v>916</v>
      </c>
      <c r="C36" s="114" t="s">
        <v>470</v>
      </c>
      <c r="D36" s="114" t="s">
        <v>690</v>
      </c>
      <c r="E36" s="120" t="s">
        <v>534</v>
      </c>
      <c r="F36" s="114" t="s">
        <v>697</v>
      </c>
      <c r="G36" s="121" t="s">
        <v>1427</v>
      </c>
      <c r="H36" s="265" t="s">
        <v>932</v>
      </c>
      <c r="I36" s="254" t="s">
        <v>781</v>
      </c>
      <c r="J36" s="219" t="s">
        <v>835</v>
      </c>
      <c r="K36" s="73"/>
    </row>
    <row r="37" spans="1:11" x14ac:dyDescent="0.25">
      <c r="A37" s="219">
        <v>26510968</v>
      </c>
      <c r="B37" s="114" t="s">
        <v>682</v>
      </c>
      <c r="C37" s="114" t="s">
        <v>470</v>
      </c>
      <c r="D37" s="114" t="s">
        <v>761</v>
      </c>
      <c r="E37" s="120" t="s">
        <v>534</v>
      </c>
      <c r="F37" s="114" t="s">
        <v>697</v>
      </c>
      <c r="G37" s="121" t="s">
        <v>1427</v>
      </c>
      <c r="H37" s="265" t="s">
        <v>932</v>
      </c>
      <c r="I37" s="254" t="s">
        <v>781</v>
      </c>
      <c r="J37" s="219" t="s">
        <v>836</v>
      </c>
      <c r="K37" s="73"/>
    </row>
    <row r="38" spans="1:11" x14ac:dyDescent="0.25">
      <c r="A38" s="219">
        <v>27103750</v>
      </c>
      <c r="B38" s="114" t="s">
        <v>641</v>
      </c>
      <c r="C38" s="114" t="s">
        <v>470</v>
      </c>
      <c r="D38" s="114" t="s">
        <v>761</v>
      </c>
      <c r="E38" s="120" t="s">
        <v>534</v>
      </c>
      <c r="F38" s="114" t="s">
        <v>698</v>
      </c>
      <c r="G38" s="121" t="s">
        <v>1427</v>
      </c>
      <c r="H38" s="265" t="s">
        <v>932</v>
      </c>
      <c r="I38" s="254" t="s">
        <v>781</v>
      </c>
      <c r="J38" s="219"/>
      <c r="K38" s="73"/>
    </row>
    <row r="39" spans="1:11" x14ac:dyDescent="0.25">
      <c r="A39" s="219">
        <v>5568106</v>
      </c>
      <c r="B39" s="114" t="s">
        <v>165</v>
      </c>
      <c r="C39" s="114" t="s">
        <v>471</v>
      </c>
      <c r="D39" s="114" t="s">
        <v>591</v>
      </c>
      <c r="E39" s="120" t="s">
        <v>533</v>
      </c>
      <c r="F39" s="114" t="s">
        <v>697</v>
      </c>
      <c r="G39" s="121" t="s">
        <v>1427</v>
      </c>
      <c r="H39" s="265" t="s">
        <v>932</v>
      </c>
      <c r="I39" s="254" t="s">
        <v>781</v>
      </c>
      <c r="J39" s="219"/>
      <c r="K39" s="73"/>
    </row>
    <row r="40" spans="1:11" x14ac:dyDescent="0.25">
      <c r="A40" s="219">
        <v>5890191</v>
      </c>
      <c r="B40" s="114" t="s">
        <v>88</v>
      </c>
      <c r="C40" s="114" t="s">
        <v>471</v>
      </c>
      <c r="D40" s="114" t="s">
        <v>592</v>
      </c>
      <c r="E40" s="120" t="s">
        <v>536</v>
      </c>
      <c r="F40" s="114" t="s">
        <v>697</v>
      </c>
      <c r="G40" s="121" t="s">
        <v>1427</v>
      </c>
      <c r="H40" s="265" t="s">
        <v>932</v>
      </c>
      <c r="I40" s="254" t="s">
        <v>781</v>
      </c>
      <c r="J40" s="219" t="s">
        <v>836</v>
      </c>
      <c r="K40" s="73"/>
    </row>
    <row r="41" spans="1:11" x14ac:dyDescent="0.25">
      <c r="A41" s="219">
        <v>6692649</v>
      </c>
      <c r="B41" s="114" t="s">
        <v>147</v>
      </c>
      <c r="C41" s="114" t="s">
        <v>471</v>
      </c>
      <c r="D41" s="114" t="s">
        <v>599</v>
      </c>
      <c r="E41" s="120" t="s">
        <v>533</v>
      </c>
      <c r="F41" s="114" t="s">
        <v>748</v>
      </c>
      <c r="G41" s="121" t="s">
        <v>1427</v>
      </c>
      <c r="H41" s="265" t="s">
        <v>932</v>
      </c>
      <c r="I41" s="254" t="s">
        <v>781</v>
      </c>
      <c r="J41" s="219" t="s">
        <v>836</v>
      </c>
      <c r="K41" s="73"/>
    </row>
    <row r="42" spans="1:11" x14ac:dyDescent="0.25">
      <c r="A42" s="219">
        <v>6859321</v>
      </c>
      <c r="B42" s="114" t="s">
        <v>113</v>
      </c>
      <c r="C42" s="114" t="s">
        <v>471</v>
      </c>
      <c r="D42" s="114" t="s">
        <v>600</v>
      </c>
      <c r="E42" s="120" t="s">
        <v>533</v>
      </c>
      <c r="F42" s="114" t="s">
        <v>698</v>
      </c>
      <c r="G42" s="121" t="s">
        <v>1427</v>
      </c>
      <c r="H42" s="265" t="s">
        <v>932</v>
      </c>
      <c r="I42" s="254" t="s">
        <v>781</v>
      </c>
      <c r="J42" s="219" t="s">
        <v>898</v>
      </c>
      <c r="K42" s="73"/>
    </row>
    <row r="43" spans="1:11" x14ac:dyDescent="0.25">
      <c r="A43" s="219">
        <v>6968417</v>
      </c>
      <c r="B43" s="114" t="s">
        <v>197</v>
      </c>
      <c r="C43" s="114" t="s">
        <v>471</v>
      </c>
      <c r="D43" s="114" t="s">
        <v>542</v>
      </c>
      <c r="E43" s="120" t="s">
        <v>534</v>
      </c>
      <c r="F43" s="114" t="s">
        <v>697</v>
      </c>
      <c r="G43" s="121" t="s">
        <v>1427</v>
      </c>
      <c r="H43" s="265" t="s">
        <v>932</v>
      </c>
      <c r="I43" s="254" t="s">
        <v>781</v>
      </c>
      <c r="J43" s="219" t="s">
        <v>839</v>
      </c>
      <c r="K43" s="73"/>
    </row>
    <row r="44" spans="1:11" x14ac:dyDescent="0.25">
      <c r="A44" s="219">
        <v>7953728</v>
      </c>
      <c r="B44" s="114" t="s">
        <v>199</v>
      </c>
      <c r="C44" s="114" t="s">
        <v>471</v>
      </c>
      <c r="D44" s="114" t="s">
        <v>593</v>
      </c>
      <c r="E44" s="120" t="s">
        <v>536</v>
      </c>
      <c r="F44" s="114" t="s">
        <v>697</v>
      </c>
      <c r="G44" s="121" t="s">
        <v>1427</v>
      </c>
      <c r="H44" s="265" t="s">
        <v>932</v>
      </c>
      <c r="I44" s="254" t="s">
        <v>781</v>
      </c>
      <c r="J44" s="219" t="s">
        <v>838</v>
      </c>
      <c r="K44" s="73"/>
    </row>
    <row r="45" spans="1:11" x14ac:dyDescent="0.25">
      <c r="A45" s="219">
        <v>8104790</v>
      </c>
      <c r="B45" s="114" t="s">
        <v>142</v>
      </c>
      <c r="C45" s="114" t="s">
        <v>471</v>
      </c>
      <c r="D45" s="114" t="s">
        <v>599</v>
      </c>
      <c r="E45" s="120" t="s">
        <v>533</v>
      </c>
      <c r="F45" s="114" t="s">
        <v>748</v>
      </c>
      <c r="G45" s="121" t="s">
        <v>1427</v>
      </c>
      <c r="H45" s="265" t="s">
        <v>932</v>
      </c>
      <c r="I45" s="254" t="s">
        <v>781</v>
      </c>
      <c r="J45" s="219" t="s">
        <v>835</v>
      </c>
      <c r="K45" s="73"/>
    </row>
    <row r="46" spans="1:11" x14ac:dyDescent="0.25">
      <c r="A46" s="219">
        <v>9961370</v>
      </c>
      <c r="B46" s="114" t="s">
        <v>131</v>
      </c>
      <c r="C46" s="114" t="s">
        <v>471</v>
      </c>
      <c r="D46" s="114" t="s">
        <v>561</v>
      </c>
      <c r="E46" s="120" t="s">
        <v>533</v>
      </c>
      <c r="F46" s="114" t="s">
        <v>697</v>
      </c>
      <c r="G46" s="121" t="s">
        <v>1427</v>
      </c>
      <c r="H46" s="265" t="s">
        <v>932</v>
      </c>
      <c r="I46" s="254" t="s">
        <v>781</v>
      </c>
      <c r="J46" s="219"/>
      <c r="K46" s="73"/>
    </row>
    <row r="47" spans="1:11" x14ac:dyDescent="0.25">
      <c r="A47" s="219">
        <v>10382319</v>
      </c>
      <c r="B47" s="114" t="s">
        <v>143</v>
      </c>
      <c r="C47" s="114" t="s">
        <v>471</v>
      </c>
      <c r="D47" s="114" t="s">
        <v>599</v>
      </c>
      <c r="E47" s="120" t="s">
        <v>533</v>
      </c>
      <c r="F47" s="114" t="s">
        <v>748</v>
      </c>
      <c r="G47" s="121" t="s">
        <v>1427</v>
      </c>
      <c r="H47" s="265" t="s">
        <v>932</v>
      </c>
      <c r="I47" s="254" t="s">
        <v>781</v>
      </c>
      <c r="J47" s="219"/>
      <c r="K47" s="73"/>
    </row>
    <row r="48" spans="1:11" x14ac:dyDescent="0.25">
      <c r="A48" s="219">
        <v>10474497</v>
      </c>
      <c r="B48" s="114" t="s">
        <v>110</v>
      </c>
      <c r="C48" s="114" t="s">
        <v>471</v>
      </c>
      <c r="D48" s="114" t="s">
        <v>591</v>
      </c>
      <c r="E48" s="120" t="s">
        <v>533</v>
      </c>
      <c r="F48" s="114" t="s">
        <v>697</v>
      </c>
      <c r="G48" s="121" t="s">
        <v>1427</v>
      </c>
      <c r="H48" s="265" t="s">
        <v>931</v>
      </c>
      <c r="I48" s="254" t="s">
        <v>781</v>
      </c>
      <c r="J48" s="219" t="s">
        <v>836</v>
      </c>
      <c r="K48" s="73"/>
    </row>
    <row r="49" spans="1:16" x14ac:dyDescent="0.25">
      <c r="A49" s="219">
        <v>10528106</v>
      </c>
      <c r="B49" s="114" t="s">
        <v>137</v>
      </c>
      <c r="C49" s="114" t="s">
        <v>471</v>
      </c>
      <c r="D49" s="114" t="s">
        <v>591</v>
      </c>
      <c r="E49" s="120" t="s">
        <v>533</v>
      </c>
      <c r="F49" s="114" t="s">
        <v>697</v>
      </c>
      <c r="G49" s="121" t="s">
        <v>1427</v>
      </c>
      <c r="H49" s="265" t="s">
        <v>932</v>
      </c>
      <c r="I49" s="254" t="s">
        <v>781</v>
      </c>
      <c r="J49" s="219"/>
      <c r="K49" s="73"/>
    </row>
    <row r="50" spans="1:16" x14ac:dyDescent="0.25">
      <c r="A50" s="219">
        <v>10868344</v>
      </c>
      <c r="B50" s="114" t="s">
        <v>123</v>
      </c>
      <c r="C50" s="114" t="s">
        <v>471</v>
      </c>
      <c r="D50" s="114" t="s">
        <v>591</v>
      </c>
      <c r="E50" s="120" t="s">
        <v>533</v>
      </c>
      <c r="F50" s="114" t="s">
        <v>502</v>
      </c>
      <c r="G50" s="121" t="s">
        <v>1427</v>
      </c>
      <c r="H50" s="265" t="s">
        <v>932</v>
      </c>
      <c r="I50" s="254" t="s">
        <v>781</v>
      </c>
      <c r="J50" s="219" t="s">
        <v>898</v>
      </c>
      <c r="K50" s="73"/>
    </row>
    <row r="51" spans="1:16" x14ac:dyDescent="0.25">
      <c r="A51" s="219">
        <v>11590610</v>
      </c>
      <c r="B51" s="114" t="s">
        <v>111</v>
      </c>
      <c r="C51" s="114" t="s">
        <v>471</v>
      </c>
      <c r="D51" s="114" t="s">
        <v>561</v>
      </c>
      <c r="E51" s="120" t="s">
        <v>533</v>
      </c>
      <c r="F51" s="114" t="s">
        <v>697</v>
      </c>
      <c r="G51" s="121" t="s">
        <v>1427</v>
      </c>
      <c r="H51" s="265" t="s">
        <v>932</v>
      </c>
      <c r="I51" s="254" t="s">
        <v>781</v>
      </c>
      <c r="J51" s="219"/>
      <c r="K51" s="73"/>
    </row>
    <row r="52" spans="1:16" x14ac:dyDescent="0.25">
      <c r="A52" s="219">
        <v>11666165</v>
      </c>
      <c r="B52" s="114" t="s">
        <v>30</v>
      </c>
      <c r="C52" s="114" t="s">
        <v>471</v>
      </c>
      <c r="D52" s="114" t="s">
        <v>552</v>
      </c>
      <c r="E52" s="120" t="s">
        <v>536</v>
      </c>
      <c r="F52" s="114" t="s">
        <v>697</v>
      </c>
      <c r="G52" s="121" t="s">
        <v>1427</v>
      </c>
      <c r="H52" s="265" t="s">
        <v>932</v>
      </c>
      <c r="I52" s="254" t="s">
        <v>781</v>
      </c>
      <c r="J52" s="219"/>
      <c r="K52" s="73"/>
    </row>
    <row r="53" spans="1:16" x14ac:dyDescent="0.25">
      <c r="A53" s="219">
        <v>11918634</v>
      </c>
      <c r="B53" s="114" t="s">
        <v>146</v>
      </c>
      <c r="C53" s="114" t="s">
        <v>471</v>
      </c>
      <c r="D53" s="114" t="s">
        <v>599</v>
      </c>
      <c r="E53" s="120" t="s">
        <v>533</v>
      </c>
      <c r="F53" s="114" t="s">
        <v>748</v>
      </c>
      <c r="G53" s="121" t="s">
        <v>1427</v>
      </c>
      <c r="H53" s="275" t="s">
        <v>931</v>
      </c>
      <c r="I53" s="254" t="s">
        <v>781</v>
      </c>
      <c r="J53" s="219" t="s">
        <v>839</v>
      </c>
      <c r="K53" s="73"/>
    </row>
    <row r="54" spans="1:16" s="3" customFormat="1" x14ac:dyDescent="0.25">
      <c r="A54" s="219">
        <v>11925476</v>
      </c>
      <c r="B54" s="114" t="s">
        <v>237</v>
      </c>
      <c r="C54" s="114" t="s">
        <v>471</v>
      </c>
      <c r="D54" s="114" t="s">
        <v>545</v>
      </c>
      <c r="E54" s="120" t="s">
        <v>536</v>
      </c>
      <c r="F54" s="114" t="s">
        <v>697</v>
      </c>
      <c r="G54" s="121" t="s">
        <v>1427</v>
      </c>
      <c r="H54" s="265" t="s">
        <v>932</v>
      </c>
      <c r="I54" s="254" t="s">
        <v>781</v>
      </c>
      <c r="J54" s="219" t="s">
        <v>838</v>
      </c>
      <c r="K54" s="124"/>
      <c r="L54" s="124"/>
      <c r="M54" s="124"/>
      <c r="N54" s="124"/>
      <c r="O54" s="124"/>
      <c r="P54" s="124"/>
    </row>
    <row r="55" spans="1:16" x14ac:dyDescent="0.25">
      <c r="A55" s="219">
        <v>12112258</v>
      </c>
      <c r="B55" s="114" t="s">
        <v>241</v>
      </c>
      <c r="C55" s="114" t="s">
        <v>471</v>
      </c>
      <c r="D55" s="114" t="s">
        <v>593</v>
      </c>
      <c r="E55" s="120" t="s">
        <v>536</v>
      </c>
      <c r="F55" s="114" t="s">
        <v>697</v>
      </c>
      <c r="G55" s="121" t="s">
        <v>1427</v>
      </c>
      <c r="H55" s="265" t="s">
        <v>932</v>
      </c>
      <c r="I55" s="254" t="s">
        <v>781</v>
      </c>
      <c r="J55" s="219"/>
      <c r="K55" s="73"/>
    </row>
    <row r="56" spans="1:16" x14ac:dyDescent="0.25">
      <c r="A56" s="219">
        <v>14275509</v>
      </c>
      <c r="B56" s="114" t="s">
        <v>633</v>
      </c>
      <c r="C56" s="114" t="s">
        <v>471</v>
      </c>
      <c r="D56" s="114" t="s">
        <v>592</v>
      </c>
      <c r="E56" s="120" t="s">
        <v>536</v>
      </c>
      <c r="F56" s="114" t="s">
        <v>697</v>
      </c>
      <c r="G56" s="121" t="s">
        <v>1427</v>
      </c>
      <c r="H56" s="265" t="s">
        <v>932</v>
      </c>
      <c r="I56" s="254" t="s">
        <v>781</v>
      </c>
      <c r="J56" s="219"/>
      <c r="K56" s="73"/>
    </row>
    <row r="57" spans="1:16" s="3" customFormat="1" x14ac:dyDescent="0.25">
      <c r="A57" s="219">
        <v>14351631</v>
      </c>
      <c r="B57" s="114" t="s">
        <v>132</v>
      </c>
      <c r="C57" s="114" t="s">
        <v>471</v>
      </c>
      <c r="D57" s="114" t="s">
        <v>598</v>
      </c>
      <c r="E57" s="120" t="s">
        <v>533</v>
      </c>
      <c r="F57" s="114" t="s">
        <v>697</v>
      </c>
      <c r="G57" s="121" t="s">
        <v>1427</v>
      </c>
      <c r="H57" s="265" t="s">
        <v>931</v>
      </c>
      <c r="I57" s="254" t="s">
        <v>781</v>
      </c>
      <c r="J57" s="219"/>
      <c r="K57" s="124"/>
      <c r="L57" s="124"/>
      <c r="M57" s="124"/>
      <c r="N57" s="124"/>
      <c r="O57" s="124"/>
      <c r="P57" s="124"/>
    </row>
    <row r="58" spans="1:16" s="3" customFormat="1" x14ac:dyDescent="0.25">
      <c r="A58" s="219">
        <v>14382027</v>
      </c>
      <c r="B58" s="114" t="s">
        <v>271</v>
      </c>
      <c r="C58" s="114" t="s">
        <v>471</v>
      </c>
      <c r="D58" s="114" t="s">
        <v>557</v>
      </c>
      <c r="E58" s="120" t="s">
        <v>535</v>
      </c>
      <c r="F58" s="114" t="s">
        <v>697</v>
      </c>
      <c r="G58" s="121" t="s">
        <v>1427</v>
      </c>
      <c r="H58" s="265" t="s">
        <v>932</v>
      </c>
      <c r="I58" s="254" t="s">
        <v>781</v>
      </c>
      <c r="J58" s="219" t="s">
        <v>838</v>
      </c>
      <c r="K58" s="124"/>
      <c r="L58" s="124"/>
      <c r="M58" s="124"/>
      <c r="N58" s="124"/>
      <c r="O58" s="124"/>
      <c r="P58" s="124"/>
    </row>
    <row r="59" spans="1:16" x14ac:dyDescent="0.25">
      <c r="A59" s="219">
        <v>14589143</v>
      </c>
      <c r="B59" s="114" t="s">
        <v>684</v>
      </c>
      <c r="C59" s="114" t="s">
        <v>471</v>
      </c>
      <c r="D59" s="114" t="s">
        <v>592</v>
      </c>
      <c r="E59" s="120" t="s">
        <v>536</v>
      </c>
      <c r="F59" s="114" t="s">
        <v>697</v>
      </c>
      <c r="G59" s="121" t="s">
        <v>1427</v>
      </c>
      <c r="H59" s="265" t="s">
        <v>932</v>
      </c>
      <c r="I59" s="254" t="s">
        <v>781</v>
      </c>
      <c r="J59" s="219"/>
      <c r="K59" s="73"/>
    </row>
    <row r="60" spans="1:16" x14ac:dyDescent="0.25">
      <c r="A60" s="219">
        <v>14788705</v>
      </c>
      <c r="B60" s="114" t="s">
        <v>279</v>
      </c>
      <c r="C60" s="114" t="s">
        <v>471</v>
      </c>
      <c r="D60" s="114" t="s">
        <v>550</v>
      </c>
      <c r="E60" s="120" t="s">
        <v>535</v>
      </c>
      <c r="F60" s="114" t="s">
        <v>697</v>
      </c>
      <c r="G60" s="121" t="s">
        <v>1427</v>
      </c>
      <c r="H60" s="265" t="s">
        <v>932</v>
      </c>
      <c r="I60" s="254" t="s">
        <v>781</v>
      </c>
      <c r="J60" s="219" t="s">
        <v>837</v>
      </c>
      <c r="K60" s="73"/>
    </row>
    <row r="61" spans="1:16" x14ac:dyDescent="0.25">
      <c r="A61" s="219">
        <v>14955826</v>
      </c>
      <c r="B61" s="114" t="s">
        <v>284</v>
      </c>
      <c r="C61" s="114" t="s">
        <v>471</v>
      </c>
      <c r="D61" s="114" t="s">
        <v>544</v>
      </c>
      <c r="E61" s="120" t="s">
        <v>535</v>
      </c>
      <c r="F61" s="114" t="s">
        <v>697</v>
      </c>
      <c r="G61" s="121" t="s">
        <v>1427</v>
      </c>
      <c r="H61" s="265" t="s">
        <v>932</v>
      </c>
      <c r="I61" s="254" t="s">
        <v>781</v>
      </c>
      <c r="J61" s="219" t="s">
        <v>837</v>
      </c>
      <c r="K61" s="73"/>
    </row>
    <row r="62" spans="1:16" x14ac:dyDescent="0.25">
      <c r="A62" s="219">
        <v>16430124</v>
      </c>
      <c r="B62" s="114" t="s">
        <v>167</v>
      </c>
      <c r="C62" s="114" t="s">
        <v>471</v>
      </c>
      <c r="D62" s="114" t="s">
        <v>591</v>
      </c>
      <c r="E62" s="120" t="s">
        <v>533</v>
      </c>
      <c r="F62" s="114" t="s">
        <v>697</v>
      </c>
      <c r="G62" s="121" t="s">
        <v>1427</v>
      </c>
      <c r="H62" s="265" t="s">
        <v>932</v>
      </c>
      <c r="I62" s="254" t="s">
        <v>781</v>
      </c>
      <c r="J62" s="219"/>
      <c r="K62" s="73"/>
    </row>
    <row r="63" spans="1:16" x14ac:dyDescent="0.25">
      <c r="A63" s="219">
        <v>18233169</v>
      </c>
      <c r="B63" s="114" t="s">
        <v>295</v>
      </c>
      <c r="C63" s="114" t="s">
        <v>471</v>
      </c>
      <c r="D63" s="114" t="s">
        <v>618</v>
      </c>
      <c r="E63" s="120" t="s">
        <v>536</v>
      </c>
      <c r="F63" s="114" t="s">
        <v>697</v>
      </c>
      <c r="G63" s="121" t="s">
        <v>1427</v>
      </c>
      <c r="H63" s="265" t="s">
        <v>932</v>
      </c>
      <c r="I63" s="254" t="s">
        <v>781</v>
      </c>
      <c r="J63" s="219"/>
      <c r="K63" s="73"/>
    </row>
    <row r="64" spans="1:16" x14ac:dyDescent="0.25">
      <c r="A64" s="219">
        <v>18245658</v>
      </c>
      <c r="B64" s="114" t="s">
        <v>296</v>
      </c>
      <c r="C64" s="114" t="s">
        <v>471</v>
      </c>
      <c r="D64" s="114" t="s">
        <v>625</v>
      </c>
      <c r="E64" s="120" t="s">
        <v>536</v>
      </c>
      <c r="F64" s="114" t="s">
        <v>697</v>
      </c>
      <c r="G64" s="121" t="s">
        <v>1427</v>
      </c>
      <c r="H64" s="265" t="s">
        <v>932</v>
      </c>
      <c r="I64" s="254" t="s">
        <v>781</v>
      </c>
      <c r="J64" s="219" t="s">
        <v>838</v>
      </c>
      <c r="K64" s="73"/>
    </row>
    <row r="65" spans="1:16" x14ac:dyDescent="0.25">
      <c r="A65" s="219">
        <v>18329156</v>
      </c>
      <c r="B65" s="114" t="s">
        <v>121</v>
      </c>
      <c r="C65" s="114" t="s">
        <v>471</v>
      </c>
      <c r="D65" s="114" t="s">
        <v>591</v>
      </c>
      <c r="E65" s="120" t="s">
        <v>533</v>
      </c>
      <c r="F65" s="114" t="s">
        <v>697</v>
      </c>
      <c r="G65" s="121" t="s">
        <v>1427</v>
      </c>
      <c r="H65" s="265" t="s">
        <v>932</v>
      </c>
      <c r="I65" s="254" t="s">
        <v>781</v>
      </c>
      <c r="J65" s="219"/>
      <c r="K65" s="73"/>
    </row>
    <row r="66" spans="1:16" s="3" customFormat="1" x14ac:dyDescent="0.25">
      <c r="A66" s="219">
        <v>18597674</v>
      </c>
      <c r="B66" s="114" t="s">
        <v>298</v>
      </c>
      <c r="C66" s="114" t="s">
        <v>471</v>
      </c>
      <c r="D66" s="114" t="s">
        <v>660</v>
      </c>
      <c r="E66" s="120" t="s">
        <v>534</v>
      </c>
      <c r="F66" s="114" t="s">
        <v>697</v>
      </c>
      <c r="G66" s="121" t="s">
        <v>1427</v>
      </c>
      <c r="H66" s="265" t="s">
        <v>932</v>
      </c>
      <c r="I66" s="254" t="s">
        <v>781</v>
      </c>
      <c r="J66" s="219"/>
      <c r="K66" s="124"/>
      <c r="L66" s="124"/>
      <c r="M66" s="124"/>
      <c r="N66" s="124"/>
      <c r="O66" s="124"/>
      <c r="P66" s="124"/>
    </row>
    <row r="67" spans="1:16" x14ac:dyDescent="0.25">
      <c r="A67" s="219">
        <v>18750804</v>
      </c>
      <c r="B67" s="114" t="s">
        <v>299</v>
      </c>
      <c r="C67" s="114" t="s">
        <v>471</v>
      </c>
      <c r="D67" s="114" t="s">
        <v>609</v>
      </c>
      <c r="E67" s="120" t="s">
        <v>533</v>
      </c>
      <c r="F67" s="114" t="s">
        <v>748</v>
      </c>
      <c r="G67" s="121" t="s">
        <v>1427</v>
      </c>
      <c r="H67" s="265" t="s">
        <v>932</v>
      </c>
      <c r="I67" s="254" t="s">
        <v>781</v>
      </c>
      <c r="J67" s="219" t="s">
        <v>837</v>
      </c>
      <c r="K67" s="73"/>
    </row>
    <row r="68" spans="1:16" x14ac:dyDescent="0.25">
      <c r="A68" s="219">
        <v>20116083</v>
      </c>
      <c r="B68" s="114" t="s">
        <v>311</v>
      </c>
      <c r="C68" s="114" t="s">
        <v>471</v>
      </c>
      <c r="D68" s="114" t="s">
        <v>557</v>
      </c>
      <c r="E68" s="120" t="s">
        <v>535</v>
      </c>
      <c r="F68" s="114" t="s">
        <v>697</v>
      </c>
      <c r="G68" s="121" t="s">
        <v>1427</v>
      </c>
      <c r="H68" s="265" t="s">
        <v>932</v>
      </c>
      <c r="I68" s="254" t="s">
        <v>781</v>
      </c>
      <c r="J68" s="219"/>
      <c r="K68" s="73"/>
    </row>
    <row r="69" spans="1:16" x14ac:dyDescent="0.25">
      <c r="A69" s="219">
        <v>23616488</v>
      </c>
      <c r="B69" s="114" t="s">
        <v>321</v>
      </c>
      <c r="C69" s="114" t="s">
        <v>471</v>
      </c>
      <c r="D69" s="114" t="s">
        <v>552</v>
      </c>
      <c r="E69" s="120" t="s">
        <v>536</v>
      </c>
      <c r="F69" s="114" t="s">
        <v>697</v>
      </c>
      <c r="G69" s="121" t="s">
        <v>1427</v>
      </c>
      <c r="H69" s="265" t="s">
        <v>932</v>
      </c>
      <c r="I69" s="254" t="s">
        <v>781</v>
      </c>
      <c r="J69" s="219"/>
      <c r="K69" s="73"/>
    </row>
    <row r="70" spans="1:16" x14ac:dyDescent="0.25">
      <c r="A70" s="219">
        <v>23947177</v>
      </c>
      <c r="B70" s="114" t="s">
        <v>97</v>
      </c>
      <c r="C70" s="114" t="s">
        <v>471</v>
      </c>
      <c r="D70" s="114" t="s">
        <v>608</v>
      </c>
      <c r="E70" s="120" t="s">
        <v>536</v>
      </c>
      <c r="F70" s="114" t="s">
        <v>697</v>
      </c>
      <c r="G70" s="121" t="s">
        <v>1427</v>
      </c>
      <c r="H70" s="265" t="s">
        <v>932</v>
      </c>
      <c r="I70" s="254" t="s">
        <v>781</v>
      </c>
      <c r="J70" s="219"/>
      <c r="K70" s="73"/>
    </row>
    <row r="71" spans="1:16" s="3" customFormat="1" x14ac:dyDescent="0.25">
      <c r="A71" s="219">
        <v>24723488</v>
      </c>
      <c r="B71" s="114" t="s">
        <v>323</v>
      </c>
      <c r="C71" s="114" t="s">
        <v>471</v>
      </c>
      <c r="D71" s="114" t="s">
        <v>625</v>
      </c>
      <c r="E71" s="120" t="s">
        <v>533</v>
      </c>
      <c r="F71" s="114" t="s">
        <v>697</v>
      </c>
      <c r="G71" s="121" t="s">
        <v>1427</v>
      </c>
      <c r="H71" s="265" t="s">
        <v>932</v>
      </c>
      <c r="I71" s="254" t="s">
        <v>781</v>
      </c>
      <c r="J71" s="219" t="s">
        <v>838</v>
      </c>
      <c r="K71" s="124"/>
      <c r="L71" s="124"/>
      <c r="M71" s="124"/>
      <c r="N71" s="124"/>
      <c r="O71" s="124"/>
      <c r="P71" s="124"/>
    </row>
    <row r="72" spans="1:16" x14ac:dyDescent="0.25">
      <c r="A72" s="219">
        <v>3415194</v>
      </c>
      <c r="B72" s="114" t="s">
        <v>881</v>
      </c>
      <c r="C72" s="114" t="s">
        <v>524</v>
      </c>
      <c r="D72" s="114" t="s">
        <v>524</v>
      </c>
      <c r="E72" s="120" t="s">
        <v>769</v>
      </c>
      <c r="F72" s="114" t="s">
        <v>697</v>
      </c>
      <c r="G72" s="121" t="s">
        <v>1427</v>
      </c>
      <c r="H72" s="265" t="s">
        <v>932</v>
      </c>
      <c r="I72" s="254" t="s">
        <v>780</v>
      </c>
      <c r="J72" s="219" t="s">
        <v>839</v>
      </c>
      <c r="K72" s="73"/>
    </row>
    <row r="73" spans="1:16" x14ac:dyDescent="0.25">
      <c r="A73" s="219">
        <v>3660053</v>
      </c>
      <c r="B73" s="114" t="s">
        <v>879</v>
      </c>
      <c r="C73" s="114" t="s">
        <v>524</v>
      </c>
      <c r="D73" s="114" t="s">
        <v>524</v>
      </c>
      <c r="E73" s="120" t="s">
        <v>769</v>
      </c>
      <c r="F73" s="114" t="s">
        <v>697</v>
      </c>
      <c r="G73" s="121" t="s">
        <v>1427</v>
      </c>
      <c r="H73" s="265" t="s">
        <v>932</v>
      </c>
      <c r="I73" s="254" t="s">
        <v>780</v>
      </c>
      <c r="J73" s="219"/>
      <c r="K73" s="73"/>
    </row>
    <row r="74" spans="1:16" x14ac:dyDescent="0.25">
      <c r="A74" s="219">
        <v>9480485</v>
      </c>
      <c r="B74" s="114" t="s">
        <v>646</v>
      </c>
      <c r="C74" s="114" t="s">
        <v>524</v>
      </c>
      <c r="D74" s="114" t="s">
        <v>524</v>
      </c>
      <c r="E74" s="120" t="s">
        <v>769</v>
      </c>
      <c r="F74" s="114" t="s">
        <v>697</v>
      </c>
      <c r="G74" s="121" t="s">
        <v>1427</v>
      </c>
      <c r="H74" s="265" t="s">
        <v>932</v>
      </c>
      <c r="I74" s="254" t="s">
        <v>780</v>
      </c>
      <c r="J74" s="219"/>
      <c r="K74" s="73"/>
    </row>
    <row r="75" spans="1:16" s="3" customFormat="1" x14ac:dyDescent="0.25">
      <c r="A75" s="219">
        <v>12544745</v>
      </c>
      <c r="B75" s="114" t="s">
        <v>903</v>
      </c>
      <c r="C75" s="114" t="s">
        <v>524</v>
      </c>
      <c r="D75" s="114" t="s">
        <v>524</v>
      </c>
      <c r="E75" s="120" t="s">
        <v>769</v>
      </c>
      <c r="F75" s="114" t="s">
        <v>698</v>
      </c>
      <c r="G75" s="121" t="s">
        <v>1427</v>
      </c>
      <c r="H75" s="265" t="s">
        <v>932</v>
      </c>
      <c r="I75" s="254" t="s">
        <v>780</v>
      </c>
      <c r="J75" s="219"/>
      <c r="K75" s="124"/>
      <c r="L75" s="124"/>
      <c r="M75" s="124"/>
      <c r="N75" s="124"/>
      <c r="O75" s="124"/>
      <c r="P75" s="124"/>
    </row>
    <row r="76" spans="1:16" x14ac:dyDescent="0.25">
      <c r="A76" s="219">
        <v>6092741</v>
      </c>
      <c r="B76" s="114" t="s">
        <v>346</v>
      </c>
      <c r="C76" s="114" t="s">
        <v>12</v>
      </c>
      <c r="D76" s="114" t="s">
        <v>565</v>
      </c>
      <c r="E76" s="120" t="s">
        <v>537</v>
      </c>
      <c r="F76" s="114" t="s">
        <v>697</v>
      </c>
      <c r="G76" s="121" t="s">
        <v>1427</v>
      </c>
      <c r="H76" s="265" t="s">
        <v>932</v>
      </c>
      <c r="I76" s="254" t="s">
        <v>781</v>
      </c>
      <c r="J76" s="219" t="s">
        <v>837</v>
      </c>
      <c r="K76" s="73"/>
    </row>
    <row r="77" spans="1:16" x14ac:dyDescent="0.25">
      <c r="A77" s="219">
        <v>10187721</v>
      </c>
      <c r="B77" s="114" t="s">
        <v>381</v>
      </c>
      <c r="C77" s="114" t="s">
        <v>12</v>
      </c>
      <c r="D77" s="114" t="s">
        <v>565</v>
      </c>
      <c r="E77" s="120" t="s">
        <v>537</v>
      </c>
      <c r="F77" s="114" t="s">
        <v>697</v>
      </c>
      <c r="G77" s="121" t="s">
        <v>1427</v>
      </c>
      <c r="H77" s="265" t="s">
        <v>932</v>
      </c>
      <c r="I77" s="254" t="s">
        <v>781</v>
      </c>
      <c r="J77" s="219"/>
      <c r="K77" s="73"/>
    </row>
    <row r="78" spans="1:16" x14ac:dyDescent="0.25">
      <c r="A78" s="219">
        <v>13086685</v>
      </c>
      <c r="B78" s="261" t="s">
        <v>889</v>
      </c>
      <c r="C78" s="114" t="s">
        <v>12</v>
      </c>
      <c r="D78" s="114" t="s">
        <v>895</v>
      </c>
      <c r="E78" s="120" t="s">
        <v>537</v>
      </c>
      <c r="F78" s="114" t="s">
        <v>697</v>
      </c>
      <c r="G78" s="121" t="s">
        <v>1427</v>
      </c>
      <c r="H78" s="265" t="s">
        <v>932</v>
      </c>
      <c r="I78" s="254" t="s">
        <v>781</v>
      </c>
      <c r="J78" s="219"/>
      <c r="K78" s="73"/>
    </row>
    <row r="79" spans="1:16" x14ac:dyDescent="0.25">
      <c r="A79" s="219">
        <v>13686565</v>
      </c>
      <c r="B79" s="114" t="s">
        <v>423</v>
      </c>
      <c r="C79" s="114" t="s">
        <v>12</v>
      </c>
      <c r="D79" s="114" t="s">
        <v>565</v>
      </c>
      <c r="E79" s="120" t="s">
        <v>537</v>
      </c>
      <c r="F79" s="114" t="s">
        <v>697</v>
      </c>
      <c r="G79" s="121" t="s">
        <v>1427</v>
      </c>
      <c r="H79" s="265" t="s">
        <v>932</v>
      </c>
      <c r="I79" s="254" t="s">
        <v>781</v>
      </c>
      <c r="J79" s="219" t="s">
        <v>838</v>
      </c>
      <c r="K79" s="73"/>
    </row>
    <row r="80" spans="1:16" x14ac:dyDescent="0.25">
      <c r="A80" s="219">
        <v>15870347</v>
      </c>
      <c r="B80" s="114" t="s">
        <v>704</v>
      </c>
      <c r="C80" s="114" t="s">
        <v>12</v>
      </c>
      <c r="D80" s="114" t="s">
        <v>565</v>
      </c>
      <c r="E80" s="120" t="s">
        <v>537</v>
      </c>
      <c r="F80" s="114" t="s">
        <v>697</v>
      </c>
      <c r="G80" s="121" t="s">
        <v>1427</v>
      </c>
      <c r="H80" s="265" t="s">
        <v>932</v>
      </c>
      <c r="I80" s="254" t="s">
        <v>781</v>
      </c>
      <c r="J80" s="219" t="s">
        <v>836</v>
      </c>
      <c r="K80" s="73"/>
    </row>
    <row r="81" spans="1:16" x14ac:dyDescent="0.25">
      <c r="A81" s="226">
        <v>10628857</v>
      </c>
      <c r="B81" s="276" t="s">
        <v>693</v>
      </c>
      <c r="C81" s="276" t="s">
        <v>470</v>
      </c>
      <c r="D81" s="276" t="s">
        <v>764</v>
      </c>
      <c r="E81" s="277" t="s">
        <v>537</v>
      </c>
      <c r="F81" s="115" t="s">
        <v>696</v>
      </c>
      <c r="G81" s="121" t="s">
        <v>1427</v>
      </c>
      <c r="H81" s="275" t="s">
        <v>932</v>
      </c>
      <c r="I81" s="273"/>
      <c r="J81" s="273" t="s">
        <v>835</v>
      </c>
      <c r="K81" s="73"/>
    </row>
    <row r="82" spans="1:16" x14ac:dyDescent="0.25">
      <c r="A82" s="226">
        <v>15404951</v>
      </c>
      <c r="B82" s="276" t="s">
        <v>675</v>
      </c>
      <c r="C82" s="276" t="s">
        <v>470</v>
      </c>
      <c r="D82" s="276" t="s">
        <v>764</v>
      </c>
      <c r="E82" s="277" t="s">
        <v>537</v>
      </c>
      <c r="F82" s="115" t="s">
        <v>696</v>
      </c>
      <c r="G82" s="121" t="s">
        <v>1427</v>
      </c>
      <c r="H82" s="275" t="s">
        <v>932</v>
      </c>
      <c r="I82" s="273"/>
      <c r="J82" s="273" t="s">
        <v>838</v>
      </c>
      <c r="K82" s="73"/>
    </row>
    <row r="83" spans="1:16" x14ac:dyDescent="0.25">
      <c r="A83" s="226">
        <v>8593916</v>
      </c>
      <c r="B83" s="276" t="s">
        <v>203</v>
      </c>
      <c r="C83" s="276" t="s">
        <v>471</v>
      </c>
      <c r="D83" s="276" t="s">
        <v>554</v>
      </c>
      <c r="E83" s="277" t="s">
        <v>536</v>
      </c>
      <c r="F83" s="115" t="s">
        <v>755</v>
      </c>
      <c r="G83" s="121" t="s">
        <v>1427</v>
      </c>
      <c r="H83" s="275" t="s">
        <v>932</v>
      </c>
      <c r="I83" s="273"/>
      <c r="J83" s="273"/>
      <c r="K83" s="73"/>
    </row>
    <row r="84" spans="1:16" x14ac:dyDescent="0.25">
      <c r="A84" s="226">
        <v>10392346</v>
      </c>
      <c r="B84" s="276" t="s">
        <v>141</v>
      </c>
      <c r="C84" s="276" t="s">
        <v>471</v>
      </c>
      <c r="D84" s="276" t="s">
        <v>610</v>
      </c>
      <c r="E84" s="277" t="s">
        <v>536</v>
      </c>
      <c r="F84" s="115" t="s">
        <v>752</v>
      </c>
      <c r="G84" s="121" t="s">
        <v>1427</v>
      </c>
      <c r="H84" s="275" t="s">
        <v>932</v>
      </c>
      <c r="I84" s="273"/>
      <c r="J84" s="273"/>
      <c r="K84" s="73"/>
    </row>
    <row r="85" spans="1:16" x14ac:dyDescent="0.25">
      <c r="A85" s="226">
        <v>20465602</v>
      </c>
      <c r="B85" s="278" t="s">
        <v>884</v>
      </c>
      <c r="C85" s="276" t="s">
        <v>470</v>
      </c>
      <c r="D85" s="276" t="s">
        <v>766</v>
      </c>
      <c r="E85" s="277" t="s">
        <v>537</v>
      </c>
      <c r="F85" s="115" t="s">
        <v>752</v>
      </c>
      <c r="G85" s="121" t="s">
        <v>1427</v>
      </c>
      <c r="H85" s="275" t="s">
        <v>932</v>
      </c>
      <c r="I85" s="273"/>
      <c r="J85" s="273"/>
      <c r="K85" s="73"/>
    </row>
    <row r="86" spans="1:16" x14ac:dyDescent="0.25">
      <c r="A86" s="226">
        <v>12281806</v>
      </c>
      <c r="B86" s="276" t="s">
        <v>243</v>
      </c>
      <c r="C86" s="276" t="s">
        <v>471</v>
      </c>
      <c r="D86" s="276" t="s">
        <v>542</v>
      </c>
      <c r="E86" s="277" t="s">
        <v>534</v>
      </c>
      <c r="F86" s="115" t="s">
        <v>752</v>
      </c>
      <c r="G86" s="121" t="s">
        <v>1427</v>
      </c>
      <c r="H86" s="275" t="s">
        <v>932</v>
      </c>
      <c r="I86" s="273"/>
      <c r="J86" s="273" t="s">
        <v>835</v>
      </c>
      <c r="K86" s="73"/>
    </row>
    <row r="87" spans="1:16" x14ac:dyDescent="0.25">
      <c r="A87" s="226">
        <v>12867339</v>
      </c>
      <c r="B87" s="276" t="s">
        <v>256</v>
      </c>
      <c r="C87" s="276" t="s">
        <v>471</v>
      </c>
      <c r="D87" s="276" t="s">
        <v>561</v>
      </c>
      <c r="E87" s="277" t="s">
        <v>536</v>
      </c>
      <c r="F87" s="115" t="s">
        <v>755</v>
      </c>
      <c r="G87" s="121" t="s">
        <v>1427</v>
      </c>
      <c r="H87" s="275" t="s">
        <v>932</v>
      </c>
      <c r="I87" s="273"/>
      <c r="J87" s="273"/>
      <c r="K87" s="73"/>
    </row>
    <row r="88" spans="1:16" x14ac:dyDescent="0.25">
      <c r="A88" s="226">
        <v>4852936</v>
      </c>
      <c r="B88" s="276" t="s">
        <v>340</v>
      </c>
      <c r="C88" s="276" t="s">
        <v>12</v>
      </c>
      <c r="D88" s="276" t="s">
        <v>541</v>
      </c>
      <c r="E88" s="277" t="s">
        <v>537</v>
      </c>
      <c r="F88" s="115" t="s">
        <v>752</v>
      </c>
      <c r="G88" s="121" t="s">
        <v>1427</v>
      </c>
      <c r="H88" s="275" t="s">
        <v>932</v>
      </c>
      <c r="I88" s="273"/>
      <c r="J88" s="273"/>
      <c r="K88" s="73"/>
    </row>
    <row r="89" spans="1:16" x14ac:dyDescent="0.25">
      <c r="A89" s="226">
        <v>14955496</v>
      </c>
      <c r="B89" s="276" t="s">
        <v>432</v>
      </c>
      <c r="C89" s="276" t="s">
        <v>12</v>
      </c>
      <c r="D89" s="276" t="s">
        <v>579</v>
      </c>
      <c r="E89" s="277" t="s">
        <v>537</v>
      </c>
      <c r="F89" s="115" t="s">
        <v>748</v>
      </c>
      <c r="G89" s="121" t="s">
        <v>1427</v>
      </c>
      <c r="H89" s="275" t="s">
        <v>932</v>
      </c>
      <c r="I89" s="273"/>
      <c r="J89" s="273" t="s">
        <v>837</v>
      </c>
      <c r="K89" s="73"/>
    </row>
    <row r="90" spans="1:16" x14ac:dyDescent="0.25">
      <c r="A90" s="226">
        <v>12866508</v>
      </c>
      <c r="B90" s="276" t="s">
        <v>32</v>
      </c>
      <c r="C90" s="276" t="s">
        <v>470</v>
      </c>
      <c r="D90" s="276" t="s">
        <v>945</v>
      </c>
      <c r="E90" s="277" t="s">
        <v>537</v>
      </c>
      <c r="F90" s="115" t="s">
        <v>752</v>
      </c>
      <c r="G90" s="121" t="s">
        <v>1427</v>
      </c>
      <c r="H90" s="275" t="s">
        <v>932</v>
      </c>
      <c r="I90" s="273"/>
      <c r="J90" s="273" t="s">
        <v>838</v>
      </c>
      <c r="K90" s="73"/>
    </row>
    <row r="91" spans="1:16" x14ac:dyDescent="0.25">
      <c r="A91" s="271">
        <v>21345770</v>
      </c>
      <c r="B91" s="272" t="s">
        <v>923</v>
      </c>
      <c r="C91" s="272" t="s">
        <v>470</v>
      </c>
      <c r="D91" s="272" t="s">
        <v>763</v>
      </c>
      <c r="E91" s="267" t="s">
        <v>535</v>
      </c>
      <c r="F91" s="115" t="s">
        <v>691</v>
      </c>
      <c r="G91" s="121" t="s">
        <v>1427</v>
      </c>
      <c r="H91" s="275" t="s">
        <v>932</v>
      </c>
      <c r="I91" s="273"/>
      <c r="J91" s="273"/>
      <c r="K91" s="73"/>
    </row>
    <row r="92" spans="1:16" x14ac:dyDescent="0.25">
      <c r="A92" s="271">
        <v>10533753</v>
      </c>
      <c r="B92" s="279" t="s">
        <v>44</v>
      </c>
      <c r="C92" s="272" t="s">
        <v>470</v>
      </c>
      <c r="D92" s="272" t="s">
        <v>763</v>
      </c>
      <c r="E92" s="267" t="s">
        <v>535</v>
      </c>
      <c r="F92" s="115" t="s">
        <v>752</v>
      </c>
      <c r="G92" s="121" t="s">
        <v>1427</v>
      </c>
      <c r="H92" s="275" t="s">
        <v>932</v>
      </c>
      <c r="I92" s="273"/>
      <c r="J92" s="273"/>
      <c r="K92" s="73"/>
    </row>
    <row r="93" spans="1:16" x14ac:dyDescent="0.25">
      <c r="A93" s="271">
        <v>25001152</v>
      </c>
      <c r="B93" s="272" t="s">
        <v>694</v>
      </c>
      <c r="C93" s="272" t="s">
        <v>470</v>
      </c>
      <c r="D93" s="272" t="s">
        <v>763</v>
      </c>
      <c r="E93" s="267" t="s">
        <v>535</v>
      </c>
      <c r="F93" s="114" t="s">
        <v>691</v>
      </c>
      <c r="G93" s="121" t="s">
        <v>1427</v>
      </c>
      <c r="H93" s="265" t="s">
        <v>932</v>
      </c>
      <c r="I93" s="219"/>
      <c r="J93" s="219"/>
      <c r="K93" s="73"/>
    </row>
    <row r="94" spans="1:16" s="3" customFormat="1" x14ac:dyDescent="0.25">
      <c r="A94" s="271">
        <v>26774405</v>
      </c>
      <c r="B94" s="272" t="s">
        <v>695</v>
      </c>
      <c r="C94" s="272" t="s">
        <v>470</v>
      </c>
      <c r="D94" s="272" t="s">
        <v>762</v>
      </c>
      <c r="E94" s="267" t="s">
        <v>536</v>
      </c>
      <c r="F94" s="114" t="s">
        <v>697</v>
      </c>
      <c r="G94" s="121" t="s">
        <v>1427</v>
      </c>
      <c r="H94" s="265" t="s">
        <v>931</v>
      </c>
      <c r="I94" s="219"/>
      <c r="J94" s="219" t="s">
        <v>836</v>
      </c>
      <c r="K94" s="124"/>
      <c r="L94" s="124"/>
      <c r="M94" s="124"/>
      <c r="N94" s="124"/>
      <c r="O94" s="124"/>
      <c r="P94" s="124"/>
    </row>
    <row r="95" spans="1:16" s="3" customFormat="1" x14ac:dyDescent="0.25">
      <c r="A95" s="268">
        <v>14688130</v>
      </c>
      <c r="B95" s="269" t="s">
        <v>54</v>
      </c>
      <c r="C95" s="269" t="s">
        <v>470</v>
      </c>
      <c r="D95" s="269" t="s">
        <v>763</v>
      </c>
      <c r="E95" s="270" t="s">
        <v>534</v>
      </c>
      <c r="F95" s="115" t="s">
        <v>752</v>
      </c>
      <c r="G95" s="121" t="s">
        <v>1427</v>
      </c>
      <c r="H95" s="275" t="s">
        <v>932</v>
      </c>
      <c r="I95" s="273"/>
      <c r="J95" s="273" t="s">
        <v>836</v>
      </c>
      <c r="K95" s="124"/>
      <c r="L95" s="124"/>
      <c r="M95" s="124"/>
      <c r="N95" s="124"/>
      <c r="O95" s="124"/>
      <c r="P95" s="124"/>
    </row>
    <row r="96" spans="1:16" s="3" customFormat="1" x14ac:dyDescent="0.25">
      <c r="A96" s="219">
        <v>3523168</v>
      </c>
      <c r="B96" s="114" t="s">
        <v>26</v>
      </c>
      <c r="C96" s="114" t="s">
        <v>7</v>
      </c>
      <c r="D96" s="114" t="s">
        <v>744</v>
      </c>
      <c r="E96" s="120" t="s">
        <v>533</v>
      </c>
      <c r="F96" s="114" t="s">
        <v>745</v>
      </c>
      <c r="G96" s="121" t="s">
        <v>1427</v>
      </c>
      <c r="H96" s="265" t="s">
        <v>932</v>
      </c>
      <c r="I96" s="219"/>
      <c r="J96" s="219" t="s">
        <v>898</v>
      </c>
      <c r="K96" s="124"/>
      <c r="L96" s="124"/>
      <c r="M96" s="124"/>
      <c r="N96" s="124"/>
      <c r="O96" s="124"/>
      <c r="P96" s="124"/>
    </row>
    <row r="97" spans="1:16" s="3" customFormat="1" x14ac:dyDescent="0.25">
      <c r="A97" s="219">
        <v>3524735</v>
      </c>
      <c r="B97" s="114" t="s">
        <v>21</v>
      </c>
      <c r="C97" s="114" t="s">
        <v>7</v>
      </c>
      <c r="D97" s="114" t="s">
        <v>584</v>
      </c>
      <c r="E97" s="120" t="s">
        <v>533</v>
      </c>
      <c r="F97" s="114" t="s">
        <v>752</v>
      </c>
      <c r="G97" s="121" t="s">
        <v>1427</v>
      </c>
      <c r="H97" s="265" t="s">
        <v>932</v>
      </c>
      <c r="I97" s="219"/>
      <c r="J97" s="219"/>
      <c r="K97" s="124"/>
      <c r="L97" s="124"/>
      <c r="M97" s="124"/>
      <c r="N97" s="124"/>
      <c r="O97" s="124"/>
      <c r="P97" s="124"/>
    </row>
    <row r="98" spans="1:16" x14ac:dyDescent="0.25">
      <c r="A98" s="219">
        <v>4029580</v>
      </c>
      <c r="B98" s="114" t="s">
        <v>18</v>
      </c>
      <c r="C98" s="114" t="s">
        <v>7</v>
      </c>
      <c r="D98" s="114" t="s">
        <v>747</v>
      </c>
      <c r="E98" s="120" t="s">
        <v>533</v>
      </c>
      <c r="F98" s="114" t="s">
        <v>748</v>
      </c>
      <c r="G98" s="121" t="s">
        <v>1427</v>
      </c>
      <c r="H98" s="265" t="s">
        <v>932</v>
      </c>
      <c r="I98" s="219"/>
      <c r="J98" s="219" t="s">
        <v>898</v>
      </c>
      <c r="K98" s="73"/>
    </row>
    <row r="99" spans="1:16" x14ac:dyDescent="0.25">
      <c r="A99" s="219">
        <v>4681253</v>
      </c>
      <c r="B99" s="114" t="s">
        <v>520</v>
      </c>
      <c r="C99" s="114" t="s">
        <v>7</v>
      </c>
      <c r="D99" s="114" t="s">
        <v>585</v>
      </c>
      <c r="E99" s="120" t="s">
        <v>533</v>
      </c>
      <c r="F99" s="114" t="s">
        <v>940</v>
      </c>
      <c r="G99" s="121" t="s">
        <v>1427</v>
      </c>
      <c r="H99" s="265" t="s">
        <v>932</v>
      </c>
      <c r="I99" s="219"/>
      <c r="J99" s="219" t="s">
        <v>898</v>
      </c>
      <c r="K99" s="73"/>
    </row>
    <row r="100" spans="1:16" x14ac:dyDescent="0.25">
      <c r="A100" s="219">
        <v>5466538</v>
      </c>
      <c r="B100" s="114" t="s">
        <v>19</v>
      </c>
      <c r="C100" s="114" t="s">
        <v>7</v>
      </c>
      <c r="D100" s="114" t="s">
        <v>586</v>
      </c>
      <c r="E100" s="120" t="s">
        <v>533</v>
      </c>
      <c r="F100" s="114" t="s">
        <v>696</v>
      </c>
      <c r="G100" s="121" t="s">
        <v>1427</v>
      </c>
      <c r="H100" s="265" t="s">
        <v>932</v>
      </c>
      <c r="I100" s="219"/>
      <c r="J100" s="219"/>
      <c r="K100" s="73"/>
    </row>
    <row r="101" spans="1:16" x14ac:dyDescent="0.25">
      <c r="A101" s="219">
        <v>6178411</v>
      </c>
      <c r="B101" s="114" t="s">
        <v>15</v>
      </c>
      <c r="C101" s="114" t="s">
        <v>7</v>
      </c>
      <c r="D101" s="114" t="s">
        <v>587</v>
      </c>
      <c r="E101" s="120" t="s">
        <v>533</v>
      </c>
      <c r="F101" s="114" t="s">
        <v>749</v>
      </c>
      <c r="G101" s="121" t="s">
        <v>1427</v>
      </c>
      <c r="H101" s="265" t="s">
        <v>932</v>
      </c>
      <c r="I101" s="219"/>
      <c r="J101" s="219" t="s">
        <v>898</v>
      </c>
      <c r="K101" s="73"/>
    </row>
    <row r="102" spans="1:16" x14ac:dyDescent="0.25">
      <c r="A102" s="219">
        <v>6185757</v>
      </c>
      <c r="B102" s="114" t="s">
        <v>336</v>
      </c>
      <c r="C102" s="114" t="s">
        <v>7</v>
      </c>
      <c r="D102" s="114" t="s">
        <v>933</v>
      </c>
      <c r="E102" s="120" t="s">
        <v>533</v>
      </c>
      <c r="F102" s="114" t="s">
        <v>691</v>
      </c>
      <c r="G102" s="121" t="s">
        <v>1427</v>
      </c>
      <c r="H102" s="265" t="s">
        <v>932</v>
      </c>
      <c r="I102" s="219"/>
      <c r="J102" s="219" t="s">
        <v>898</v>
      </c>
      <c r="K102" s="73"/>
    </row>
    <row r="103" spans="1:16" x14ac:dyDescent="0.25">
      <c r="A103" s="219">
        <v>6290210</v>
      </c>
      <c r="B103" s="115" t="s">
        <v>22</v>
      </c>
      <c r="C103" s="115" t="s">
        <v>7</v>
      </c>
      <c r="D103" s="114" t="s">
        <v>583</v>
      </c>
      <c r="E103" s="120" t="s">
        <v>533</v>
      </c>
      <c r="F103" s="114" t="s">
        <v>752</v>
      </c>
      <c r="G103" s="121" t="s">
        <v>1427</v>
      </c>
      <c r="H103" s="265" t="s">
        <v>932</v>
      </c>
      <c r="I103" s="219"/>
      <c r="J103" s="219" t="s">
        <v>898</v>
      </c>
      <c r="K103" s="73"/>
    </row>
    <row r="104" spans="1:16" x14ac:dyDescent="0.25">
      <c r="A104" s="219">
        <v>6855051</v>
      </c>
      <c r="B104" s="115" t="s">
        <v>674</v>
      </c>
      <c r="C104" s="115" t="s">
        <v>7</v>
      </c>
      <c r="D104" s="114" t="s">
        <v>754</v>
      </c>
      <c r="E104" s="120" t="s">
        <v>533</v>
      </c>
      <c r="F104" s="114" t="s">
        <v>697</v>
      </c>
      <c r="G104" s="121" t="s">
        <v>1427</v>
      </c>
      <c r="H104" s="265" t="s">
        <v>932</v>
      </c>
      <c r="I104" s="219"/>
      <c r="J104" s="219" t="s">
        <v>898</v>
      </c>
      <c r="K104" s="73"/>
    </row>
    <row r="105" spans="1:16" x14ac:dyDescent="0.25">
      <c r="A105" s="219">
        <v>6869228</v>
      </c>
      <c r="B105" s="114" t="s">
        <v>27</v>
      </c>
      <c r="C105" s="114" t="s">
        <v>7</v>
      </c>
      <c r="D105" s="114" t="s">
        <v>746</v>
      </c>
      <c r="E105" s="120" t="s">
        <v>533</v>
      </c>
      <c r="F105" s="114" t="s">
        <v>745</v>
      </c>
      <c r="G105" s="121" t="s">
        <v>1427</v>
      </c>
      <c r="H105" s="265" t="s">
        <v>932</v>
      </c>
      <c r="I105" s="219"/>
      <c r="J105" s="219" t="s">
        <v>898</v>
      </c>
      <c r="K105" s="73"/>
    </row>
    <row r="106" spans="1:16" x14ac:dyDescent="0.25">
      <c r="A106" s="219">
        <v>7452015</v>
      </c>
      <c r="B106" s="114" t="s">
        <v>25</v>
      </c>
      <c r="C106" s="114" t="s">
        <v>7</v>
      </c>
      <c r="D106" s="114" t="s">
        <v>753</v>
      </c>
      <c r="E106" s="120" t="s">
        <v>533</v>
      </c>
      <c r="F106" s="114" t="s">
        <v>752</v>
      </c>
      <c r="G106" s="121" t="s">
        <v>1427</v>
      </c>
      <c r="H106" s="265" t="s">
        <v>932</v>
      </c>
      <c r="I106" s="219"/>
      <c r="J106" s="219" t="s">
        <v>898</v>
      </c>
      <c r="K106" s="73"/>
    </row>
    <row r="107" spans="1:16" x14ac:dyDescent="0.25">
      <c r="A107" s="219">
        <v>17166976</v>
      </c>
      <c r="B107" s="114" t="s">
        <v>17</v>
      </c>
      <c r="C107" s="114" t="s">
        <v>7</v>
      </c>
      <c r="D107" s="114" t="s">
        <v>588</v>
      </c>
      <c r="E107" s="120" t="s">
        <v>533</v>
      </c>
      <c r="F107" s="114" t="s">
        <v>691</v>
      </c>
      <c r="G107" s="121" t="s">
        <v>1427</v>
      </c>
      <c r="H107" s="265" t="s">
        <v>932</v>
      </c>
      <c r="I107" s="219"/>
      <c r="J107" s="219"/>
      <c r="K107" s="73"/>
    </row>
    <row r="108" spans="1:16" x14ac:dyDescent="0.25">
      <c r="A108" s="219">
        <v>16705084</v>
      </c>
      <c r="B108" s="114" t="s">
        <v>800</v>
      </c>
      <c r="C108" s="114" t="s">
        <v>471</v>
      </c>
      <c r="D108" s="114" t="s">
        <v>542</v>
      </c>
      <c r="E108" s="120" t="s">
        <v>534</v>
      </c>
      <c r="F108" s="114" t="s">
        <v>691</v>
      </c>
      <c r="G108" s="121" t="s">
        <v>1427</v>
      </c>
      <c r="H108" s="265" t="s">
        <v>932</v>
      </c>
      <c r="I108" s="219"/>
      <c r="J108" s="219" t="s">
        <v>836</v>
      </c>
      <c r="K108" s="73"/>
    </row>
    <row r="109" spans="1:16" x14ac:dyDescent="0.25">
      <c r="A109" s="219">
        <v>3724075</v>
      </c>
      <c r="B109" s="114" t="s">
        <v>39</v>
      </c>
      <c r="C109" s="114" t="s">
        <v>470</v>
      </c>
      <c r="D109" s="114" t="s">
        <v>760</v>
      </c>
      <c r="E109" s="120" t="s">
        <v>535</v>
      </c>
      <c r="F109" s="114" t="s">
        <v>748</v>
      </c>
      <c r="G109" s="121" t="s">
        <v>1427</v>
      </c>
      <c r="H109" s="265" t="s">
        <v>931</v>
      </c>
      <c r="I109" s="219"/>
      <c r="J109" s="219" t="s">
        <v>837</v>
      </c>
      <c r="K109" s="73"/>
    </row>
    <row r="110" spans="1:16" x14ac:dyDescent="0.25">
      <c r="A110" s="219">
        <v>3884398</v>
      </c>
      <c r="B110" s="114" t="s">
        <v>489</v>
      </c>
      <c r="C110" s="114" t="s">
        <v>470</v>
      </c>
      <c r="D110" s="114" t="s">
        <v>760</v>
      </c>
      <c r="E110" s="120" t="s">
        <v>535</v>
      </c>
      <c r="F110" s="114" t="s">
        <v>748</v>
      </c>
      <c r="G110" s="121" t="s">
        <v>1427</v>
      </c>
      <c r="H110" s="265" t="s">
        <v>931</v>
      </c>
      <c r="I110" s="219"/>
      <c r="J110" s="219" t="s">
        <v>836</v>
      </c>
      <c r="K110" s="73"/>
    </row>
    <row r="111" spans="1:16" x14ac:dyDescent="0.25">
      <c r="A111" s="219">
        <v>4081782</v>
      </c>
      <c r="B111" s="114" t="s">
        <v>638</v>
      </c>
      <c r="C111" s="114" t="s">
        <v>470</v>
      </c>
      <c r="D111" s="114" t="s">
        <v>759</v>
      </c>
      <c r="E111" s="120" t="s">
        <v>536</v>
      </c>
      <c r="F111" s="114" t="s">
        <v>696</v>
      </c>
      <c r="G111" s="121" t="s">
        <v>1427</v>
      </c>
      <c r="H111" s="265" t="s">
        <v>932</v>
      </c>
      <c r="I111" s="219"/>
      <c r="J111" s="219"/>
      <c r="K111" s="73"/>
    </row>
    <row r="112" spans="1:16" x14ac:dyDescent="0.25">
      <c r="A112" s="219">
        <v>4416260</v>
      </c>
      <c r="B112" s="114" t="s">
        <v>810</v>
      </c>
      <c r="C112" s="114" t="s">
        <v>470</v>
      </c>
      <c r="D112" s="114" t="s">
        <v>759</v>
      </c>
      <c r="E112" s="120" t="s">
        <v>536</v>
      </c>
      <c r="F112" s="114" t="s">
        <v>697</v>
      </c>
      <c r="G112" s="121" t="s">
        <v>1427</v>
      </c>
      <c r="H112" s="265" t="s">
        <v>932</v>
      </c>
      <c r="I112" s="219"/>
      <c r="J112" s="219"/>
      <c r="K112" s="73"/>
    </row>
    <row r="113" spans="1:11" x14ac:dyDescent="0.25">
      <c r="A113" s="219">
        <v>4884311</v>
      </c>
      <c r="B113" s="114" t="s">
        <v>102</v>
      </c>
      <c r="C113" s="114" t="s">
        <v>470</v>
      </c>
      <c r="D113" s="114" t="s">
        <v>759</v>
      </c>
      <c r="E113" s="120" t="s">
        <v>536</v>
      </c>
      <c r="F113" s="114" t="s">
        <v>697</v>
      </c>
      <c r="G113" s="121" t="s">
        <v>1427</v>
      </c>
      <c r="H113" s="265" t="s">
        <v>931</v>
      </c>
      <c r="I113" s="219"/>
      <c r="J113" s="219"/>
      <c r="K113" s="73"/>
    </row>
    <row r="114" spans="1:11" x14ac:dyDescent="0.25">
      <c r="A114" s="219">
        <v>5215887</v>
      </c>
      <c r="B114" s="114" t="s">
        <v>87</v>
      </c>
      <c r="C114" s="114" t="s">
        <v>470</v>
      </c>
      <c r="D114" s="114" t="s">
        <v>765</v>
      </c>
      <c r="E114" s="120" t="s">
        <v>536</v>
      </c>
      <c r="F114" s="114" t="s">
        <v>697</v>
      </c>
      <c r="G114" s="121" t="s">
        <v>1427</v>
      </c>
      <c r="H114" s="265" t="s">
        <v>931</v>
      </c>
      <c r="I114" s="219"/>
      <c r="J114" s="219"/>
      <c r="K114" s="73"/>
    </row>
    <row r="115" spans="1:11" x14ac:dyDescent="0.25">
      <c r="A115" s="219">
        <v>5220166</v>
      </c>
      <c r="B115" s="114" t="s">
        <v>666</v>
      </c>
      <c r="C115" s="114" t="s">
        <v>470</v>
      </c>
      <c r="D115" s="114" t="s">
        <v>759</v>
      </c>
      <c r="E115" s="120" t="s">
        <v>536</v>
      </c>
      <c r="F115" s="114" t="s">
        <v>752</v>
      </c>
      <c r="G115" s="121" t="s">
        <v>1427</v>
      </c>
      <c r="H115" s="265" t="s">
        <v>932</v>
      </c>
      <c r="I115" s="219"/>
      <c r="J115" s="219" t="s">
        <v>838</v>
      </c>
      <c r="K115" s="73"/>
    </row>
    <row r="116" spans="1:11" x14ac:dyDescent="0.25">
      <c r="A116" s="219">
        <v>5320227</v>
      </c>
      <c r="B116" s="262" t="s">
        <v>807</v>
      </c>
      <c r="C116" s="114" t="s">
        <v>470</v>
      </c>
      <c r="D116" s="114" t="s">
        <v>759</v>
      </c>
      <c r="E116" s="120" t="s">
        <v>536</v>
      </c>
      <c r="F116" s="114" t="s">
        <v>940</v>
      </c>
      <c r="G116" s="121" t="s">
        <v>1427</v>
      </c>
      <c r="H116" s="265" t="s">
        <v>931</v>
      </c>
      <c r="I116" s="219"/>
      <c r="J116" s="219"/>
      <c r="K116" s="73"/>
    </row>
    <row r="117" spans="1:11" x14ac:dyDescent="0.25">
      <c r="A117" s="219">
        <v>5413927</v>
      </c>
      <c r="B117" s="114" t="s">
        <v>665</v>
      </c>
      <c r="C117" s="114" t="s">
        <v>470</v>
      </c>
      <c r="D117" s="114" t="s">
        <v>945</v>
      </c>
      <c r="E117" s="120" t="s">
        <v>537</v>
      </c>
      <c r="F117" s="114" t="s">
        <v>752</v>
      </c>
      <c r="G117" s="121" t="s">
        <v>1427</v>
      </c>
      <c r="H117" s="265" t="s">
        <v>932</v>
      </c>
      <c r="I117" s="219"/>
      <c r="J117" s="219"/>
      <c r="K117" s="73"/>
    </row>
    <row r="118" spans="1:11" x14ac:dyDescent="0.25">
      <c r="A118" s="219">
        <v>5527108</v>
      </c>
      <c r="B118" s="114" t="s">
        <v>639</v>
      </c>
      <c r="C118" s="114" t="s">
        <v>470</v>
      </c>
      <c r="D118" s="114" t="s">
        <v>759</v>
      </c>
      <c r="E118" s="120" t="s">
        <v>536</v>
      </c>
      <c r="F118" s="114" t="s">
        <v>755</v>
      </c>
      <c r="G118" s="121" t="s">
        <v>1427</v>
      </c>
      <c r="H118" s="265" t="s">
        <v>932</v>
      </c>
      <c r="I118" s="219"/>
      <c r="J118" s="219" t="s">
        <v>838</v>
      </c>
      <c r="K118" s="73"/>
    </row>
    <row r="119" spans="1:11" x14ac:dyDescent="0.25">
      <c r="A119" s="219">
        <v>5608315</v>
      </c>
      <c r="B119" s="114" t="s">
        <v>527</v>
      </c>
      <c r="C119" s="114" t="s">
        <v>470</v>
      </c>
      <c r="D119" s="114" t="s">
        <v>761</v>
      </c>
      <c r="E119" s="120" t="s">
        <v>534</v>
      </c>
      <c r="F119" s="114" t="s">
        <v>697</v>
      </c>
      <c r="G119" s="121" t="s">
        <v>1427</v>
      </c>
      <c r="H119" s="265" t="s">
        <v>932</v>
      </c>
      <c r="I119" s="219"/>
      <c r="J119" s="219" t="s">
        <v>839</v>
      </c>
      <c r="K119" s="73"/>
    </row>
    <row r="120" spans="1:11" x14ac:dyDescent="0.25">
      <c r="A120" s="219">
        <v>6020230</v>
      </c>
      <c r="B120" s="114" t="s">
        <v>40</v>
      </c>
      <c r="C120" s="114" t="s">
        <v>470</v>
      </c>
      <c r="D120" s="114" t="s">
        <v>761</v>
      </c>
      <c r="E120" s="120" t="s">
        <v>534</v>
      </c>
      <c r="F120" s="114" t="s">
        <v>752</v>
      </c>
      <c r="G120" s="121" t="s">
        <v>1427</v>
      </c>
      <c r="H120" s="265" t="s">
        <v>932</v>
      </c>
      <c r="I120" s="219"/>
      <c r="J120" s="219"/>
      <c r="K120" s="73"/>
    </row>
    <row r="121" spans="1:11" x14ac:dyDescent="0.25">
      <c r="A121" s="219">
        <v>6122526</v>
      </c>
      <c r="B121" s="114" t="s">
        <v>28</v>
      </c>
      <c r="C121" s="114" t="s">
        <v>470</v>
      </c>
      <c r="D121" s="114" t="s">
        <v>750</v>
      </c>
      <c r="E121" s="120" t="s">
        <v>533</v>
      </c>
      <c r="F121" s="114" t="s">
        <v>751</v>
      </c>
      <c r="G121" s="121" t="s">
        <v>1427</v>
      </c>
      <c r="H121" s="265" t="s">
        <v>931</v>
      </c>
      <c r="I121" s="219"/>
      <c r="J121" s="219" t="s">
        <v>898</v>
      </c>
      <c r="K121" s="73"/>
    </row>
    <row r="122" spans="1:11" x14ac:dyDescent="0.25">
      <c r="A122" s="219">
        <v>6124980</v>
      </c>
      <c r="B122" s="114" t="s">
        <v>803</v>
      </c>
      <c r="C122" s="114" t="s">
        <v>470</v>
      </c>
      <c r="D122" s="114" t="s">
        <v>765</v>
      </c>
      <c r="E122" s="120" t="s">
        <v>536</v>
      </c>
      <c r="F122" s="114" t="s">
        <v>745</v>
      </c>
      <c r="G122" s="121" t="s">
        <v>1427</v>
      </c>
      <c r="H122" s="265" t="s">
        <v>932</v>
      </c>
      <c r="I122" s="219"/>
      <c r="J122" s="219"/>
      <c r="K122" s="73"/>
    </row>
    <row r="123" spans="1:11" x14ac:dyDescent="0.25">
      <c r="A123" s="219">
        <v>6207120</v>
      </c>
      <c r="B123" s="114" t="s">
        <v>538</v>
      </c>
      <c r="C123" s="114" t="s">
        <v>470</v>
      </c>
      <c r="D123" s="114" t="s">
        <v>938</v>
      </c>
      <c r="E123" s="120" t="s">
        <v>536</v>
      </c>
      <c r="F123" s="114" t="s">
        <v>745</v>
      </c>
      <c r="G123" s="121" t="s">
        <v>1427</v>
      </c>
      <c r="H123" s="265" t="s">
        <v>932</v>
      </c>
      <c r="I123" s="219"/>
      <c r="J123" s="219" t="s">
        <v>898</v>
      </c>
      <c r="K123" s="73"/>
    </row>
    <row r="124" spans="1:11" x14ac:dyDescent="0.25">
      <c r="A124" s="219">
        <v>6268340</v>
      </c>
      <c r="B124" s="114" t="s">
        <v>528</v>
      </c>
      <c r="C124" s="114" t="s">
        <v>470</v>
      </c>
      <c r="D124" s="114" t="s">
        <v>761</v>
      </c>
      <c r="E124" s="120" t="s">
        <v>534</v>
      </c>
      <c r="F124" s="114" t="s">
        <v>697</v>
      </c>
      <c r="G124" s="121" t="s">
        <v>1427</v>
      </c>
      <c r="H124" s="265" t="s">
        <v>932</v>
      </c>
      <c r="I124" s="219"/>
      <c r="J124" s="219" t="s">
        <v>835</v>
      </c>
      <c r="K124" s="73"/>
    </row>
    <row r="125" spans="1:11" x14ac:dyDescent="0.25">
      <c r="A125" s="219">
        <v>6429365</v>
      </c>
      <c r="B125" s="114" t="s">
        <v>3</v>
      </c>
      <c r="C125" s="114" t="s">
        <v>470</v>
      </c>
      <c r="D125" s="114" t="s">
        <v>760</v>
      </c>
      <c r="E125" s="120" t="s">
        <v>535</v>
      </c>
      <c r="F125" s="114" t="s">
        <v>691</v>
      </c>
      <c r="G125" s="121" t="s">
        <v>1427</v>
      </c>
      <c r="H125" s="265" t="s">
        <v>931</v>
      </c>
      <c r="I125" s="219"/>
      <c r="J125" s="219"/>
      <c r="K125" s="73"/>
    </row>
    <row r="126" spans="1:11" x14ac:dyDescent="0.25">
      <c r="A126" s="219">
        <v>6898719</v>
      </c>
      <c r="B126" s="114" t="s">
        <v>664</v>
      </c>
      <c r="C126" s="114" t="s">
        <v>470</v>
      </c>
      <c r="D126" s="114" t="s">
        <v>759</v>
      </c>
      <c r="E126" s="120" t="s">
        <v>536</v>
      </c>
      <c r="F126" s="114" t="s">
        <v>940</v>
      </c>
      <c r="G126" s="121" t="s">
        <v>1427</v>
      </c>
      <c r="H126" s="265" t="s">
        <v>931</v>
      </c>
      <c r="I126" s="219"/>
      <c r="J126" s="219"/>
      <c r="K126" s="73"/>
    </row>
    <row r="127" spans="1:11" x14ac:dyDescent="0.25">
      <c r="A127" s="219">
        <v>7217958</v>
      </c>
      <c r="B127" s="114" t="s">
        <v>669</v>
      </c>
      <c r="C127" s="114" t="s">
        <v>470</v>
      </c>
      <c r="D127" s="114" t="s">
        <v>759</v>
      </c>
      <c r="E127" s="120" t="s">
        <v>536</v>
      </c>
      <c r="F127" s="114" t="s">
        <v>755</v>
      </c>
      <c r="G127" s="121" t="s">
        <v>1427</v>
      </c>
      <c r="H127" s="265" t="s">
        <v>932</v>
      </c>
      <c r="I127" s="219"/>
      <c r="J127" s="219"/>
      <c r="K127" s="73"/>
    </row>
    <row r="128" spans="1:11" x14ac:dyDescent="0.25">
      <c r="A128" s="219">
        <v>7953727</v>
      </c>
      <c r="B128" s="114" t="s">
        <v>662</v>
      </c>
      <c r="C128" s="114" t="s">
        <v>470</v>
      </c>
      <c r="D128" s="114" t="s">
        <v>690</v>
      </c>
      <c r="E128" s="120" t="s">
        <v>534</v>
      </c>
      <c r="F128" s="114" t="s">
        <v>697</v>
      </c>
      <c r="G128" s="121" t="s">
        <v>1427</v>
      </c>
      <c r="H128" s="265" t="s">
        <v>932</v>
      </c>
      <c r="I128" s="219"/>
      <c r="J128" s="219" t="s">
        <v>838</v>
      </c>
      <c r="K128" s="73"/>
    </row>
    <row r="129" spans="1:11" x14ac:dyDescent="0.25">
      <c r="A129" s="219">
        <v>7991468</v>
      </c>
      <c r="B129" s="114" t="s">
        <v>36</v>
      </c>
      <c r="C129" s="114" t="s">
        <v>470</v>
      </c>
      <c r="D129" s="114" t="s">
        <v>761</v>
      </c>
      <c r="E129" s="120" t="s">
        <v>534</v>
      </c>
      <c r="F129" s="114" t="s">
        <v>748</v>
      </c>
      <c r="G129" s="121" t="s">
        <v>1427</v>
      </c>
      <c r="H129" s="265" t="s">
        <v>932</v>
      </c>
      <c r="I129" s="219"/>
      <c r="J129" s="219"/>
      <c r="K129" s="73"/>
    </row>
    <row r="130" spans="1:11" x14ac:dyDescent="0.25">
      <c r="A130" s="219">
        <v>8050347</v>
      </c>
      <c r="B130" s="114" t="s">
        <v>42</v>
      </c>
      <c r="C130" s="114" t="s">
        <v>470</v>
      </c>
      <c r="D130" s="114" t="s">
        <v>946</v>
      </c>
      <c r="E130" s="120" t="s">
        <v>537</v>
      </c>
      <c r="F130" s="114" t="s">
        <v>752</v>
      </c>
      <c r="G130" s="121" t="s">
        <v>1427</v>
      </c>
      <c r="H130" s="265" t="s">
        <v>931</v>
      </c>
      <c r="I130" s="219"/>
      <c r="J130" s="219" t="s">
        <v>835</v>
      </c>
      <c r="K130" s="73"/>
    </row>
    <row r="131" spans="1:11" x14ac:dyDescent="0.25">
      <c r="A131" s="219">
        <v>8641323</v>
      </c>
      <c r="B131" s="262" t="s">
        <v>804</v>
      </c>
      <c r="C131" s="114" t="s">
        <v>470</v>
      </c>
      <c r="D131" s="114" t="s">
        <v>759</v>
      </c>
      <c r="E131" s="120" t="s">
        <v>536</v>
      </c>
      <c r="F131" s="114" t="s">
        <v>940</v>
      </c>
      <c r="G131" s="121" t="s">
        <v>1427</v>
      </c>
      <c r="H131" s="265" t="s">
        <v>932</v>
      </c>
      <c r="I131" s="219"/>
      <c r="J131" s="219"/>
      <c r="K131" s="73"/>
    </row>
    <row r="132" spans="1:11" x14ac:dyDescent="0.25">
      <c r="A132" s="219">
        <v>9120768</v>
      </c>
      <c r="B132" s="114" t="s">
        <v>523</v>
      </c>
      <c r="C132" s="114" t="s">
        <v>470</v>
      </c>
      <c r="D132" s="114" t="s">
        <v>759</v>
      </c>
      <c r="E132" s="120" t="s">
        <v>533</v>
      </c>
      <c r="F132" s="114" t="s">
        <v>745</v>
      </c>
      <c r="G132" s="121" t="s">
        <v>1427</v>
      </c>
      <c r="H132" s="265" t="s">
        <v>932</v>
      </c>
      <c r="I132" s="219"/>
      <c r="J132" s="219" t="s">
        <v>898</v>
      </c>
      <c r="K132" s="73"/>
    </row>
    <row r="133" spans="1:11" x14ac:dyDescent="0.25">
      <c r="A133" s="219">
        <v>10354703</v>
      </c>
      <c r="B133" s="261" t="s">
        <v>936</v>
      </c>
      <c r="C133" s="114" t="s">
        <v>470</v>
      </c>
      <c r="D133" s="114" t="s">
        <v>762</v>
      </c>
      <c r="E133" s="120" t="s">
        <v>536</v>
      </c>
      <c r="F133" s="114" t="s">
        <v>698</v>
      </c>
      <c r="G133" s="121" t="s">
        <v>1427</v>
      </c>
      <c r="H133" s="265" t="s">
        <v>931</v>
      </c>
      <c r="I133" s="219" t="s">
        <v>816</v>
      </c>
      <c r="J133" s="219" t="s">
        <v>816</v>
      </c>
      <c r="K133" s="73"/>
    </row>
    <row r="134" spans="1:11" x14ac:dyDescent="0.25">
      <c r="A134" s="219">
        <v>11405463</v>
      </c>
      <c r="B134" s="262" t="s">
        <v>805</v>
      </c>
      <c r="C134" s="114" t="s">
        <v>470</v>
      </c>
      <c r="D134" s="114" t="s">
        <v>945</v>
      </c>
      <c r="E134" s="120" t="s">
        <v>537</v>
      </c>
      <c r="F134" s="114" t="s">
        <v>752</v>
      </c>
      <c r="G134" s="121" t="s">
        <v>1427</v>
      </c>
      <c r="H134" s="265" t="s">
        <v>931</v>
      </c>
      <c r="I134" s="219"/>
      <c r="J134" s="219" t="s">
        <v>838</v>
      </c>
      <c r="K134" s="73"/>
    </row>
    <row r="135" spans="1:11" x14ac:dyDescent="0.25">
      <c r="A135" s="219">
        <v>11831831</v>
      </c>
      <c r="B135" s="114" t="s">
        <v>20</v>
      </c>
      <c r="C135" s="114" t="s">
        <v>470</v>
      </c>
      <c r="D135" s="114" t="s">
        <v>759</v>
      </c>
      <c r="E135" s="120" t="s">
        <v>536</v>
      </c>
      <c r="F135" s="114" t="s">
        <v>696</v>
      </c>
      <c r="G135" s="121" t="s">
        <v>1427</v>
      </c>
      <c r="H135" s="265" t="s">
        <v>931</v>
      </c>
      <c r="I135" s="219"/>
      <c r="J135" s="219"/>
      <c r="K135" s="73"/>
    </row>
    <row r="136" spans="1:11" x14ac:dyDescent="0.25">
      <c r="A136" s="219">
        <v>12826005</v>
      </c>
      <c r="B136" s="114" t="s">
        <v>909</v>
      </c>
      <c r="C136" s="114" t="s">
        <v>470</v>
      </c>
      <c r="D136" s="114" t="s">
        <v>762</v>
      </c>
      <c r="E136" s="120" t="s">
        <v>536</v>
      </c>
      <c r="F136" s="114" t="s">
        <v>748</v>
      </c>
      <c r="G136" s="121" t="s">
        <v>1427</v>
      </c>
      <c r="H136" s="265" t="s">
        <v>932</v>
      </c>
      <c r="I136" s="219"/>
      <c r="J136" s="219" t="s">
        <v>836</v>
      </c>
      <c r="K136" s="73"/>
    </row>
    <row r="137" spans="1:11" x14ac:dyDescent="0.25">
      <c r="A137" s="219">
        <v>13374879</v>
      </c>
      <c r="B137" s="114" t="s">
        <v>417</v>
      </c>
      <c r="C137" s="114" t="s">
        <v>470</v>
      </c>
      <c r="D137" s="114" t="s">
        <v>766</v>
      </c>
      <c r="E137" s="120" t="s">
        <v>537</v>
      </c>
      <c r="F137" s="114" t="s">
        <v>752</v>
      </c>
      <c r="G137" s="121" t="s">
        <v>1427</v>
      </c>
      <c r="H137" s="265" t="s">
        <v>932</v>
      </c>
      <c r="I137" s="219"/>
      <c r="J137" s="219" t="s">
        <v>839</v>
      </c>
      <c r="K137" s="73"/>
    </row>
    <row r="138" spans="1:11" x14ac:dyDescent="0.25">
      <c r="A138" s="219">
        <v>14500900</v>
      </c>
      <c r="B138" s="114" t="s">
        <v>668</v>
      </c>
      <c r="C138" s="114" t="s">
        <v>470</v>
      </c>
      <c r="D138" s="114" t="s">
        <v>762</v>
      </c>
      <c r="E138" s="120" t="s">
        <v>536</v>
      </c>
      <c r="F138" s="114" t="s">
        <v>697</v>
      </c>
      <c r="G138" s="121" t="s">
        <v>1427</v>
      </c>
      <c r="H138" s="265" t="s">
        <v>932</v>
      </c>
      <c r="I138" s="219"/>
      <c r="J138" s="219"/>
      <c r="K138" s="73"/>
    </row>
    <row r="139" spans="1:11" x14ac:dyDescent="0.25">
      <c r="A139" s="219">
        <v>15724847</v>
      </c>
      <c r="B139" s="114" t="s">
        <v>799</v>
      </c>
      <c r="C139" s="114" t="s">
        <v>470</v>
      </c>
      <c r="D139" s="114" t="s">
        <v>762</v>
      </c>
      <c r="E139" s="120" t="s">
        <v>536</v>
      </c>
      <c r="F139" s="114" t="s">
        <v>691</v>
      </c>
      <c r="G139" s="121" t="s">
        <v>1427</v>
      </c>
      <c r="H139" s="265" t="s">
        <v>932</v>
      </c>
      <c r="I139" s="219"/>
      <c r="J139" s="219"/>
      <c r="K139" s="73"/>
    </row>
    <row r="140" spans="1:11" x14ac:dyDescent="0.25">
      <c r="A140" s="219">
        <v>16162010</v>
      </c>
      <c r="B140" s="261" t="s">
        <v>891</v>
      </c>
      <c r="C140" s="114" t="s">
        <v>470</v>
      </c>
      <c r="D140" s="114" t="s">
        <v>764</v>
      </c>
      <c r="E140" s="120" t="s">
        <v>537</v>
      </c>
      <c r="F140" s="114" t="s">
        <v>752</v>
      </c>
      <c r="G140" s="121" t="s">
        <v>1427</v>
      </c>
      <c r="H140" s="265" t="s">
        <v>932</v>
      </c>
      <c r="I140" s="219"/>
      <c r="J140" s="219" t="s">
        <v>835</v>
      </c>
      <c r="K140" s="73"/>
    </row>
    <row r="141" spans="1:11" x14ac:dyDescent="0.25">
      <c r="A141" s="219">
        <v>16380240</v>
      </c>
      <c r="B141" s="114" t="s">
        <v>926</v>
      </c>
      <c r="C141" s="114" t="s">
        <v>934</v>
      </c>
      <c r="D141" s="114" t="s">
        <v>616</v>
      </c>
      <c r="E141" s="120" t="s">
        <v>536</v>
      </c>
      <c r="F141" s="114" t="s">
        <v>755</v>
      </c>
      <c r="G141" s="121" t="s">
        <v>1427</v>
      </c>
      <c r="H141" s="265" t="s">
        <v>932</v>
      </c>
      <c r="I141" s="219"/>
      <c r="J141" s="219"/>
      <c r="K141" s="73"/>
    </row>
    <row r="142" spans="1:11" x14ac:dyDescent="0.25">
      <c r="A142" s="219">
        <v>16726314</v>
      </c>
      <c r="B142" s="114" t="s">
        <v>915</v>
      </c>
      <c r="C142" s="114" t="s">
        <v>470</v>
      </c>
      <c r="D142" s="114" t="s">
        <v>762</v>
      </c>
      <c r="E142" s="120" t="s">
        <v>536</v>
      </c>
      <c r="F142" s="114" t="s">
        <v>755</v>
      </c>
      <c r="G142" s="121" t="s">
        <v>1427</v>
      </c>
      <c r="H142" s="265" t="s">
        <v>932</v>
      </c>
      <c r="I142" s="219"/>
      <c r="J142" s="219" t="s">
        <v>840</v>
      </c>
      <c r="K142" s="73"/>
    </row>
    <row r="143" spans="1:11" x14ac:dyDescent="0.25">
      <c r="A143" s="219">
        <v>17235769</v>
      </c>
      <c r="B143" s="114" t="s">
        <v>634</v>
      </c>
      <c r="C143" s="114" t="s">
        <v>470</v>
      </c>
      <c r="D143" s="114" t="s">
        <v>762</v>
      </c>
      <c r="E143" s="120" t="s">
        <v>536</v>
      </c>
      <c r="F143" s="114" t="s">
        <v>752</v>
      </c>
      <c r="G143" s="121" t="s">
        <v>1427</v>
      </c>
      <c r="H143" s="265" t="s">
        <v>932</v>
      </c>
      <c r="I143" s="219"/>
      <c r="J143" s="219" t="s">
        <v>837</v>
      </c>
      <c r="K143" s="73"/>
    </row>
    <row r="144" spans="1:11" x14ac:dyDescent="0.25">
      <c r="A144" s="219">
        <v>18325938</v>
      </c>
      <c r="B144" s="261" t="s">
        <v>896</v>
      </c>
      <c r="C144" s="114" t="s">
        <v>470</v>
      </c>
      <c r="D144" s="114" t="s">
        <v>762</v>
      </c>
      <c r="E144" s="120" t="s">
        <v>536</v>
      </c>
      <c r="F144" s="114" t="s">
        <v>696</v>
      </c>
      <c r="G144" s="121" t="s">
        <v>1427</v>
      </c>
      <c r="H144" s="265" t="s">
        <v>932</v>
      </c>
      <c r="I144" s="219"/>
      <c r="J144" s="219" t="s">
        <v>816</v>
      </c>
      <c r="K144" s="73"/>
    </row>
    <row r="145" spans="1:11" x14ac:dyDescent="0.25">
      <c r="A145" s="219">
        <v>21130556</v>
      </c>
      <c r="B145" s="114" t="s">
        <v>678</v>
      </c>
      <c r="C145" s="114" t="s">
        <v>470</v>
      </c>
      <c r="D145" s="114" t="s">
        <v>762</v>
      </c>
      <c r="E145" s="120" t="s">
        <v>536</v>
      </c>
      <c r="F145" s="114" t="s">
        <v>697</v>
      </c>
      <c r="G145" s="121" t="s">
        <v>1427</v>
      </c>
      <c r="H145" s="265" t="s">
        <v>931</v>
      </c>
      <c r="I145" s="219"/>
      <c r="J145" s="219"/>
      <c r="K145" s="73"/>
    </row>
    <row r="146" spans="1:11" x14ac:dyDescent="0.25">
      <c r="A146" s="219">
        <v>21346927</v>
      </c>
      <c r="B146" s="261" t="s">
        <v>894</v>
      </c>
      <c r="C146" s="114" t="s">
        <v>470</v>
      </c>
      <c r="D146" s="114" t="s">
        <v>762</v>
      </c>
      <c r="E146" s="120" t="s">
        <v>536</v>
      </c>
      <c r="F146" s="114" t="s">
        <v>696</v>
      </c>
      <c r="G146" s="121" t="s">
        <v>1427</v>
      </c>
      <c r="H146" s="265" t="s">
        <v>932</v>
      </c>
      <c r="I146" s="219"/>
      <c r="J146" s="219"/>
      <c r="K146" s="73"/>
    </row>
    <row r="147" spans="1:11" x14ac:dyDescent="0.25">
      <c r="A147" s="219">
        <v>22760305</v>
      </c>
      <c r="B147" s="114" t="s">
        <v>640</v>
      </c>
      <c r="C147" s="114" t="s">
        <v>470</v>
      </c>
      <c r="D147" s="114" t="s">
        <v>760</v>
      </c>
      <c r="E147" s="120" t="s">
        <v>535</v>
      </c>
      <c r="F147" s="114" t="s">
        <v>691</v>
      </c>
      <c r="G147" s="121" t="s">
        <v>1427</v>
      </c>
      <c r="H147" s="265" t="s">
        <v>932</v>
      </c>
      <c r="I147" s="219"/>
      <c r="J147" s="219"/>
      <c r="K147" s="73"/>
    </row>
    <row r="148" spans="1:11" x14ac:dyDescent="0.25">
      <c r="A148" s="219">
        <v>23634689</v>
      </c>
      <c r="B148" s="114" t="s">
        <v>920</v>
      </c>
      <c r="C148" s="114" t="s">
        <v>470</v>
      </c>
      <c r="D148" s="114" t="s">
        <v>937</v>
      </c>
      <c r="E148" s="120" t="s">
        <v>536</v>
      </c>
      <c r="F148" s="114" t="s">
        <v>697</v>
      </c>
      <c r="G148" s="121" t="s">
        <v>1427</v>
      </c>
      <c r="H148" s="265" t="s">
        <v>932</v>
      </c>
      <c r="I148" s="219"/>
      <c r="J148" s="219" t="s">
        <v>835</v>
      </c>
      <c r="K148" s="73"/>
    </row>
    <row r="149" spans="1:11" x14ac:dyDescent="0.25">
      <c r="A149" s="219">
        <v>23654515</v>
      </c>
      <c r="B149" s="114" t="s">
        <v>95</v>
      </c>
      <c r="C149" s="114" t="s">
        <v>470</v>
      </c>
      <c r="D149" s="114" t="s">
        <v>761</v>
      </c>
      <c r="E149" s="120" t="s">
        <v>534</v>
      </c>
      <c r="F149" s="114" t="s">
        <v>755</v>
      </c>
      <c r="G149" s="121" t="s">
        <v>1427</v>
      </c>
      <c r="H149" s="265" t="s">
        <v>932</v>
      </c>
      <c r="I149" s="219"/>
      <c r="J149" s="219"/>
      <c r="K149" s="73"/>
    </row>
    <row r="150" spans="1:11" x14ac:dyDescent="0.25">
      <c r="A150" s="219">
        <v>24317641</v>
      </c>
      <c r="B150" s="114" t="s">
        <v>680</v>
      </c>
      <c r="C150" s="114" t="s">
        <v>470</v>
      </c>
      <c r="D150" s="114" t="s">
        <v>762</v>
      </c>
      <c r="E150" s="120" t="s">
        <v>536</v>
      </c>
      <c r="F150" s="114" t="s">
        <v>696</v>
      </c>
      <c r="G150" s="121" t="s">
        <v>1427</v>
      </c>
      <c r="H150" s="265" t="s">
        <v>932</v>
      </c>
      <c r="I150" s="219"/>
      <c r="J150" s="219" t="s">
        <v>836</v>
      </c>
      <c r="K150" s="73"/>
    </row>
    <row r="151" spans="1:11" x14ac:dyDescent="0.25">
      <c r="A151" s="219">
        <v>24368457</v>
      </c>
      <c r="B151" s="261" t="s">
        <v>892</v>
      </c>
      <c r="C151" s="114" t="s">
        <v>470</v>
      </c>
      <c r="D151" s="114" t="s">
        <v>761</v>
      </c>
      <c r="E151" s="120" t="s">
        <v>534</v>
      </c>
      <c r="F151" s="114" t="s">
        <v>697</v>
      </c>
      <c r="G151" s="121" t="s">
        <v>1427</v>
      </c>
      <c r="H151" s="265" t="s">
        <v>931</v>
      </c>
      <c r="I151" s="219"/>
      <c r="J151" s="219" t="s">
        <v>816</v>
      </c>
      <c r="K151" s="73"/>
    </row>
    <row r="152" spans="1:11" x14ac:dyDescent="0.25">
      <c r="A152" s="219">
        <v>24483780</v>
      </c>
      <c r="B152" s="114" t="s">
        <v>667</v>
      </c>
      <c r="C152" s="114" t="s">
        <v>470</v>
      </c>
      <c r="D152" s="114" t="s">
        <v>762</v>
      </c>
      <c r="E152" s="120" t="s">
        <v>536</v>
      </c>
      <c r="F152" s="114" t="s">
        <v>696</v>
      </c>
      <c r="G152" s="121" t="s">
        <v>1427</v>
      </c>
      <c r="H152" s="265" t="s">
        <v>932</v>
      </c>
      <c r="I152" s="219"/>
      <c r="J152" s="219"/>
      <c r="K152" s="73"/>
    </row>
    <row r="153" spans="1:11" x14ac:dyDescent="0.25">
      <c r="A153" s="219">
        <v>25865888</v>
      </c>
      <c r="B153" s="114" t="s">
        <v>890</v>
      </c>
      <c r="C153" s="114" t="s">
        <v>470</v>
      </c>
      <c r="D153" s="114" t="s">
        <v>762</v>
      </c>
      <c r="E153" s="120" t="s">
        <v>536</v>
      </c>
      <c r="F153" s="114" t="s">
        <v>755</v>
      </c>
      <c r="G153" s="121" t="s">
        <v>1427</v>
      </c>
      <c r="H153" s="265" t="s">
        <v>932</v>
      </c>
      <c r="I153" s="219"/>
      <c r="J153" s="219"/>
      <c r="K153" s="73"/>
    </row>
    <row r="154" spans="1:11" x14ac:dyDescent="0.25">
      <c r="A154" s="219">
        <v>25973189</v>
      </c>
      <c r="B154" s="114" t="s">
        <v>681</v>
      </c>
      <c r="C154" s="114" t="s">
        <v>470</v>
      </c>
      <c r="D154" s="114" t="s">
        <v>762</v>
      </c>
      <c r="E154" s="120" t="s">
        <v>536</v>
      </c>
      <c r="F154" s="114" t="s">
        <v>755</v>
      </c>
      <c r="G154" s="121" t="s">
        <v>1427</v>
      </c>
      <c r="H154" s="265" t="s">
        <v>931</v>
      </c>
      <c r="I154" s="219"/>
      <c r="J154" s="219"/>
      <c r="K154" s="73"/>
    </row>
    <row r="155" spans="1:11" x14ac:dyDescent="0.25">
      <c r="A155" s="219">
        <v>26411028</v>
      </c>
      <c r="B155" s="114" t="s">
        <v>917</v>
      </c>
      <c r="C155" s="114" t="s">
        <v>470</v>
      </c>
      <c r="D155" s="114" t="s">
        <v>766</v>
      </c>
      <c r="E155" s="120" t="s">
        <v>537</v>
      </c>
      <c r="F155" s="114" t="s">
        <v>752</v>
      </c>
      <c r="G155" s="121" t="s">
        <v>1427</v>
      </c>
      <c r="H155" s="265" t="s">
        <v>931</v>
      </c>
      <c r="I155" s="219"/>
      <c r="J155" s="219" t="s">
        <v>838</v>
      </c>
      <c r="K155" s="73"/>
    </row>
    <row r="156" spans="1:11" x14ac:dyDescent="0.25">
      <c r="A156" s="219">
        <v>26443299</v>
      </c>
      <c r="B156" s="114" t="s">
        <v>925</v>
      </c>
      <c r="C156" s="114" t="s">
        <v>470</v>
      </c>
      <c r="D156" s="114" t="s">
        <v>690</v>
      </c>
      <c r="E156" s="120" t="s">
        <v>534</v>
      </c>
      <c r="F156" s="114" t="s">
        <v>697</v>
      </c>
      <c r="G156" s="121" t="s">
        <v>1427</v>
      </c>
      <c r="H156" s="265" t="s">
        <v>932</v>
      </c>
      <c r="I156" s="219"/>
      <c r="J156" s="219" t="s">
        <v>838</v>
      </c>
      <c r="K156" s="73"/>
    </row>
    <row r="157" spans="1:11" x14ac:dyDescent="0.25">
      <c r="A157" s="219">
        <v>27421804</v>
      </c>
      <c r="B157" s="114" t="s">
        <v>689</v>
      </c>
      <c r="C157" s="114" t="s">
        <v>470</v>
      </c>
      <c r="D157" s="114" t="s">
        <v>690</v>
      </c>
      <c r="E157" s="120" t="s">
        <v>534</v>
      </c>
      <c r="F157" s="114" t="s">
        <v>691</v>
      </c>
      <c r="G157" s="121" t="s">
        <v>1427</v>
      </c>
      <c r="H157" s="265" t="s">
        <v>931</v>
      </c>
      <c r="I157" s="219"/>
      <c r="J157" s="219"/>
      <c r="K157" s="73"/>
    </row>
    <row r="158" spans="1:11" x14ac:dyDescent="0.25">
      <c r="A158" s="219">
        <v>29657114</v>
      </c>
      <c r="B158" s="114" t="s">
        <v>637</v>
      </c>
      <c r="C158" s="114" t="s">
        <v>470</v>
      </c>
      <c r="D158" s="114" t="s">
        <v>762</v>
      </c>
      <c r="E158" s="120" t="s">
        <v>536</v>
      </c>
      <c r="F158" s="114" t="s">
        <v>696</v>
      </c>
      <c r="G158" s="121" t="s">
        <v>1427</v>
      </c>
      <c r="H158" s="265" t="s">
        <v>931</v>
      </c>
      <c r="I158" s="219"/>
      <c r="J158" s="219" t="s">
        <v>836</v>
      </c>
      <c r="K158" s="73"/>
    </row>
    <row r="159" spans="1:11" x14ac:dyDescent="0.25">
      <c r="A159" s="219">
        <v>30520646</v>
      </c>
      <c r="B159" s="114" t="s">
        <v>671</v>
      </c>
      <c r="C159" s="114" t="s">
        <v>470</v>
      </c>
      <c r="D159" s="114" t="s">
        <v>690</v>
      </c>
      <c r="E159" s="120" t="s">
        <v>534</v>
      </c>
      <c r="F159" s="114" t="s">
        <v>696</v>
      </c>
      <c r="G159" s="121" t="s">
        <v>1427</v>
      </c>
      <c r="H159" s="265" t="s">
        <v>932</v>
      </c>
      <c r="I159" s="219"/>
      <c r="J159" s="219" t="s">
        <v>838</v>
      </c>
      <c r="K159" s="73"/>
    </row>
    <row r="160" spans="1:11" x14ac:dyDescent="0.25">
      <c r="A160" s="219">
        <v>30565743</v>
      </c>
      <c r="B160" s="114" t="s">
        <v>672</v>
      </c>
      <c r="C160" s="114" t="s">
        <v>470</v>
      </c>
      <c r="D160" s="114" t="s">
        <v>690</v>
      </c>
      <c r="E160" s="120" t="s">
        <v>534</v>
      </c>
      <c r="F160" s="114" t="s">
        <v>696</v>
      </c>
      <c r="G160" s="121" t="s">
        <v>1427</v>
      </c>
      <c r="H160" s="265" t="s">
        <v>932</v>
      </c>
      <c r="I160" s="219"/>
      <c r="J160" s="219" t="s">
        <v>838</v>
      </c>
      <c r="K160" s="73"/>
    </row>
    <row r="161" spans="1:11" x14ac:dyDescent="0.25">
      <c r="A161" s="219">
        <v>30708991</v>
      </c>
      <c r="B161" s="114" t="s">
        <v>673</v>
      </c>
      <c r="C161" s="114" t="s">
        <v>470</v>
      </c>
      <c r="D161" s="114" t="s">
        <v>690</v>
      </c>
      <c r="E161" s="120" t="s">
        <v>534</v>
      </c>
      <c r="F161" s="114" t="s">
        <v>696</v>
      </c>
      <c r="G161" s="121" t="s">
        <v>1427</v>
      </c>
      <c r="H161" s="265" t="s">
        <v>932</v>
      </c>
      <c r="I161" s="219"/>
      <c r="J161" s="219" t="s">
        <v>838</v>
      </c>
      <c r="K161" s="73"/>
    </row>
    <row r="162" spans="1:11" x14ac:dyDescent="0.25">
      <c r="A162" s="219">
        <v>33396857</v>
      </c>
      <c r="B162" s="114" t="s">
        <v>922</v>
      </c>
      <c r="C162" s="114" t="s">
        <v>470</v>
      </c>
      <c r="D162" s="114" t="s">
        <v>690</v>
      </c>
      <c r="E162" s="120" t="s">
        <v>534</v>
      </c>
      <c r="F162" s="114" t="s">
        <v>696</v>
      </c>
      <c r="G162" s="121" t="s">
        <v>1427</v>
      </c>
      <c r="H162" s="265" t="s">
        <v>932</v>
      </c>
      <c r="I162" s="219"/>
      <c r="J162" s="219" t="s">
        <v>836</v>
      </c>
      <c r="K162" s="73"/>
    </row>
    <row r="163" spans="1:11" x14ac:dyDescent="0.25">
      <c r="A163" s="219">
        <v>4352901</v>
      </c>
      <c r="B163" s="114" t="s">
        <v>179</v>
      </c>
      <c r="C163" s="114" t="s">
        <v>471</v>
      </c>
      <c r="D163" s="114" t="s">
        <v>547</v>
      </c>
      <c r="E163" s="120" t="s">
        <v>533</v>
      </c>
      <c r="F163" s="114" t="s">
        <v>752</v>
      </c>
      <c r="G163" s="121" t="s">
        <v>1427</v>
      </c>
      <c r="H163" s="265" t="s">
        <v>932</v>
      </c>
      <c r="I163" s="219"/>
      <c r="J163" s="219" t="s">
        <v>898</v>
      </c>
      <c r="K163" s="73"/>
    </row>
    <row r="164" spans="1:11" x14ac:dyDescent="0.25">
      <c r="A164" s="219">
        <v>4357745</v>
      </c>
      <c r="B164" s="114" t="s">
        <v>180</v>
      </c>
      <c r="C164" s="114" t="s">
        <v>471</v>
      </c>
      <c r="D164" s="114" t="s">
        <v>590</v>
      </c>
      <c r="E164" s="120" t="s">
        <v>536</v>
      </c>
      <c r="F164" s="114" t="s">
        <v>756</v>
      </c>
      <c r="G164" s="121" t="s">
        <v>1427</v>
      </c>
      <c r="H164" s="265" t="s">
        <v>931</v>
      </c>
      <c r="I164" s="219"/>
      <c r="J164" s="219"/>
      <c r="K164" s="73"/>
    </row>
    <row r="165" spans="1:11" x14ac:dyDescent="0.25">
      <c r="A165" s="219">
        <v>4835012</v>
      </c>
      <c r="B165" s="114" t="s">
        <v>158</v>
      </c>
      <c r="C165" s="114" t="s">
        <v>471</v>
      </c>
      <c r="D165" s="114" t="s">
        <v>544</v>
      </c>
      <c r="E165" s="120" t="s">
        <v>533</v>
      </c>
      <c r="F165" s="114" t="s">
        <v>752</v>
      </c>
      <c r="G165" s="121" t="s">
        <v>1427</v>
      </c>
      <c r="H165" s="265" t="s">
        <v>932</v>
      </c>
      <c r="I165" s="219"/>
      <c r="J165" s="219"/>
      <c r="K165" s="73"/>
    </row>
    <row r="166" spans="1:11" x14ac:dyDescent="0.25">
      <c r="A166" s="219">
        <v>5608964</v>
      </c>
      <c r="B166" s="114" t="s">
        <v>181</v>
      </c>
      <c r="C166" s="114" t="s">
        <v>471</v>
      </c>
      <c r="D166" s="114" t="s">
        <v>542</v>
      </c>
      <c r="E166" s="120" t="s">
        <v>534</v>
      </c>
      <c r="F166" s="114" t="s">
        <v>697</v>
      </c>
      <c r="G166" s="121" t="s">
        <v>1427</v>
      </c>
      <c r="H166" s="265" t="s">
        <v>932</v>
      </c>
      <c r="I166" s="219"/>
      <c r="J166" s="219"/>
      <c r="K166" s="73"/>
    </row>
    <row r="167" spans="1:11" x14ac:dyDescent="0.25">
      <c r="A167" s="219">
        <v>5994165</v>
      </c>
      <c r="B167" s="114" t="s">
        <v>642</v>
      </c>
      <c r="C167" s="114" t="s">
        <v>471</v>
      </c>
      <c r="D167" s="114" t="s">
        <v>545</v>
      </c>
      <c r="E167" s="120" t="s">
        <v>536</v>
      </c>
      <c r="F167" s="114" t="s">
        <v>752</v>
      </c>
      <c r="G167" s="121" t="s">
        <v>1427</v>
      </c>
      <c r="H167" s="265" t="s">
        <v>932</v>
      </c>
      <c r="I167" s="219"/>
      <c r="J167" s="219" t="s">
        <v>835</v>
      </c>
      <c r="K167" s="73"/>
    </row>
    <row r="168" spans="1:11" x14ac:dyDescent="0.25">
      <c r="A168" s="219">
        <v>6157935</v>
      </c>
      <c r="B168" s="114" t="s">
        <v>149</v>
      </c>
      <c r="C168" s="114" t="s">
        <v>471</v>
      </c>
      <c r="D168" s="114" t="s">
        <v>594</v>
      </c>
      <c r="E168" s="120" t="s">
        <v>533</v>
      </c>
      <c r="F168" s="114" t="s">
        <v>751</v>
      </c>
      <c r="G168" s="121" t="s">
        <v>1427</v>
      </c>
      <c r="H168" s="265" t="s">
        <v>931</v>
      </c>
      <c r="I168" s="219"/>
      <c r="J168" s="219"/>
      <c r="K168" s="73"/>
    </row>
    <row r="169" spans="1:11" x14ac:dyDescent="0.25">
      <c r="A169" s="219">
        <v>6299669</v>
      </c>
      <c r="B169" s="114" t="s">
        <v>185</v>
      </c>
      <c r="C169" s="114" t="s">
        <v>471</v>
      </c>
      <c r="D169" s="114" t="s">
        <v>544</v>
      </c>
      <c r="E169" s="120" t="s">
        <v>535</v>
      </c>
      <c r="F169" s="114" t="s">
        <v>752</v>
      </c>
      <c r="G169" s="121" t="s">
        <v>1427</v>
      </c>
      <c r="H169" s="265" t="s">
        <v>932</v>
      </c>
      <c r="I169" s="219"/>
      <c r="J169" s="219" t="s">
        <v>835</v>
      </c>
      <c r="K169" s="73"/>
    </row>
    <row r="170" spans="1:11" x14ac:dyDescent="0.25">
      <c r="A170" s="219">
        <v>6302412</v>
      </c>
      <c r="B170" s="114" t="s">
        <v>186</v>
      </c>
      <c r="C170" s="114" t="s">
        <v>471</v>
      </c>
      <c r="D170" s="114" t="s">
        <v>757</v>
      </c>
      <c r="E170" s="120" t="s">
        <v>535</v>
      </c>
      <c r="F170" s="114" t="s">
        <v>696</v>
      </c>
      <c r="G170" s="121" t="s">
        <v>1427</v>
      </c>
      <c r="H170" s="265" t="s">
        <v>931</v>
      </c>
      <c r="I170" s="219"/>
      <c r="J170" s="219"/>
      <c r="K170" s="73"/>
    </row>
    <row r="171" spans="1:11" x14ac:dyDescent="0.25">
      <c r="A171" s="273">
        <v>6307719</v>
      </c>
      <c r="B171" s="114" t="s">
        <v>187</v>
      </c>
      <c r="C171" s="114" t="s">
        <v>471</v>
      </c>
      <c r="D171" s="114" t="s">
        <v>686</v>
      </c>
      <c r="E171" s="120" t="s">
        <v>535</v>
      </c>
      <c r="F171" s="114" t="s">
        <v>697</v>
      </c>
      <c r="G171" s="121" t="s">
        <v>1427</v>
      </c>
      <c r="H171" s="265" t="s">
        <v>931</v>
      </c>
      <c r="I171" s="273"/>
      <c r="J171" s="219"/>
      <c r="K171" s="73"/>
    </row>
    <row r="172" spans="1:11" x14ac:dyDescent="0.25">
      <c r="A172" s="219">
        <v>6316723</v>
      </c>
      <c r="B172" s="114" t="s">
        <v>163</v>
      </c>
      <c r="C172" s="114" t="s">
        <v>471</v>
      </c>
      <c r="D172" s="114" t="s">
        <v>554</v>
      </c>
      <c r="E172" s="120" t="s">
        <v>533</v>
      </c>
      <c r="F172" s="114" t="s">
        <v>755</v>
      </c>
      <c r="G172" s="121" t="s">
        <v>1427</v>
      </c>
      <c r="H172" s="265" t="s">
        <v>932</v>
      </c>
      <c r="I172" s="219"/>
      <c r="J172" s="219"/>
      <c r="K172" s="73"/>
    </row>
    <row r="173" spans="1:11" x14ac:dyDescent="0.25">
      <c r="A173" s="219">
        <v>6330974</v>
      </c>
      <c r="B173" s="114" t="s">
        <v>171</v>
      </c>
      <c r="C173" s="114" t="s">
        <v>471</v>
      </c>
      <c r="D173" s="114" t="s">
        <v>589</v>
      </c>
      <c r="E173" s="120" t="s">
        <v>533</v>
      </c>
      <c r="F173" s="114" t="s">
        <v>697</v>
      </c>
      <c r="G173" s="121" t="s">
        <v>1427</v>
      </c>
      <c r="H173" s="265" t="s">
        <v>932</v>
      </c>
      <c r="I173" s="219"/>
      <c r="J173" s="219"/>
      <c r="K173" s="73"/>
    </row>
    <row r="174" spans="1:11" x14ac:dyDescent="0.25">
      <c r="A174" s="219">
        <v>6344146</v>
      </c>
      <c r="B174" s="114" t="s">
        <v>170</v>
      </c>
      <c r="C174" s="114" t="s">
        <v>471</v>
      </c>
      <c r="D174" s="114" t="s">
        <v>597</v>
      </c>
      <c r="E174" s="120" t="s">
        <v>533</v>
      </c>
      <c r="F174" s="114" t="s">
        <v>691</v>
      </c>
      <c r="G174" s="121" t="s">
        <v>1427</v>
      </c>
      <c r="H174" s="265" t="s">
        <v>932</v>
      </c>
      <c r="I174" s="219"/>
      <c r="J174" s="219" t="s">
        <v>839</v>
      </c>
      <c r="K174" s="73"/>
    </row>
    <row r="175" spans="1:11" x14ac:dyDescent="0.25">
      <c r="A175" s="219">
        <v>6671780</v>
      </c>
      <c r="B175" s="114" t="s">
        <v>168</v>
      </c>
      <c r="C175" s="114" t="s">
        <v>471</v>
      </c>
      <c r="D175" s="114" t="s">
        <v>598</v>
      </c>
      <c r="E175" s="120" t="s">
        <v>533</v>
      </c>
      <c r="F175" s="114" t="s">
        <v>755</v>
      </c>
      <c r="G175" s="121" t="s">
        <v>1427</v>
      </c>
      <c r="H175" s="265" t="s">
        <v>932</v>
      </c>
      <c r="I175" s="219"/>
      <c r="J175" s="219" t="s">
        <v>836</v>
      </c>
      <c r="K175" s="73"/>
    </row>
    <row r="176" spans="1:11" x14ac:dyDescent="0.25">
      <c r="A176" s="219">
        <v>6692650</v>
      </c>
      <c r="B176" s="114" t="s">
        <v>191</v>
      </c>
      <c r="C176" s="114" t="s">
        <v>471</v>
      </c>
      <c r="D176" s="114" t="s">
        <v>555</v>
      </c>
      <c r="E176" s="120" t="s">
        <v>534</v>
      </c>
      <c r="F176" s="114" t="s">
        <v>755</v>
      </c>
      <c r="G176" s="121" t="s">
        <v>1427</v>
      </c>
      <c r="H176" s="265" t="s">
        <v>931</v>
      </c>
      <c r="I176" s="219"/>
      <c r="J176" s="219" t="s">
        <v>838</v>
      </c>
      <c r="K176" s="73"/>
    </row>
    <row r="177" spans="1:11" x14ac:dyDescent="0.25">
      <c r="A177" s="219">
        <v>6855894</v>
      </c>
      <c r="B177" s="114" t="s">
        <v>115</v>
      </c>
      <c r="C177" s="114" t="s">
        <v>471</v>
      </c>
      <c r="D177" s="114" t="s">
        <v>593</v>
      </c>
      <c r="E177" s="120" t="s">
        <v>533</v>
      </c>
      <c r="F177" s="114" t="s">
        <v>697</v>
      </c>
      <c r="G177" s="121" t="s">
        <v>1427</v>
      </c>
      <c r="H177" s="265" t="s">
        <v>932</v>
      </c>
      <c r="I177" s="219"/>
      <c r="J177" s="219"/>
      <c r="K177" s="73"/>
    </row>
    <row r="178" spans="1:11" x14ac:dyDescent="0.25">
      <c r="A178" s="219">
        <v>6862537</v>
      </c>
      <c r="B178" s="114" t="s">
        <v>192</v>
      </c>
      <c r="C178" s="114" t="s">
        <v>471</v>
      </c>
      <c r="D178" s="114" t="s">
        <v>601</v>
      </c>
      <c r="E178" s="120" t="s">
        <v>536</v>
      </c>
      <c r="F178" s="114" t="s">
        <v>756</v>
      </c>
      <c r="G178" s="121" t="s">
        <v>1427</v>
      </c>
      <c r="H178" s="265" t="s">
        <v>932</v>
      </c>
      <c r="I178" s="219"/>
      <c r="J178" s="219" t="s">
        <v>838</v>
      </c>
      <c r="K178" s="73"/>
    </row>
    <row r="179" spans="1:11" x14ac:dyDescent="0.25">
      <c r="A179" s="219">
        <v>6877349</v>
      </c>
      <c r="B179" s="114" t="s">
        <v>176</v>
      </c>
      <c r="C179" s="114" t="s">
        <v>471</v>
      </c>
      <c r="D179" s="114" t="s">
        <v>602</v>
      </c>
      <c r="E179" s="120" t="s">
        <v>533</v>
      </c>
      <c r="F179" s="114" t="s">
        <v>752</v>
      </c>
      <c r="G179" s="121" t="s">
        <v>1427</v>
      </c>
      <c r="H179" s="265" t="s">
        <v>932</v>
      </c>
      <c r="I179" s="219"/>
      <c r="J179" s="219"/>
      <c r="K179" s="73"/>
    </row>
    <row r="180" spans="1:11" x14ac:dyDescent="0.25">
      <c r="A180" s="219">
        <v>6899191</v>
      </c>
      <c r="B180" s="114" t="s">
        <v>35</v>
      </c>
      <c r="C180" s="114" t="s">
        <v>471</v>
      </c>
      <c r="D180" s="114" t="s">
        <v>603</v>
      </c>
      <c r="E180" s="120" t="s">
        <v>536</v>
      </c>
      <c r="F180" s="114" t="s">
        <v>748</v>
      </c>
      <c r="G180" s="121" t="s">
        <v>1427</v>
      </c>
      <c r="H180" s="265" t="s">
        <v>931</v>
      </c>
      <c r="I180" s="219"/>
      <c r="J180" s="219" t="s">
        <v>838</v>
      </c>
      <c r="K180" s="73"/>
    </row>
    <row r="181" spans="1:11" x14ac:dyDescent="0.25">
      <c r="A181" s="219">
        <v>6916826</v>
      </c>
      <c r="B181" s="114" t="s">
        <v>157</v>
      </c>
      <c r="C181" s="114" t="s">
        <v>471</v>
      </c>
      <c r="D181" s="114" t="s">
        <v>546</v>
      </c>
      <c r="E181" s="120" t="s">
        <v>533</v>
      </c>
      <c r="F181" s="114" t="s">
        <v>752</v>
      </c>
      <c r="G181" s="121" t="s">
        <v>1427</v>
      </c>
      <c r="H181" s="265" t="s">
        <v>932</v>
      </c>
      <c r="I181" s="219"/>
      <c r="J181" s="219"/>
      <c r="K181" s="73"/>
    </row>
    <row r="182" spans="1:11" x14ac:dyDescent="0.25">
      <c r="A182" s="219">
        <v>6932228</v>
      </c>
      <c r="B182" s="114" t="s">
        <v>129</v>
      </c>
      <c r="C182" s="114" t="s">
        <v>471</v>
      </c>
      <c r="D182" s="114" t="s">
        <v>593</v>
      </c>
      <c r="E182" s="120" t="s">
        <v>533</v>
      </c>
      <c r="F182" s="114" t="s">
        <v>697</v>
      </c>
      <c r="G182" s="121" t="s">
        <v>1427</v>
      </c>
      <c r="H182" s="265" t="s">
        <v>932</v>
      </c>
      <c r="I182" s="219"/>
      <c r="J182" s="219"/>
      <c r="K182" s="73"/>
    </row>
    <row r="183" spans="1:11" x14ac:dyDescent="0.25">
      <c r="A183" s="219">
        <v>6965440</v>
      </c>
      <c r="B183" s="114" t="s">
        <v>195</v>
      </c>
      <c r="C183" s="114" t="s">
        <v>471</v>
      </c>
      <c r="D183" s="114" t="s">
        <v>604</v>
      </c>
      <c r="E183" s="120" t="s">
        <v>536</v>
      </c>
      <c r="F183" s="114" t="s">
        <v>748</v>
      </c>
      <c r="G183" s="121" t="s">
        <v>1427</v>
      </c>
      <c r="H183" s="265" t="s">
        <v>931</v>
      </c>
      <c r="I183" s="219"/>
      <c r="J183" s="219" t="s">
        <v>835</v>
      </c>
      <c r="K183" s="73"/>
    </row>
    <row r="184" spans="1:11" x14ac:dyDescent="0.25">
      <c r="A184" s="219">
        <v>6965462</v>
      </c>
      <c r="B184" s="114" t="s">
        <v>196</v>
      </c>
      <c r="C184" s="114" t="s">
        <v>471</v>
      </c>
      <c r="D184" s="114" t="s">
        <v>605</v>
      </c>
      <c r="E184" s="120" t="s">
        <v>536</v>
      </c>
      <c r="F184" s="114" t="s">
        <v>748</v>
      </c>
      <c r="G184" s="121" t="s">
        <v>1427</v>
      </c>
      <c r="H184" s="265" t="s">
        <v>932</v>
      </c>
      <c r="I184" s="219"/>
      <c r="J184" s="219"/>
      <c r="K184" s="73"/>
    </row>
    <row r="185" spans="1:11" x14ac:dyDescent="0.25">
      <c r="A185" s="219">
        <v>7082265</v>
      </c>
      <c r="B185" s="114" t="s">
        <v>139</v>
      </c>
      <c r="C185" s="114" t="s">
        <v>471</v>
      </c>
      <c r="D185" s="114" t="s">
        <v>561</v>
      </c>
      <c r="E185" s="120" t="s">
        <v>533</v>
      </c>
      <c r="F185" s="114" t="s">
        <v>755</v>
      </c>
      <c r="G185" s="121" t="s">
        <v>1427</v>
      </c>
      <c r="H185" s="265" t="s">
        <v>932</v>
      </c>
      <c r="I185" s="219"/>
      <c r="J185" s="219"/>
      <c r="K185" s="73"/>
    </row>
    <row r="186" spans="1:11" x14ac:dyDescent="0.25">
      <c r="A186" s="219">
        <v>7922201</v>
      </c>
      <c r="B186" s="114" t="s">
        <v>156</v>
      </c>
      <c r="C186" s="114" t="s">
        <v>471</v>
      </c>
      <c r="D186" s="114" t="s">
        <v>548</v>
      </c>
      <c r="E186" s="120" t="s">
        <v>533</v>
      </c>
      <c r="F186" s="114" t="s">
        <v>752</v>
      </c>
      <c r="G186" s="121" t="s">
        <v>1427</v>
      </c>
      <c r="H186" s="265" t="s">
        <v>931</v>
      </c>
      <c r="I186" s="219"/>
      <c r="J186" s="219" t="s">
        <v>838</v>
      </c>
      <c r="K186" s="73"/>
    </row>
    <row r="187" spans="1:11" x14ac:dyDescent="0.25">
      <c r="A187" s="219">
        <v>7928721</v>
      </c>
      <c r="B187" s="114" t="s">
        <v>198</v>
      </c>
      <c r="C187" s="114" t="s">
        <v>471</v>
      </c>
      <c r="D187" s="114" t="s">
        <v>543</v>
      </c>
      <c r="E187" s="120" t="s">
        <v>536</v>
      </c>
      <c r="F187" s="114" t="s">
        <v>752</v>
      </c>
      <c r="G187" s="121" t="s">
        <v>1427</v>
      </c>
      <c r="H187" s="265" t="s">
        <v>932</v>
      </c>
      <c r="I187" s="219"/>
      <c r="J187" s="219" t="s">
        <v>838</v>
      </c>
      <c r="K187" s="73"/>
    </row>
    <row r="188" spans="1:11" x14ac:dyDescent="0.25">
      <c r="A188" s="219">
        <v>7990710</v>
      </c>
      <c r="B188" s="114" t="s">
        <v>200</v>
      </c>
      <c r="C188" s="114" t="s">
        <v>471</v>
      </c>
      <c r="D188" s="114" t="s">
        <v>544</v>
      </c>
      <c r="E188" s="120" t="s">
        <v>535</v>
      </c>
      <c r="F188" s="114" t="s">
        <v>749</v>
      </c>
      <c r="G188" s="121" t="s">
        <v>1427</v>
      </c>
      <c r="H188" s="265" t="s">
        <v>932</v>
      </c>
      <c r="I188" s="219"/>
      <c r="J188" s="219"/>
      <c r="K188" s="73"/>
    </row>
    <row r="189" spans="1:11" x14ac:dyDescent="0.25">
      <c r="A189" s="219">
        <v>8479170</v>
      </c>
      <c r="B189" s="114" t="s">
        <v>202</v>
      </c>
      <c r="C189" s="114" t="s">
        <v>471</v>
      </c>
      <c r="D189" s="114" t="s">
        <v>555</v>
      </c>
      <c r="E189" s="120" t="s">
        <v>534</v>
      </c>
      <c r="F189" s="114" t="s">
        <v>697</v>
      </c>
      <c r="G189" s="121" t="s">
        <v>1427</v>
      </c>
      <c r="H189" s="265" t="s">
        <v>931</v>
      </c>
      <c r="I189" s="219"/>
      <c r="J189" s="219" t="s">
        <v>835</v>
      </c>
      <c r="K189" s="73"/>
    </row>
    <row r="190" spans="1:11" x14ac:dyDescent="0.25">
      <c r="A190" s="219">
        <v>8744969</v>
      </c>
      <c r="B190" s="114" t="s">
        <v>204</v>
      </c>
      <c r="C190" s="114" t="s">
        <v>471</v>
      </c>
      <c r="D190" s="114" t="s">
        <v>561</v>
      </c>
      <c r="E190" s="120" t="s">
        <v>536</v>
      </c>
      <c r="F190" s="114" t="s">
        <v>755</v>
      </c>
      <c r="G190" s="121" t="s">
        <v>1427</v>
      </c>
      <c r="H190" s="265" t="s">
        <v>932</v>
      </c>
      <c r="I190" s="219"/>
      <c r="J190" s="219"/>
      <c r="K190" s="73"/>
    </row>
    <row r="191" spans="1:11" x14ac:dyDescent="0.25">
      <c r="A191" s="219">
        <v>8928635</v>
      </c>
      <c r="B191" s="114" t="s">
        <v>112</v>
      </c>
      <c r="C191" s="114" t="s">
        <v>471</v>
      </c>
      <c r="D191" s="114" t="s">
        <v>606</v>
      </c>
      <c r="E191" s="120" t="s">
        <v>533</v>
      </c>
      <c r="F191" s="114" t="s">
        <v>696</v>
      </c>
      <c r="G191" s="121" t="s">
        <v>1427</v>
      </c>
      <c r="H191" s="265" t="s">
        <v>932</v>
      </c>
      <c r="I191" s="219"/>
      <c r="J191" s="219" t="s">
        <v>835</v>
      </c>
      <c r="K191" s="73"/>
    </row>
    <row r="192" spans="1:11" x14ac:dyDescent="0.25">
      <c r="A192" s="219">
        <v>8958592</v>
      </c>
      <c r="B192" s="114" t="s">
        <v>138</v>
      </c>
      <c r="C192" s="114" t="s">
        <v>471</v>
      </c>
      <c r="D192" s="114" t="s">
        <v>561</v>
      </c>
      <c r="E192" s="120" t="s">
        <v>533</v>
      </c>
      <c r="F192" s="114" t="s">
        <v>755</v>
      </c>
      <c r="G192" s="121" t="s">
        <v>1427</v>
      </c>
      <c r="H192" s="265" t="s">
        <v>932</v>
      </c>
      <c r="I192" s="219"/>
      <c r="J192" s="219" t="s">
        <v>839</v>
      </c>
      <c r="K192" s="73"/>
    </row>
    <row r="193" spans="1:11" x14ac:dyDescent="0.25">
      <c r="A193" s="219">
        <v>9088654</v>
      </c>
      <c r="B193" s="114" t="s">
        <v>109</v>
      </c>
      <c r="C193" s="114" t="s">
        <v>471</v>
      </c>
      <c r="D193" s="114" t="s">
        <v>598</v>
      </c>
      <c r="E193" s="120" t="s">
        <v>533</v>
      </c>
      <c r="F193" s="114" t="s">
        <v>696</v>
      </c>
      <c r="G193" s="121" t="s">
        <v>1427</v>
      </c>
      <c r="H193" s="265" t="s">
        <v>932</v>
      </c>
      <c r="I193" s="219"/>
      <c r="J193" s="219"/>
      <c r="K193" s="73"/>
    </row>
    <row r="194" spans="1:11" x14ac:dyDescent="0.25">
      <c r="A194" s="219">
        <v>9097597</v>
      </c>
      <c r="B194" s="114" t="s">
        <v>207</v>
      </c>
      <c r="C194" s="114" t="s">
        <v>471</v>
      </c>
      <c r="D194" s="114" t="s">
        <v>542</v>
      </c>
      <c r="E194" s="120" t="s">
        <v>534</v>
      </c>
      <c r="F194" s="114" t="s">
        <v>755</v>
      </c>
      <c r="G194" s="121" t="s">
        <v>1427</v>
      </c>
      <c r="H194" s="265" t="s">
        <v>932</v>
      </c>
      <c r="I194" s="219"/>
      <c r="J194" s="219" t="s">
        <v>835</v>
      </c>
      <c r="K194" s="73"/>
    </row>
    <row r="195" spans="1:11" x14ac:dyDescent="0.25">
      <c r="A195" s="219">
        <v>9417315</v>
      </c>
      <c r="B195" s="114" t="s">
        <v>208</v>
      </c>
      <c r="C195" s="114" t="s">
        <v>471</v>
      </c>
      <c r="D195" s="114" t="s">
        <v>593</v>
      </c>
      <c r="E195" s="120" t="s">
        <v>536</v>
      </c>
      <c r="F195" s="114" t="s">
        <v>697</v>
      </c>
      <c r="G195" s="121" t="s">
        <v>1427</v>
      </c>
      <c r="H195" s="265" t="s">
        <v>932</v>
      </c>
      <c r="I195" s="219"/>
      <c r="J195" s="219" t="s">
        <v>835</v>
      </c>
      <c r="K195" s="73"/>
    </row>
    <row r="196" spans="1:11" x14ac:dyDescent="0.25">
      <c r="A196" s="219">
        <v>9420460</v>
      </c>
      <c r="B196" s="114" t="s">
        <v>107</v>
      </c>
      <c r="C196" s="114" t="s">
        <v>471</v>
      </c>
      <c r="D196" s="114" t="s">
        <v>606</v>
      </c>
      <c r="E196" s="120" t="s">
        <v>533</v>
      </c>
      <c r="F196" s="114" t="s">
        <v>696</v>
      </c>
      <c r="G196" s="121" t="s">
        <v>1427</v>
      </c>
      <c r="H196" s="265" t="s">
        <v>932</v>
      </c>
      <c r="I196" s="219"/>
      <c r="J196" s="219" t="s">
        <v>898</v>
      </c>
      <c r="K196" s="73"/>
    </row>
    <row r="197" spans="1:11" x14ac:dyDescent="0.25">
      <c r="A197" s="219">
        <v>9953242</v>
      </c>
      <c r="B197" s="114" t="s">
        <v>135</v>
      </c>
      <c r="C197" s="114" t="s">
        <v>471</v>
      </c>
      <c r="D197" s="114" t="s">
        <v>591</v>
      </c>
      <c r="E197" s="120" t="s">
        <v>533</v>
      </c>
      <c r="F197" s="114" t="s">
        <v>697</v>
      </c>
      <c r="G197" s="121" t="s">
        <v>1427</v>
      </c>
      <c r="H197" s="265" t="s">
        <v>931</v>
      </c>
      <c r="I197" s="219"/>
      <c r="J197" s="219" t="s">
        <v>838</v>
      </c>
      <c r="K197" s="73"/>
    </row>
    <row r="198" spans="1:11" x14ac:dyDescent="0.25">
      <c r="A198" s="219">
        <v>9960427</v>
      </c>
      <c r="B198" s="114" t="s">
        <v>209</v>
      </c>
      <c r="C198" s="114" t="s">
        <v>471</v>
      </c>
      <c r="D198" s="114" t="s">
        <v>550</v>
      </c>
      <c r="E198" s="120" t="s">
        <v>535</v>
      </c>
      <c r="F198" s="114" t="s">
        <v>756</v>
      </c>
      <c r="G198" s="121" t="s">
        <v>1427</v>
      </c>
      <c r="H198" s="265" t="s">
        <v>932</v>
      </c>
      <c r="I198" s="219"/>
      <c r="J198" s="219" t="s">
        <v>836</v>
      </c>
      <c r="K198" s="73"/>
    </row>
    <row r="199" spans="1:11" x14ac:dyDescent="0.25">
      <c r="A199" s="219">
        <v>9962492</v>
      </c>
      <c r="B199" s="114" t="s">
        <v>210</v>
      </c>
      <c r="C199" s="114" t="s">
        <v>471</v>
      </c>
      <c r="D199" s="114" t="s">
        <v>685</v>
      </c>
      <c r="E199" s="120" t="s">
        <v>536</v>
      </c>
      <c r="F199" s="114" t="s">
        <v>696</v>
      </c>
      <c r="G199" s="121" t="s">
        <v>1427</v>
      </c>
      <c r="H199" s="265" t="s">
        <v>932</v>
      </c>
      <c r="I199" s="219"/>
      <c r="J199" s="219"/>
      <c r="K199" s="73"/>
    </row>
    <row r="200" spans="1:11" x14ac:dyDescent="0.25">
      <c r="A200" s="219">
        <v>9995555</v>
      </c>
      <c r="B200" s="114" t="s">
        <v>169</v>
      </c>
      <c r="C200" s="114" t="s">
        <v>471</v>
      </c>
      <c r="D200" s="114" t="s">
        <v>598</v>
      </c>
      <c r="E200" s="120" t="s">
        <v>533</v>
      </c>
      <c r="F200" s="114" t="s">
        <v>755</v>
      </c>
      <c r="G200" s="121" t="s">
        <v>1427</v>
      </c>
      <c r="H200" s="265" t="s">
        <v>932</v>
      </c>
      <c r="I200" s="219"/>
      <c r="J200" s="219" t="s">
        <v>840</v>
      </c>
      <c r="K200" s="73"/>
    </row>
    <row r="201" spans="1:11" x14ac:dyDescent="0.25">
      <c r="A201" s="219">
        <v>10099361</v>
      </c>
      <c r="B201" s="114" t="s">
        <v>211</v>
      </c>
      <c r="C201" s="114" t="s">
        <v>471</v>
      </c>
      <c r="D201" s="114" t="s">
        <v>685</v>
      </c>
      <c r="E201" s="120" t="s">
        <v>536</v>
      </c>
      <c r="F201" s="114" t="s">
        <v>755</v>
      </c>
      <c r="G201" s="121" t="s">
        <v>1427</v>
      </c>
      <c r="H201" s="265" t="s">
        <v>931</v>
      </c>
      <c r="I201" s="219"/>
      <c r="J201" s="219" t="s">
        <v>839</v>
      </c>
      <c r="K201" s="73"/>
    </row>
    <row r="202" spans="1:11" x14ac:dyDescent="0.25">
      <c r="A202" s="219">
        <v>10219318</v>
      </c>
      <c r="B202" s="114" t="s">
        <v>172</v>
      </c>
      <c r="C202" s="114" t="s">
        <v>471</v>
      </c>
      <c r="D202" s="114" t="s">
        <v>561</v>
      </c>
      <c r="E202" s="120" t="s">
        <v>533</v>
      </c>
      <c r="F202" s="114" t="s">
        <v>755</v>
      </c>
      <c r="G202" s="121" t="s">
        <v>1427</v>
      </c>
      <c r="H202" s="265" t="s">
        <v>932</v>
      </c>
      <c r="I202" s="219"/>
      <c r="J202" s="219" t="s">
        <v>836</v>
      </c>
      <c r="K202" s="73"/>
    </row>
    <row r="203" spans="1:11" x14ac:dyDescent="0.25">
      <c r="A203" s="219">
        <v>10313631</v>
      </c>
      <c r="B203" s="114" t="s">
        <v>212</v>
      </c>
      <c r="C203" s="114" t="s">
        <v>471</v>
      </c>
      <c r="D203" s="114" t="s">
        <v>607</v>
      </c>
      <c r="E203" s="120" t="s">
        <v>535</v>
      </c>
      <c r="F203" s="114" t="s">
        <v>748</v>
      </c>
      <c r="G203" s="121" t="s">
        <v>1427</v>
      </c>
      <c r="H203" s="265" t="s">
        <v>932</v>
      </c>
      <c r="I203" s="219"/>
      <c r="J203" s="219"/>
      <c r="K203" s="73"/>
    </row>
    <row r="204" spans="1:11" x14ac:dyDescent="0.25">
      <c r="A204" s="219">
        <v>10376653</v>
      </c>
      <c r="B204" s="114" t="s">
        <v>635</v>
      </c>
      <c r="C204" s="114" t="s">
        <v>471</v>
      </c>
      <c r="D204" s="114" t="s">
        <v>605</v>
      </c>
      <c r="E204" s="120" t="s">
        <v>536</v>
      </c>
      <c r="F204" s="114" t="s">
        <v>748</v>
      </c>
      <c r="G204" s="121" t="s">
        <v>1427</v>
      </c>
      <c r="H204" s="265" t="s">
        <v>932</v>
      </c>
      <c r="I204" s="219"/>
      <c r="J204" s="219"/>
      <c r="K204" s="73"/>
    </row>
    <row r="205" spans="1:11" x14ac:dyDescent="0.25">
      <c r="A205" s="219">
        <v>10379575</v>
      </c>
      <c r="B205" s="114" t="s">
        <v>217</v>
      </c>
      <c r="C205" s="114" t="s">
        <v>471</v>
      </c>
      <c r="D205" s="114" t="s">
        <v>557</v>
      </c>
      <c r="E205" s="120" t="s">
        <v>535</v>
      </c>
      <c r="F205" s="114" t="s">
        <v>697</v>
      </c>
      <c r="G205" s="121" t="s">
        <v>1427</v>
      </c>
      <c r="H205" s="265" t="s">
        <v>932</v>
      </c>
      <c r="I205" s="219"/>
      <c r="J205" s="219"/>
      <c r="K205" s="73"/>
    </row>
    <row r="206" spans="1:11" x14ac:dyDescent="0.25">
      <c r="A206" s="219">
        <v>10470628</v>
      </c>
      <c r="B206" s="114" t="s">
        <v>128</v>
      </c>
      <c r="C206" s="114" t="s">
        <v>471</v>
      </c>
      <c r="D206" s="114" t="s">
        <v>608</v>
      </c>
      <c r="E206" s="120" t="s">
        <v>533</v>
      </c>
      <c r="F206" s="114" t="s">
        <v>696</v>
      </c>
      <c r="G206" s="121" t="s">
        <v>1427</v>
      </c>
      <c r="H206" s="265" t="s">
        <v>931</v>
      </c>
      <c r="I206" s="219"/>
      <c r="J206" s="219" t="s">
        <v>836</v>
      </c>
      <c r="K206" s="73"/>
    </row>
    <row r="207" spans="1:11" x14ac:dyDescent="0.25">
      <c r="A207" s="219">
        <v>10500619</v>
      </c>
      <c r="B207" s="114" t="s">
        <v>218</v>
      </c>
      <c r="C207" s="114" t="s">
        <v>471</v>
      </c>
      <c r="D207" s="114" t="s">
        <v>549</v>
      </c>
      <c r="E207" s="120" t="s">
        <v>536</v>
      </c>
      <c r="F207" s="114" t="s">
        <v>696</v>
      </c>
      <c r="G207" s="121" t="s">
        <v>1427</v>
      </c>
      <c r="H207" s="265" t="s">
        <v>931</v>
      </c>
      <c r="I207" s="219"/>
      <c r="J207" s="219"/>
      <c r="K207" s="73"/>
    </row>
    <row r="208" spans="1:11" x14ac:dyDescent="0.25">
      <c r="A208" s="219">
        <v>10541565</v>
      </c>
      <c r="B208" s="114" t="s">
        <v>126</v>
      </c>
      <c r="C208" s="114" t="s">
        <v>471</v>
      </c>
      <c r="D208" s="114" t="s">
        <v>612</v>
      </c>
      <c r="E208" s="120" t="s">
        <v>533</v>
      </c>
      <c r="F208" s="114" t="s">
        <v>748</v>
      </c>
      <c r="G208" s="121" t="s">
        <v>1427</v>
      </c>
      <c r="H208" s="265" t="s">
        <v>932</v>
      </c>
      <c r="I208" s="219"/>
      <c r="J208" s="219"/>
      <c r="K208" s="73"/>
    </row>
    <row r="209" spans="1:11" x14ac:dyDescent="0.25">
      <c r="A209" s="219">
        <v>10615718</v>
      </c>
      <c r="B209" s="114" t="s">
        <v>68</v>
      </c>
      <c r="C209" s="114" t="s">
        <v>471</v>
      </c>
      <c r="D209" s="114" t="s">
        <v>556</v>
      </c>
      <c r="E209" s="120" t="s">
        <v>534</v>
      </c>
      <c r="F209" s="114" t="s">
        <v>755</v>
      </c>
      <c r="G209" s="121" t="s">
        <v>1427</v>
      </c>
      <c r="H209" s="265" t="s">
        <v>932</v>
      </c>
      <c r="I209" s="219"/>
      <c r="J209" s="219"/>
      <c r="K209" s="73"/>
    </row>
    <row r="210" spans="1:11" x14ac:dyDescent="0.25">
      <c r="A210" s="219">
        <v>10625420</v>
      </c>
      <c r="B210" s="114" t="s">
        <v>221</v>
      </c>
      <c r="C210" s="114" t="s">
        <v>471</v>
      </c>
      <c r="D210" s="114" t="s">
        <v>544</v>
      </c>
      <c r="E210" s="120" t="s">
        <v>535</v>
      </c>
      <c r="F210" s="114" t="s">
        <v>749</v>
      </c>
      <c r="G210" s="121" t="s">
        <v>1427</v>
      </c>
      <c r="H210" s="265" t="s">
        <v>932</v>
      </c>
      <c r="I210" s="219"/>
      <c r="J210" s="219"/>
      <c r="K210" s="73"/>
    </row>
    <row r="211" spans="1:11" x14ac:dyDescent="0.25">
      <c r="A211" s="219">
        <v>10783446</v>
      </c>
      <c r="B211" s="114" t="s">
        <v>223</v>
      </c>
      <c r="C211" s="114" t="s">
        <v>471</v>
      </c>
      <c r="D211" s="114" t="s">
        <v>685</v>
      </c>
      <c r="E211" s="120" t="s">
        <v>536</v>
      </c>
      <c r="F211" s="114" t="s">
        <v>696</v>
      </c>
      <c r="G211" s="121" t="s">
        <v>1427</v>
      </c>
      <c r="H211" s="265" t="s">
        <v>931</v>
      </c>
      <c r="I211" s="219"/>
      <c r="J211" s="219" t="s">
        <v>837</v>
      </c>
      <c r="K211" s="73"/>
    </row>
    <row r="212" spans="1:11" x14ac:dyDescent="0.25">
      <c r="A212" s="219">
        <v>10784886</v>
      </c>
      <c r="B212" s="114" t="s">
        <v>154</v>
      </c>
      <c r="C212" s="114" t="s">
        <v>471</v>
      </c>
      <c r="D212" s="114" t="s">
        <v>543</v>
      </c>
      <c r="E212" s="120" t="s">
        <v>533</v>
      </c>
      <c r="F212" s="114" t="s">
        <v>751</v>
      </c>
      <c r="G212" s="121" t="s">
        <v>1427</v>
      </c>
      <c r="H212" s="265" t="s">
        <v>931</v>
      </c>
      <c r="I212" s="219"/>
      <c r="J212" s="219" t="s">
        <v>839</v>
      </c>
      <c r="K212" s="73"/>
    </row>
    <row r="213" spans="1:11" x14ac:dyDescent="0.25">
      <c r="A213" s="219">
        <v>10794199</v>
      </c>
      <c r="B213" s="114" t="s">
        <v>224</v>
      </c>
      <c r="C213" s="114" t="s">
        <v>471</v>
      </c>
      <c r="D213" s="114" t="s">
        <v>545</v>
      </c>
      <c r="E213" s="120" t="s">
        <v>536</v>
      </c>
      <c r="F213" s="114" t="s">
        <v>752</v>
      </c>
      <c r="G213" s="121" t="s">
        <v>1427</v>
      </c>
      <c r="H213" s="265" t="s">
        <v>931</v>
      </c>
      <c r="I213" s="219"/>
      <c r="J213" s="219" t="s">
        <v>835</v>
      </c>
      <c r="K213" s="73"/>
    </row>
    <row r="214" spans="1:11" x14ac:dyDescent="0.25">
      <c r="A214" s="219">
        <v>10815747</v>
      </c>
      <c r="B214" s="114" t="s">
        <v>225</v>
      </c>
      <c r="C214" s="114" t="s">
        <v>471</v>
      </c>
      <c r="D214" s="114" t="s">
        <v>623</v>
      </c>
      <c r="E214" s="120" t="s">
        <v>536</v>
      </c>
      <c r="F214" s="114" t="s">
        <v>748</v>
      </c>
      <c r="G214" s="121" t="s">
        <v>1427</v>
      </c>
      <c r="H214" s="265" t="s">
        <v>931</v>
      </c>
      <c r="I214" s="219"/>
      <c r="J214" s="219"/>
      <c r="K214" s="73"/>
    </row>
    <row r="215" spans="1:11" x14ac:dyDescent="0.25">
      <c r="A215" s="219">
        <v>10817216</v>
      </c>
      <c r="B215" s="114" t="s">
        <v>226</v>
      </c>
      <c r="C215" s="114" t="s">
        <v>471</v>
      </c>
      <c r="D215" s="114" t="s">
        <v>545</v>
      </c>
      <c r="E215" s="120" t="s">
        <v>536</v>
      </c>
      <c r="F215" s="114" t="s">
        <v>752</v>
      </c>
      <c r="G215" s="121" t="s">
        <v>1427</v>
      </c>
      <c r="H215" s="265" t="s">
        <v>931</v>
      </c>
      <c r="I215" s="219"/>
      <c r="J215" s="219" t="s">
        <v>835</v>
      </c>
      <c r="K215" s="73"/>
    </row>
    <row r="216" spans="1:11" x14ac:dyDescent="0.25">
      <c r="A216" s="219">
        <v>10883153</v>
      </c>
      <c r="B216" s="114" t="s">
        <v>106</v>
      </c>
      <c r="C216" s="114" t="s">
        <v>471</v>
      </c>
      <c r="D216" s="114" t="s">
        <v>561</v>
      </c>
      <c r="E216" s="120" t="s">
        <v>533</v>
      </c>
      <c r="F216" s="114" t="s">
        <v>755</v>
      </c>
      <c r="G216" s="121" t="s">
        <v>1427</v>
      </c>
      <c r="H216" s="265" t="s">
        <v>932</v>
      </c>
      <c r="I216" s="219"/>
      <c r="J216" s="219" t="s">
        <v>898</v>
      </c>
      <c r="K216" s="73"/>
    </row>
    <row r="217" spans="1:11" x14ac:dyDescent="0.25">
      <c r="A217" s="219">
        <v>11203282</v>
      </c>
      <c r="B217" s="114" t="s">
        <v>228</v>
      </c>
      <c r="C217" s="114" t="s">
        <v>471</v>
      </c>
      <c r="D217" s="114" t="s">
        <v>613</v>
      </c>
      <c r="E217" s="120" t="s">
        <v>535</v>
      </c>
      <c r="F217" s="114" t="s">
        <v>696</v>
      </c>
      <c r="G217" s="121" t="s">
        <v>1427</v>
      </c>
      <c r="H217" s="265" t="s">
        <v>931</v>
      </c>
      <c r="I217" s="219"/>
      <c r="J217" s="219" t="s">
        <v>839</v>
      </c>
      <c r="K217" s="73"/>
    </row>
    <row r="218" spans="1:11" x14ac:dyDescent="0.25">
      <c r="A218" s="219">
        <v>11241343</v>
      </c>
      <c r="B218" s="114" t="s">
        <v>122</v>
      </c>
      <c r="C218" s="114" t="s">
        <v>471</v>
      </c>
      <c r="D218" s="114" t="s">
        <v>546</v>
      </c>
      <c r="E218" s="120" t="s">
        <v>533</v>
      </c>
      <c r="F218" s="114" t="s">
        <v>745</v>
      </c>
      <c r="G218" s="121" t="s">
        <v>1427</v>
      </c>
      <c r="H218" s="265" t="s">
        <v>932</v>
      </c>
      <c r="I218" s="219"/>
      <c r="J218" s="219"/>
      <c r="K218" s="73"/>
    </row>
    <row r="219" spans="1:11" x14ac:dyDescent="0.25">
      <c r="A219" s="219">
        <v>11307551</v>
      </c>
      <c r="B219" s="114" t="s">
        <v>119</v>
      </c>
      <c r="C219" s="114" t="s">
        <v>471</v>
      </c>
      <c r="D219" s="114" t="s">
        <v>554</v>
      </c>
      <c r="E219" s="120" t="s">
        <v>533</v>
      </c>
      <c r="F219" s="114" t="s">
        <v>755</v>
      </c>
      <c r="G219" s="121" t="s">
        <v>1427</v>
      </c>
      <c r="H219" s="265" t="s">
        <v>932</v>
      </c>
      <c r="I219" s="219"/>
      <c r="J219" s="219" t="s">
        <v>898</v>
      </c>
      <c r="K219" s="73"/>
    </row>
    <row r="220" spans="1:11" x14ac:dyDescent="0.25">
      <c r="A220" s="219">
        <v>11405845</v>
      </c>
      <c r="B220" s="114" t="s">
        <v>160</v>
      </c>
      <c r="C220" s="114" t="s">
        <v>471</v>
      </c>
      <c r="D220" s="114" t="s">
        <v>547</v>
      </c>
      <c r="E220" s="120" t="s">
        <v>533</v>
      </c>
      <c r="F220" s="114" t="s">
        <v>752</v>
      </c>
      <c r="G220" s="121" t="s">
        <v>1427</v>
      </c>
      <c r="H220" s="265" t="s">
        <v>931</v>
      </c>
      <c r="I220" s="219"/>
      <c r="J220" s="219" t="s">
        <v>839</v>
      </c>
      <c r="K220" s="73"/>
    </row>
    <row r="221" spans="1:11" x14ac:dyDescent="0.25">
      <c r="A221" s="219">
        <v>11406272</v>
      </c>
      <c r="B221" s="114" t="s">
        <v>153</v>
      </c>
      <c r="C221" s="114" t="s">
        <v>471</v>
      </c>
      <c r="D221" s="114" t="s">
        <v>614</v>
      </c>
      <c r="E221" s="120" t="s">
        <v>533</v>
      </c>
      <c r="F221" s="114" t="s">
        <v>752</v>
      </c>
      <c r="G221" s="121" t="s">
        <v>1427</v>
      </c>
      <c r="H221" s="265" t="s">
        <v>931</v>
      </c>
      <c r="I221" s="219"/>
      <c r="J221" s="219" t="s">
        <v>836</v>
      </c>
      <c r="K221" s="73"/>
    </row>
    <row r="222" spans="1:11" x14ac:dyDescent="0.25">
      <c r="A222" s="219">
        <v>11407592</v>
      </c>
      <c r="B222" s="114" t="s">
        <v>229</v>
      </c>
      <c r="C222" s="114" t="s">
        <v>471</v>
      </c>
      <c r="D222" s="114" t="s">
        <v>557</v>
      </c>
      <c r="E222" s="120" t="s">
        <v>535</v>
      </c>
      <c r="F222" s="114" t="s">
        <v>755</v>
      </c>
      <c r="G222" s="121" t="s">
        <v>1427</v>
      </c>
      <c r="H222" s="265" t="s">
        <v>932</v>
      </c>
      <c r="I222" s="219"/>
      <c r="J222" s="219"/>
      <c r="K222" s="73"/>
    </row>
    <row r="223" spans="1:11" x14ac:dyDescent="0.25">
      <c r="A223" s="219">
        <v>11409380</v>
      </c>
      <c r="B223" s="114" t="s">
        <v>174</v>
      </c>
      <c r="C223" s="114" t="s">
        <v>471</v>
      </c>
      <c r="D223" s="114" t="s">
        <v>600</v>
      </c>
      <c r="E223" s="120" t="s">
        <v>533</v>
      </c>
      <c r="F223" s="114" t="s">
        <v>696</v>
      </c>
      <c r="G223" s="121" t="s">
        <v>1427</v>
      </c>
      <c r="H223" s="265" t="s">
        <v>932</v>
      </c>
      <c r="I223" s="219"/>
      <c r="J223" s="219"/>
      <c r="K223" s="73"/>
    </row>
    <row r="224" spans="1:11" x14ac:dyDescent="0.25">
      <c r="A224" s="219">
        <v>11565454</v>
      </c>
      <c r="B224" s="114" t="s">
        <v>118</v>
      </c>
      <c r="C224" s="114" t="s">
        <v>471</v>
      </c>
      <c r="D224" s="114" t="s">
        <v>615</v>
      </c>
      <c r="E224" s="120" t="s">
        <v>533</v>
      </c>
      <c r="F224" s="114" t="s">
        <v>752</v>
      </c>
      <c r="G224" s="121" t="s">
        <v>1427</v>
      </c>
      <c r="H224" s="265" t="s">
        <v>931</v>
      </c>
      <c r="I224" s="219"/>
      <c r="J224" s="219" t="s">
        <v>898</v>
      </c>
      <c r="K224" s="73"/>
    </row>
    <row r="225" spans="1:11" x14ac:dyDescent="0.25">
      <c r="A225" s="219">
        <v>11666812</v>
      </c>
      <c r="B225" s="114" t="s">
        <v>69</v>
      </c>
      <c r="C225" s="114" t="s">
        <v>471</v>
      </c>
      <c r="D225" s="114" t="s">
        <v>552</v>
      </c>
      <c r="E225" s="120" t="s">
        <v>536</v>
      </c>
      <c r="F225" s="114" t="s">
        <v>755</v>
      </c>
      <c r="G225" s="121" t="s">
        <v>1427</v>
      </c>
      <c r="H225" s="265" t="s">
        <v>932</v>
      </c>
      <c r="I225" s="219"/>
      <c r="J225" s="219" t="s">
        <v>836</v>
      </c>
      <c r="K225" s="73"/>
    </row>
    <row r="226" spans="1:11" x14ac:dyDescent="0.25">
      <c r="A226" s="219">
        <v>11675247</v>
      </c>
      <c r="B226" s="114" t="s">
        <v>148</v>
      </c>
      <c r="C226" s="114" t="s">
        <v>471</v>
      </c>
      <c r="D226" s="114" t="s">
        <v>545</v>
      </c>
      <c r="E226" s="120" t="s">
        <v>536</v>
      </c>
      <c r="F226" s="114" t="s">
        <v>752</v>
      </c>
      <c r="G226" s="121" t="s">
        <v>1427</v>
      </c>
      <c r="H226" s="265" t="s">
        <v>931</v>
      </c>
      <c r="I226" s="219"/>
      <c r="J226" s="219" t="s">
        <v>840</v>
      </c>
      <c r="K226" s="73"/>
    </row>
    <row r="227" spans="1:11" x14ac:dyDescent="0.25">
      <c r="A227" s="219">
        <v>11679527</v>
      </c>
      <c r="B227" s="114" t="s">
        <v>231</v>
      </c>
      <c r="C227" s="114" t="s">
        <v>471</v>
      </c>
      <c r="D227" s="114" t="s">
        <v>685</v>
      </c>
      <c r="E227" s="120" t="s">
        <v>536</v>
      </c>
      <c r="F227" s="114" t="s">
        <v>751</v>
      </c>
      <c r="G227" s="121" t="s">
        <v>1427</v>
      </c>
      <c r="H227" s="265" t="s">
        <v>932</v>
      </c>
      <c r="I227" s="219"/>
      <c r="J227" s="219"/>
      <c r="K227" s="73"/>
    </row>
    <row r="228" spans="1:11" x14ac:dyDescent="0.25">
      <c r="A228" s="219">
        <v>11689884</v>
      </c>
      <c r="B228" s="114" t="s">
        <v>232</v>
      </c>
      <c r="C228" s="114" t="s">
        <v>471</v>
      </c>
      <c r="D228" s="114" t="s">
        <v>561</v>
      </c>
      <c r="E228" s="120" t="s">
        <v>536</v>
      </c>
      <c r="F228" s="114" t="s">
        <v>755</v>
      </c>
      <c r="G228" s="121" t="s">
        <v>1427</v>
      </c>
      <c r="H228" s="265" t="s">
        <v>932</v>
      </c>
      <c r="I228" s="219"/>
      <c r="J228" s="219"/>
      <c r="K228" s="73"/>
    </row>
    <row r="229" spans="1:11" x14ac:dyDescent="0.25">
      <c r="A229" s="219">
        <v>11819707</v>
      </c>
      <c r="B229" s="114" t="s">
        <v>233</v>
      </c>
      <c r="C229" s="114" t="s">
        <v>471</v>
      </c>
      <c r="D229" s="114" t="s">
        <v>611</v>
      </c>
      <c r="E229" s="120" t="s">
        <v>534</v>
      </c>
      <c r="F229" s="114" t="s">
        <v>751</v>
      </c>
      <c r="G229" s="121" t="s">
        <v>1427</v>
      </c>
      <c r="H229" s="265" t="s">
        <v>931</v>
      </c>
      <c r="I229" s="219"/>
      <c r="J229" s="219"/>
      <c r="K229" s="73"/>
    </row>
    <row r="230" spans="1:11" x14ac:dyDescent="0.25">
      <c r="A230" s="219">
        <v>11899747</v>
      </c>
      <c r="B230" s="114" t="s">
        <v>234</v>
      </c>
      <c r="C230" s="114" t="s">
        <v>471</v>
      </c>
      <c r="D230" s="114" t="s">
        <v>550</v>
      </c>
      <c r="E230" s="120" t="s">
        <v>535</v>
      </c>
      <c r="F230" s="114" t="s">
        <v>755</v>
      </c>
      <c r="G230" s="121" t="s">
        <v>1427</v>
      </c>
      <c r="H230" s="265" t="s">
        <v>932</v>
      </c>
      <c r="I230" s="219"/>
      <c r="J230" s="219"/>
      <c r="K230" s="73"/>
    </row>
    <row r="231" spans="1:11" x14ac:dyDescent="0.25">
      <c r="A231" s="219">
        <v>11917550</v>
      </c>
      <c r="B231" s="114" t="s">
        <v>164</v>
      </c>
      <c r="C231" s="114" t="s">
        <v>471</v>
      </c>
      <c r="D231" s="114" t="s">
        <v>558</v>
      </c>
      <c r="E231" s="120" t="s">
        <v>533</v>
      </c>
      <c r="F231" s="114" t="s">
        <v>751</v>
      </c>
      <c r="G231" s="121" t="s">
        <v>1427</v>
      </c>
      <c r="H231" s="265" t="s">
        <v>931</v>
      </c>
      <c r="I231" s="219"/>
      <c r="J231" s="219"/>
      <c r="K231" s="73"/>
    </row>
    <row r="232" spans="1:11" x14ac:dyDescent="0.25">
      <c r="A232" s="219">
        <v>11917913</v>
      </c>
      <c r="B232" s="114" t="s">
        <v>235</v>
      </c>
      <c r="C232" s="114" t="s">
        <v>471</v>
      </c>
      <c r="D232" s="114" t="s">
        <v>560</v>
      </c>
      <c r="E232" s="120" t="s">
        <v>536</v>
      </c>
      <c r="F232" s="114" t="s">
        <v>755</v>
      </c>
      <c r="G232" s="121" t="s">
        <v>1427</v>
      </c>
      <c r="H232" s="265" t="s">
        <v>932</v>
      </c>
      <c r="I232" s="219"/>
      <c r="J232" s="219" t="s">
        <v>840</v>
      </c>
      <c r="K232" s="73"/>
    </row>
    <row r="233" spans="1:11" x14ac:dyDescent="0.25">
      <c r="A233" s="219">
        <v>11918573</v>
      </c>
      <c r="B233" s="114" t="s">
        <v>155</v>
      </c>
      <c r="C233" s="114" t="s">
        <v>471</v>
      </c>
      <c r="D233" s="114" t="s">
        <v>558</v>
      </c>
      <c r="E233" s="120" t="s">
        <v>533</v>
      </c>
      <c r="F233" s="114" t="s">
        <v>751</v>
      </c>
      <c r="G233" s="121" t="s">
        <v>1427</v>
      </c>
      <c r="H233" s="265" t="s">
        <v>932</v>
      </c>
      <c r="I233" s="219"/>
      <c r="J233" s="219" t="s">
        <v>837</v>
      </c>
      <c r="K233" s="73"/>
    </row>
    <row r="234" spans="1:11" x14ac:dyDescent="0.25">
      <c r="A234" s="219">
        <v>11921046</v>
      </c>
      <c r="B234" s="114" t="s">
        <v>159</v>
      </c>
      <c r="C234" s="114" t="s">
        <v>471</v>
      </c>
      <c r="D234" s="114" t="s">
        <v>544</v>
      </c>
      <c r="E234" s="120" t="s">
        <v>533</v>
      </c>
      <c r="F234" s="114" t="s">
        <v>751</v>
      </c>
      <c r="G234" s="121" t="s">
        <v>1427</v>
      </c>
      <c r="H234" s="265" t="s">
        <v>931</v>
      </c>
      <c r="I234" s="219"/>
      <c r="J234" s="219" t="s">
        <v>837</v>
      </c>
      <c r="K234" s="73"/>
    </row>
    <row r="235" spans="1:11" x14ac:dyDescent="0.25">
      <c r="A235" s="219">
        <v>11922356</v>
      </c>
      <c r="B235" s="114" t="s">
        <v>130</v>
      </c>
      <c r="C235" s="114" t="s">
        <v>471</v>
      </c>
      <c r="D235" s="114" t="s">
        <v>619</v>
      </c>
      <c r="E235" s="120" t="s">
        <v>536</v>
      </c>
      <c r="F235" s="114" t="s">
        <v>697</v>
      </c>
      <c r="G235" s="121" t="s">
        <v>1427</v>
      </c>
      <c r="H235" s="265" t="s">
        <v>932</v>
      </c>
      <c r="I235" s="254" t="s">
        <v>781</v>
      </c>
      <c r="J235" s="219"/>
      <c r="K235" s="73"/>
    </row>
    <row r="236" spans="1:11" x14ac:dyDescent="0.25">
      <c r="A236" s="219">
        <v>11923611</v>
      </c>
      <c r="B236" s="114" t="s">
        <v>236</v>
      </c>
      <c r="C236" s="114" t="s">
        <v>471</v>
      </c>
      <c r="D236" s="114" t="s">
        <v>555</v>
      </c>
      <c r="E236" s="120" t="s">
        <v>534</v>
      </c>
      <c r="F236" s="114" t="s">
        <v>755</v>
      </c>
      <c r="G236" s="121" t="s">
        <v>1427</v>
      </c>
      <c r="H236" s="265" t="s">
        <v>931</v>
      </c>
      <c r="I236" s="219"/>
      <c r="J236" s="219" t="s">
        <v>837</v>
      </c>
      <c r="K236" s="73"/>
    </row>
    <row r="237" spans="1:11" x14ac:dyDescent="0.25">
      <c r="A237" s="219">
        <v>11930868</v>
      </c>
      <c r="B237" s="114" t="s">
        <v>238</v>
      </c>
      <c r="C237" s="114" t="s">
        <v>471</v>
      </c>
      <c r="D237" s="114" t="s">
        <v>542</v>
      </c>
      <c r="E237" s="120" t="s">
        <v>534</v>
      </c>
      <c r="F237" s="114" t="s">
        <v>748</v>
      </c>
      <c r="G237" s="121" t="s">
        <v>1427</v>
      </c>
      <c r="H237" s="265" t="s">
        <v>932</v>
      </c>
      <c r="I237" s="219"/>
      <c r="J237" s="219" t="s">
        <v>838</v>
      </c>
      <c r="K237" s="73"/>
    </row>
    <row r="238" spans="1:11" x14ac:dyDescent="0.25">
      <c r="A238" s="219">
        <v>11994298</v>
      </c>
      <c r="B238" s="114" t="s">
        <v>239</v>
      </c>
      <c r="C238" s="114" t="s">
        <v>471</v>
      </c>
      <c r="D238" s="114" t="s">
        <v>545</v>
      </c>
      <c r="E238" s="120" t="s">
        <v>536</v>
      </c>
      <c r="F238" s="114" t="s">
        <v>755</v>
      </c>
      <c r="G238" s="121" t="s">
        <v>1427</v>
      </c>
      <c r="H238" s="265" t="s">
        <v>931</v>
      </c>
      <c r="I238" s="219"/>
      <c r="J238" s="219"/>
      <c r="K238" s="73"/>
    </row>
    <row r="239" spans="1:11" x14ac:dyDescent="0.25">
      <c r="A239" s="219">
        <v>12054201</v>
      </c>
      <c r="B239" s="114" t="s">
        <v>683</v>
      </c>
      <c r="C239" s="114" t="s">
        <v>471</v>
      </c>
      <c r="D239" s="114" t="s">
        <v>544</v>
      </c>
      <c r="E239" s="120" t="s">
        <v>535</v>
      </c>
      <c r="F239" s="114" t="s">
        <v>696</v>
      </c>
      <c r="G239" s="121" t="s">
        <v>1427</v>
      </c>
      <c r="H239" s="265" t="s">
        <v>932</v>
      </c>
      <c r="I239" s="219"/>
      <c r="J239" s="219"/>
      <c r="K239" s="73"/>
    </row>
    <row r="240" spans="1:11" x14ac:dyDescent="0.25">
      <c r="A240" s="219">
        <v>12111014</v>
      </c>
      <c r="B240" s="114" t="s">
        <v>240</v>
      </c>
      <c r="C240" s="114" t="s">
        <v>471</v>
      </c>
      <c r="D240" s="114" t="s">
        <v>543</v>
      </c>
      <c r="E240" s="120" t="s">
        <v>536</v>
      </c>
      <c r="F240" s="114" t="s">
        <v>752</v>
      </c>
      <c r="G240" s="121" t="s">
        <v>1427</v>
      </c>
      <c r="H240" s="265" t="s">
        <v>932</v>
      </c>
      <c r="I240" s="219"/>
      <c r="J240" s="219"/>
      <c r="K240" s="73"/>
    </row>
    <row r="241" spans="1:11" x14ac:dyDescent="0.25">
      <c r="A241" s="219">
        <v>12114091</v>
      </c>
      <c r="B241" s="114" t="s">
        <v>242</v>
      </c>
      <c r="C241" s="114" t="s">
        <v>471</v>
      </c>
      <c r="D241" s="114" t="s">
        <v>607</v>
      </c>
      <c r="E241" s="120" t="s">
        <v>535</v>
      </c>
      <c r="F241" s="114" t="s">
        <v>748</v>
      </c>
      <c r="G241" s="121" t="s">
        <v>1427</v>
      </c>
      <c r="H241" s="265" t="s">
        <v>931</v>
      </c>
      <c r="I241" s="219"/>
      <c r="J241" s="219"/>
      <c r="K241" s="73"/>
    </row>
    <row r="242" spans="1:11" x14ac:dyDescent="0.25">
      <c r="A242" s="219">
        <v>12259612</v>
      </c>
      <c r="B242" s="114" t="s">
        <v>663</v>
      </c>
      <c r="C242" s="114" t="s">
        <v>471</v>
      </c>
      <c r="D242" s="114" t="s">
        <v>556</v>
      </c>
      <c r="E242" s="120" t="s">
        <v>534</v>
      </c>
      <c r="F242" s="114" t="s">
        <v>748</v>
      </c>
      <c r="G242" s="121" t="s">
        <v>1427</v>
      </c>
      <c r="H242" s="265" t="s">
        <v>932</v>
      </c>
      <c r="I242" s="219"/>
      <c r="J242" s="219"/>
      <c r="K242" s="73"/>
    </row>
    <row r="243" spans="1:11" x14ac:dyDescent="0.25">
      <c r="A243" s="219">
        <v>12289719</v>
      </c>
      <c r="B243" s="114" t="s">
        <v>244</v>
      </c>
      <c r="C243" s="114" t="s">
        <v>471</v>
      </c>
      <c r="D243" s="114" t="s">
        <v>543</v>
      </c>
      <c r="E243" s="120" t="s">
        <v>536</v>
      </c>
      <c r="F243" s="114" t="s">
        <v>752</v>
      </c>
      <c r="G243" s="121" t="s">
        <v>1427</v>
      </c>
      <c r="H243" s="265" t="s">
        <v>932</v>
      </c>
      <c r="I243" s="219"/>
      <c r="J243" s="219"/>
      <c r="K243" s="73"/>
    </row>
    <row r="244" spans="1:11" x14ac:dyDescent="0.25">
      <c r="A244" s="219">
        <v>12357367</v>
      </c>
      <c r="B244" s="114" t="s">
        <v>246</v>
      </c>
      <c r="C244" s="114" t="s">
        <v>471</v>
      </c>
      <c r="D244" s="114" t="s">
        <v>542</v>
      </c>
      <c r="E244" s="120" t="s">
        <v>534</v>
      </c>
      <c r="F244" s="114" t="s">
        <v>752</v>
      </c>
      <c r="G244" s="121" t="s">
        <v>1427</v>
      </c>
      <c r="H244" s="265" t="s">
        <v>931</v>
      </c>
      <c r="I244" s="219"/>
      <c r="J244" s="219"/>
      <c r="K244" s="73"/>
    </row>
    <row r="245" spans="1:11" x14ac:dyDescent="0.25">
      <c r="A245" s="219">
        <v>12384336</v>
      </c>
      <c r="B245" s="114" t="s">
        <v>248</v>
      </c>
      <c r="C245" s="114" t="s">
        <v>471</v>
      </c>
      <c r="D245" s="114" t="s">
        <v>609</v>
      </c>
      <c r="E245" s="120" t="s">
        <v>536</v>
      </c>
      <c r="F245" s="114" t="s">
        <v>748</v>
      </c>
      <c r="G245" s="121" t="s">
        <v>1427</v>
      </c>
      <c r="H245" s="265" t="s">
        <v>932</v>
      </c>
      <c r="I245" s="219"/>
      <c r="J245" s="219" t="s">
        <v>835</v>
      </c>
      <c r="K245" s="73"/>
    </row>
    <row r="246" spans="1:11" x14ac:dyDescent="0.25">
      <c r="A246" s="219">
        <v>12384741</v>
      </c>
      <c r="B246" s="114" t="s">
        <v>408</v>
      </c>
      <c r="C246" s="114" t="s">
        <v>471</v>
      </c>
      <c r="D246" s="114" t="s">
        <v>542</v>
      </c>
      <c r="E246" s="120" t="s">
        <v>534</v>
      </c>
      <c r="F246" s="114" t="s">
        <v>755</v>
      </c>
      <c r="G246" s="121" t="s">
        <v>1427</v>
      </c>
      <c r="H246" s="265" t="s">
        <v>932</v>
      </c>
      <c r="I246" s="219"/>
      <c r="J246" s="219" t="s">
        <v>837</v>
      </c>
      <c r="K246" s="73"/>
    </row>
    <row r="247" spans="1:11" x14ac:dyDescent="0.25">
      <c r="A247" s="219">
        <v>12396334</v>
      </c>
      <c r="B247" s="114" t="s">
        <v>250</v>
      </c>
      <c r="C247" s="114" t="s">
        <v>471</v>
      </c>
      <c r="D247" s="114" t="s">
        <v>609</v>
      </c>
      <c r="E247" s="120" t="s">
        <v>536</v>
      </c>
      <c r="F247" s="114" t="s">
        <v>748</v>
      </c>
      <c r="G247" s="121" t="s">
        <v>1427</v>
      </c>
      <c r="H247" s="265" t="s">
        <v>932</v>
      </c>
      <c r="I247" s="219"/>
      <c r="J247" s="219"/>
      <c r="K247" s="73"/>
    </row>
    <row r="248" spans="1:11" x14ac:dyDescent="0.25">
      <c r="A248" s="219">
        <v>12398275</v>
      </c>
      <c r="B248" s="114" t="s">
        <v>531</v>
      </c>
      <c r="C248" s="114" t="s">
        <v>471</v>
      </c>
      <c r="D248" s="114" t="s">
        <v>544</v>
      </c>
      <c r="E248" s="120" t="s">
        <v>535</v>
      </c>
      <c r="F248" s="114" t="s">
        <v>752</v>
      </c>
      <c r="G248" s="121" t="s">
        <v>1427</v>
      </c>
      <c r="H248" s="265" t="s">
        <v>931</v>
      </c>
      <c r="I248" s="219"/>
      <c r="J248" s="219" t="s">
        <v>838</v>
      </c>
      <c r="K248" s="73"/>
    </row>
    <row r="249" spans="1:11" x14ac:dyDescent="0.25">
      <c r="A249" s="219">
        <v>12410293</v>
      </c>
      <c r="B249" s="114" t="s">
        <v>161</v>
      </c>
      <c r="C249" s="114" t="s">
        <v>471</v>
      </c>
      <c r="D249" s="114" t="s">
        <v>620</v>
      </c>
      <c r="E249" s="120" t="s">
        <v>533</v>
      </c>
      <c r="F249" s="114" t="s">
        <v>691</v>
      </c>
      <c r="G249" s="121" t="s">
        <v>1427</v>
      </c>
      <c r="H249" s="265" t="s">
        <v>932</v>
      </c>
      <c r="I249" s="219"/>
      <c r="J249" s="219" t="s">
        <v>836</v>
      </c>
      <c r="K249" s="73"/>
    </row>
    <row r="250" spans="1:11" x14ac:dyDescent="0.25">
      <c r="A250" s="219">
        <v>12561193</v>
      </c>
      <c r="B250" s="114" t="s">
        <v>252</v>
      </c>
      <c r="C250" s="114" t="s">
        <v>471</v>
      </c>
      <c r="D250" s="114" t="s">
        <v>544</v>
      </c>
      <c r="E250" s="120" t="s">
        <v>535</v>
      </c>
      <c r="F250" s="114" t="s">
        <v>696</v>
      </c>
      <c r="G250" s="121" t="s">
        <v>1427</v>
      </c>
      <c r="H250" s="265" t="s">
        <v>931</v>
      </c>
      <c r="I250" s="219"/>
      <c r="J250" s="219" t="s">
        <v>835</v>
      </c>
      <c r="K250" s="73"/>
    </row>
    <row r="251" spans="1:11" x14ac:dyDescent="0.25">
      <c r="A251" s="219">
        <v>12641345</v>
      </c>
      <c r="B251" s="114" t="s">
        <v>253</v>
      </c>
      <c r="C251" s="114" t="s">
        <v>471</v>
      </c>
      <c r="D251" s="114" t="s">
        <v>621</v>
      </c>
      <c r="E251" s="120" t="s">
        <v>536</v>
      </c>
      <c r="F251" s="114" t="s">
        <v>749</v>
      </c>
      <c r="G251" s="121" t="s">
        <v>1427</v>
      </c>
      <c r="H251" s="265" t="s">
        <v>932</v>
      </c>
      <c r="I251" s="219"/>
      <c r="J251" s="219"/>
      <c r="K251" s="73"/>
    </row>
    <row r="252" spans="1:11" x14ac:dyDescent="0.25">
      <c r="A252" s="219">
        <v>12781587</v>
      </c>
      <c r="B252" s="114" t="s">
        <v>254</v>
      </c>
      <c r="C252" s="114" t="s">
        <v>471</v>
      </c>
      <c r="D252" s="114" t="s">
        <v>559</v>
      </c>
      <c r="E252" s="120" t="s">
        <v>535</v>
      </c>
      <c r="F252" s="114" t="s">
        <v>755</v>
      </c>
      <c r="G252" s="121" t="s">
        <v>1427</v>
      </c>
      <c r="H252" s="265" t="s">
        <v>931</v>
      </c>
      <c r="I252" s="219"/>
      <c r="J252" s="219"/>
      <c r="K252" s="73"/>
    </row>
    <row r="253" spans="1:11" x14ac:dyDescent="0.25">
      <c r="A253" s="219">
        <v>12834013</v>
      </c>
      <c r="B253" s="114" t="s">
        <v>412</v>
      </c>
      <c r="C253" s="114" t="s">
        <v>471</v>
      </c>
      <c r="D253" s="114" t="s">
        <v>555</v>
      </c>
      <c r="E253" s="120" t="s">
        <v>534</v>
      </c>
      <c r="F253" s="114" t="s">
        <v>755</v>
      </c>
      <c r="G253" s="121" t="s">
        <v>1427</v>
      </c>
      <c r="H253" s="265" t="s">
        <v>932</v>
      </c>
      <c r="I253" s="219"/>
      <c r="J253" s="219"/>
      <c r="K253" s="73"/>
    </row>
    <row r="254" spans="1:11" x14ac:dyDescent="0.25">
      <c r="A254" s="219">
        <v>12854512</v>
      </c>
      <c r="B254" s="114" t="s">
        <v>255</v>
      </c>
      <c r="C254" s="114" t="s">
        <v>471</v>
      </c>
      <c r="D254" s="114" t="s">
        <v>685</v>
      </c>
      <c r="E254" s="120" t="s">
        <v>533</v>
      </c>
      <c r="F254" s="114" t="s">
        <v>745</v>
      </c>
      <c r="G254" s="121" t="s">
        <v>1427</v>
      </c>
      <c r="H254" s="265" t="s">
        <v>932</v>
      </c>
      <c r="I254" s="219"/>
      <c r="J254" s="219" t="s">
        <v>898</v>
      </c>
      <c r="K254" s="73"/>
    </row>
    <row r="255" spans="1:11" x14ac:dyDescent="0.25">
      <c r="A255" s="219">
        <v>12900851</v>
      </c>
      <c r="B255" s="114" t="s">
        <v>114</v>
      </c>
      <c r="C255" s="114" t="s">
        <v>471</v>
      </c>
      <c r="D255" s="114" t="s">
        <v>595</v>
      </c>
      <c r="E255" s="120" t="s">
        <v>533</v>
      </c>
      <c r="F255" s="114" t="s">
        <v>745</v>
      </c>
      <c r="G255" s="121" t="s">
        <v>1427</v>
      </c>
      <c r="H255" s="265" t="s">
        <v>932</v>
      </c>
      <c r="I255" s="219"/>
      <c r="J255" s="219"/>
      <c r="K255" s="73"/>
    </row>
    <row r="256" spans="1:11" x14ac:dyDescent="0.25">
      <c r="A256" s="219">
        <v>12951325</v>
      </c>
      <c r="B256" s="114" t="s">
        <v>257</v>
      </c>
      <c r="C256" s="114" t="s">
        <v>471</v>
      </c>
      <c r="D256" s="114" t="s">
        <v>549</v>
      </c>
      <c r="E256" s="120" t="s">
        <v>536</v>
      </c>
      <c r="F256" s="114" t="s">
        <v>755</v>
      </c>
      <c r="G256" s="121" t="s">
        <v>1427</v>
      </c>
      <c r="H256" s="265" t="s">
        <v>931</v>
      </c>
      <c r="I256" s="219"/>
      <c r="J256" s="219" t="s">
        <v>836</v>
      </c>
      <c r="K256" s="73"/>
    </row>
    <row r="257" spans="1:11" x14ac:dyDescent="0.25">
      <c r="A257" s="219">
        <v>13048823</v>
      </c>
      <c r="B257" s="114" t="s">
        <v>414</v>
      </c>
      <c r="C257" s="114" t="s">
        <v>471</v>
      </c>
      <c r="D257" s="114" t="s">
        <v>596</v>
      </c>
      <c r="E257" s="120" t="s">
        <v>535</v>
      </c>
      <c r="F257" s="114" t="s">
        <v>696</v>
      </c>
      <c r="G257" s="121" t="s">
        <v>1427</v>
      </c>
      <c r="H257" s="265" t="s">
        <v>932</v>
      </c>
      <c r="I257" s="219"/>
      <c r="J257" s="219"/>
      <c r="K257" s="73"/>
    </row>
    <row r="258" spans="1:11" x14ac:dyDescent="0.25">
      <c r="A258" s="219">
        <v>13066471</v>
      </c>
      <c r="B258" s="114" t="s">
        <v>258</v>
      </c>
      <c r="C258" s="114" t="s">
        <v>471</v>
      </c>
      <c r="D258" s="114" t="s">
        <v>542</v>
      </c>
      <c r="E258" s="120" t="s">
        <v>534</v>
      </c>
      <c r="F258" s="114" t="s">
        <v>748</v>
      </c>
      <c r="G258" s="121" t="s">
        <v>1427</v>
      </c>
      <c r="H258" s="265" t="s">
        <v>932</v>
      </c>
      <c r="I258" s="219"/>
      <c r="J258" s="219" t="s">
        <v>837</v>
      </c>
      <c r="K258" s="73"/>
    </row>
    <row r="259" spans="1:11" x14ac:dyDescent="0.25">
      <c r="A259" s="219">
        <v>13066658</v>
      </c>
      <c r="B259" s="114" t="s">
        <v>259</v>
      </c>
      <c r="C259" s="114" t="s">
        <v>471</v>
      </c>
      <c r="D259" s="114" t="s">
        <v>607</v>
      </c>
      <c r="E259" s="120" t="s">
        <v>535</v>
      </c>
      <c r="F259" s="114" t="s">
        <v>748</v>
      </c>
      <c r="G259" s="121" t="s">
        <v>1427</v>
      </c>
      <c r="H259" s="265" t="s">
        <v>932</v>
      </c>
      <c r="I259" s="219"/>
      <c r="J259" s="219" t="s">
        <v>839</v>
      </c>
      <c r="K259" s="73"/>
    </row>
    <row r="260" spans="1:11" x14ac:dyDescent="0.25">
      <c r="A260" s="219">
        <v>13069845</v>
      </c>
      <c r="B260" s="114" t="s">
        <v>261</v>
      </c>
      <c r="C260" s="114" t="s">
        <v>471</v>
      </c>
      <c r="D260" s="114" t="s">
        <v>542</v>
      </c>
      <c r="E260" s="120" t="s">
        <v>534</v>
      </c>
      <c r="F260" s="114" t="s">
        <v>696</v>
      </c>
      <c r="G260" s="121" t="s">
        <v>1427</v>
      </c>
      <c r="H260" s="265" t="s">
        <v>932</v>
      </c>
      <c r="I260" s="219"/>
      <c r="J260" s="219" t="s">
        <v>839</v>
      </c>
      <c r="K260" s="73"/>
    </row>
    <row r="261" spans="1:11" x14ac:dyDescent="0.25">
      <c r="A261" s="219">
        <v>13127394</v>
      </c>
      <c r="B261" s="114" t="s">
        <v>262</v>
      </c>
      <c r="C261" s="114" t="s">
        <v>471</v>
      </c>
      <c r="D261" s="114" t="s">
        <v>552</v>
      </c>
      <c r="E261" s="120" t="s">
        <v>536</v>
      </c>
      <c r="F261" s="114" t="s">
        <v>755</v>
      </c>
      <c r="G261" s="121" t="s">
        <v>1427</v>
      </c>
      <c r="H261" s="265" t="s">
        <v>932</v>
      </c>
      <c r="I261" s="219"/>
      <c r="J261" s="219"/>
      <c r="K261" s="73"/>
    </row>
    <row r="262" spans="1:11" x14ac:dyDescent="0.25">
      <c r="A262" s="219">
        <v>13224484</v>
      </c>
      <c r="B262" s="114" t="s">
        <v>108</v>
      </c>
      <c r="C262" s="114" t="s">
        <v>471</v>
      </c>
      <c r="D262" s="114" t="s">
        <v>558</v>
      </c>
      <c r="E262" s="120" t="s">
        <v>533</v>
      </c>
      <c r="F262" s="114" t="s">
        <v>756</v>
      </c>
      <c r="G262" s="121" t="s">
        <v>1427</v>
      </c>
      <c r="H262" s="265" t="s">
        <v>932</v>
      </c>
      <c r="I262" s="219"/>
      <c r="J262" s="219" t="s">
        <v>898</v>
      </c>
      <c r="K262" s="73"/>
    </row>
    <row r="263" spans="1:11" x14ac:dyDescent="0.25">
      <c r="A263" s="219">
        <v>13290687</v>
      </c>
      <c r="B263" s="114" t="s">
        <v>416</v>
      </c>
      <c r="C263" s="114" t="s">
        <v>471</v>
      </c>
      <c r="D263" s="114" t="s">
        <v>555</v>
      </c>
      <c r="E263" s="120" t="s">
        <v>534</v>
      </c>
      <c r="F263" s="114" t="s">
        <v>755</v>
      </c>
      <c r="G263" s="121" t="s">
        <v>1427</v>
      </c>
      <c r="H263" s="265" t="s">
        <v>932</v>
      </c>
      <c r="I263" s="219"/>
      <c r="J263" s="219" t="s">
        <v>836</v>
      </c>
      <c r="K263" s="73"/>
    </row>
    <row r="264" spans="1:11" x14ac:dyDescent="0.25">
      <c r="A264" s="219">
        <v>13432917</v>
      </c>
      <c r="B264" s="114" t="s">
        <v>263</v>
      </c>
      <c r="C264" s="114" t="s">
        <v>471</v>
      </c>
      <c r="D264" s="114" t="s">
        <v>558</v>
      </c>
      <c r="E264" s="120" t="s">
        <v>536</v>
      </c>
      <c r="F264" s="114" t="s">
        <v>756</v>
      </c>
      <c r="G264" s="121" t="s">
        <v>1427</v>
      </c>
      <c r="H264" s="265" t="s">
        <v>932</v>
      </c>
      <c r="I264" s="219"/>
      <c r="J264" s="219" t="s">
        <v>835</v>
      </c>
      <c r="K264" s="73"/>
    </row>
    <row r="265" spans="1:11" x14ac:dyDescent="0.25">
      <c r="A265" s="219">
        <v>13786283</v>
      </c>
      <c r="B265" s="114" t="s">
        <v>152</v>
      </c>
      <c r="C265" s="114" t="s">
        <v>471</v>
      </c>
      <c r="D265" s="114" t="s">
        <v>623</v>
      </c>
      <c r="E265" s="120" t="s">
        <v>533</v>
      </c>
      <c r="F265" s="114" t="s">
        <v>752</v>
      </c>
      <c r="G265" s="121" t="s">
        <v>1427</v>
      </c>
      <c r="H265" s="265" t="s">
        <v>932</v>
      </c>
      <c r="I265" s="219"/>
      <c r="J265" s="219" t="s">
        <v>835</v>
      </c>
      <c r="K265" s="73"/>
    </row>
    <row r="266" spans="1:11" x14ac:dyDescent="0.25">
      <c r="A266" s="219">
        <v>13872339</v>
      </c>
      <c r="B266" s="114" t="s">
        <v>133</v>
      </c>
      <c r="C266" s="114" t="s">
        <v>471</v>
      </c>
      <c r="D266" s="114" t="s">
        <v>608</v>
      </c>
      <c r="E266" s="120" t="s">
        <v>533</v>
      </c>
      <c r="F266" s="114" t="s">
        <v>696</v>
      </c>
      <c r="G266" s="121" t="s">
        <v>1427</v>
      </c>
      <c r="H266" s="265" t="s">
        <v>931</v>
      </c>
      <c r="I266" s="219"/>
      <c r="J266" s="219"/>
      <c r="K266" s="73"/>
    </row>
    <row r="267" spans="1:11" x14ac:dyDescent="0.25">
      <c r="A267" s="219">
        <v>13873369</v>
      </c>
      <c r="B267" s="114" t="s">
        <v>426</v>
      </c>
      <c r="C267" s="114" t="s">
        <v>471</v>
      </c>
      <c r="D267" s="114" t="s">
        <v>542</v>
      </c>
      <c r="E267" s="120" t="s">
        <v>534</v>
      </c>
      <c r="F267" s="114" t="s">
        <v>755</v>
      </c>
      <c r="G267" s="121" t="s">
        <v>1427</v>
      </c>
      <c r="H267" s="265" t="s">
        <v>932</v>
      </c>
      <c r="I267" s="219"/>
      <c r="J267" s="219" t="s">
        <v>837</v>
      </c>
      <c r="K267" s="73"/>
    </row>
    <row r="268" spans="1:11" x14ac:dyDescent="0.25">
      <c r="A268" s="219">
        <v>13944994</v>
      </c>
      <c r="B268" s="114" t="s">
        <v>643</v>
      </c>
      <c r="C268" s="114" t="s">
        <v>471</v>
      </c>
      <c r="D268" s="114" t="s">
        <v>554</v>
      </c>
      <c r="E268" s="120" t="s">
        <v>533</v>
      </c>
      <c r="F268" s="114" t="s">
        <v>755</v>
      </c>
      <c r="G268" s="121" t="s">
        <v>1427</v>
      </c>
      <c r="H268" s="265" t="s">
        <v>932</v>
      </c>
      <c r="I268" s="219"/>
      <c r="J268" s="219"/>
      <c r="K268" s="73"/>
    </row>
    <row r="269" spans="1:11" x14ac:dyDescent="0.25">
      <c r="A269" s="219">
        <v>14129191</v>
      </c>
      <c r="B269" s="114" t="s">
        <v>266</v>
      </c>
      <c r="C269" s="114" t="s">
        <v>471</v>
      </c>
      <c r="D269" s="114" t="s">
        <v>560</v>
      </c>
      <c r="E269" s="120" t="s">
        <v>536</v>
      </c>
      <c r="F269" s="114" t="s">
        <v>691</v>
      </c>
      <c r="G269" s="121" t="s">
        <v>1427</v>
      </c>
      <c r="H269" s="265" t="s">
        <v>932</v>
      </c>
      <c r="I269" s="219"/>
      <c r="J269" s="219"/>
      <c r="K269" s="73"/>
    </row>
    <row r="270" spans="1:11" x14ac:dyDescent="0.25">
      <c r="A270" s="219">
        <v>14156230</v>
      </c>
      <c r="B270" s="114" t="s">
        <v>268</v>
      </c>
      <c r="C270" s="114" t="s">
        <v>471</v>
      </c>
      <c r="D270" s="114" t="s">
        <v>556</v>
      </c>
      <c r="E270" s="120" t="s">
        <v>534</v>
      </c>
      <c r="F270" s="114" t="s">
        <v>748</v>
      </c>
      <c r="G270" s="121" t="s">
        <v>1427</v>
      </c>
      <c r="H270" s="265" t="s">
        <v>931</v>
      </c>
      <c r="I270" s="219"/>
      <c r="J270" s="219"/>
      <c r="K270" s="73"/>
    </row>
    <row r="271" spans="1:11" x14ac:dyDescent="0.25">
      <c r="A271" s="219">
        <v>14163587</v>
      </c>
      <c r="B271" s="114" t="s">
        <v>269</v>
      </c>
      <c r="C271" s="114" t="s">
        <v>471</v>
      </c>
      <c r="D271" s="114" t="s">
        <v>552</v>
      </c>
      <c r="E271" s="120" t="s">
        <v>536</v>
      </c>
      <c r="F271" s="114" t="s">
        <v>697</v>
      </c>
      <c r="G271" s="121" t="s">
        <v>1427</v>
      </c>
      <c r="H271" s="265" t="s">
        <v>932</v>
      </c>
      <c r="I271" s="219"/>
      <c r="J271" s="219"/>
      <c r="K271" s="73"/>
    </row>
    <row r="272" spans="1:11" x14ac:dyDescent="0.25">
      <c r="A272" s="219">
        <v>14196977</v>
      </c>
      <c r="B272" s="114" t="s">
        <v>52</v>
      </c>
      <c r="C272" s="114" t="s">
        <v>471</v>
      </c>
      <c r="D272" s="114" t="s">
        <v>617</v>
      </c>
      <c r="E272" s="120" t="s">
        <v>536</v>
      </c>
      <c r="F272" s="114" t="s">
        <v>756</v>
      </c>
      <c r="G272" s="121" t="s">
        <v>1427</v>
      </c>
      <c r="H272" s="265" t="s">
        <v>932</v>
      </c>
      <c r="I272" s="219"/>
      <c r="J272" s="219" t="s">
        <v>835</v>
      </c>
      <c r="K272" s="73"/>
    </row>
    <row r="273" spans="1:11" x14ac:dyDescent="0.25">
      <c r="A273" s="219">
        <v>14202223</v>
      </c>
      <c r="B273" s="114" t="s">
        <v>270</v>
      </c>
      <c r="C273" s="114" t="s">
        <v>471</v>
      </c>
      <c r="D273" s="114" t="s">
        <v>593</v>
      </c>
      <c r="E273" s="120" t="s">
        <v>536</v>
      </c>
      <c r="F273" s="114" t="s">
        <v>697</v>
      </c>
      <c r="G273" s="121" t="s">
        <v>1427</v>
      </c>
      <c r="H273" s="265" t="s">
        <v>932</v>
      </c>
      <c r="I273" s="219"/>
      <c r="J273" s="219"/>
      <c r="K273" s="73"/>
    </row>
    <row r="274" spans="1:11" x14ac:dyDescent="0.25">
      <c r="A274" s="219">
        <v>14387454</v>
      </c>
      <c r="B274" s="114" t="s">
        <v>272</v>
      </c>
      <c r="C274" s="114" t="s">
        <v>471</v>
      </c>
      <c r="D274" s="114" t="s">
        <v>551</v>
      </c>
      <c r="E274" s="120" t="s">
        <v>533</v>
      </c>
      <c r="F274" s="114" t="s">
        <v>749</v>
      </c>
      <c r="G274" s="121" t="s">
        <v>1427</v>
      </c>
      <c r="H274" s="265" t="s">
        <v>932</v>
      </c>
      <c r="I274" s="219"/>
      <c r="J274" s="219" t="s">
        <v>839</v>
      </c>
      <c r="K274" s="73"/>
    </row>
    <row r="275" spans="1:11" x14ac:dyDescent="0.25">
      <c r="A275" s="219">
        <v>14444039</v>
      </c>
      <c r="B275" s="114" t="s">
        <v>644</v>
      </c>
      <c r="C275" s="114" t="s">
        <v>471</v>
      </c>
      <c r="D275" s="114" t="s">
        <v>543</v>
      </c>
      <c r="E275" s="120" t="s">
        <v>533</v>
      </c>
      <c r="F275" s="114" t="s">
        <v>752</v>
      </c>
      <c r="G275" s="121" t="s">
        <v>1427</v>
      </c>
      <c r="H275" s="265" t="s">
        <v>931</v>
      </c>
      <c r="I275" s="219"/>
      <c r="J275" s="219"/>
      <c r="K275" s="73"/>
    </row>
    <row r="276" spans="1:11" x14ac:dyDescent="0.25">
      <c r="A276" s="219">
        <v>14534489</v>
      </c>
      <c r="B276" s="114" t="s">
        <v>273</v>
      </c>
      <c r="C276" s="114" t="s">
        <v>471</v>
      </c>
      <c r="D276" s="114" t="s">
        <v>544</v>
      </c>
      <c r="E276" s="120" t="s">
        <v>535</v>
      </c>
      <c r="F276" s="114" t="s">
        <v>756</v>
      </c>
      <c r="G276" s="121" t="s">
        <v>1427</v>
      </c>
      <c r="H276" s="265" t="s">
        <v>932</v>
      </c>
      <c r="I276" s="219"/>
      <c r="J276" s="219" t="s">
        <v>838</v>
      </c>
      <c r="K276" s="73"/>
    </row>
    <row r="277" spans="1:11" x14ac:dyDescent="0.25">
      <c r="A277" s="219">
        <v>14574510</v>
      </c>
      <c r="B277" s="114" t="s">
        <v>274</v>
      </c>
      <c r="C277" s="114" t="s">
        <v>471</v>
      </c>
      <c r="D277" s="114" t="s">
        <v>544</v>
      </c>
      <c r="E277" s="120" t="s">
        <v>535</v>
      </c>
      <c r="F277" s="114" t="s">
        <v>748</v>
      </c>
      <c r="G277" s="121" t="s">
        <v>1427</v>
      </c>
      <c r="H277" s="265" t="s">
        <v>932</v>
      </c>
      <c r="I277" s="219"/>
      <c r="J277" s="219" t="s">
        <v>838</v>
      </c>
      <c r="K277" s="73"/>
    </row>
    <row r="278" spans="1:11" x14ac:dyDescent="0.25">
      <c r="A278" s="219">
        <v>14594963</v>
      </c>
      <c r="B278" s="114" t="s">
        <v>275</v>
      </c>
      <c r="C278" s="114" t="s">
        <v>471</v>
      </c>
      <c r="D278" s="114" t="s">
        <v>622</v>
      </c>
      <c r="E278" s="120" t="s">
        <v>534</v>
      </c>
      <c r="F278" s="114" t="s">
        <v>755</v>
      </c>
      <c r="G278" s="121" t="s">
        <v>1427</v>
      </c>
      <c r="H278" s="265" t="s">
        <v>932</v>
      </c>
      <c r="I278" s="219"/>
      <c r="J278" s="219"/>
      <c r="K278" s="73"/>
    </row>
    <row r="279" spans="1:11" x14ac:dyDescent="0.25">
      <c r="A279" s="219">
        <v>14678294</v>
      </c>
      <c r="B279" s="114" t="s">
        <v>72</v>
      </c>
      <c r="C279" s="114" t="s">
        <v>471</v>
      </c>
      <c r="D279" s="114" t="s">
        <v>556</v>
      </c>
      <c r="E279" s="120" t="s">
        <v>534</v>
      </c>
      <c r="F279" s="114" t="s">
        <v>755</v>
      </c>
      <c r="G279" s="121" t="s">
        <v>1427</v>
      </c>
      <c r="H279" s="265" t="s">
        <v>932</v>
      </c>
      <c r="I279" s="219"/>
      <c r="J279" s="219" t="s">
        <v>838</v>
      </c>
      <c r="K279" s="73"/>
    </row>
    <row r="280" spans="1:11" x14ac:dyDescent="0.25">
      <c r="A280" s="219">
        <v>14678944</v>
      </c>
      <c r="B280" s="114" t="s">
        <v>276</v>
      </c>
      <c r="C280" s="114" t="s">
        <v>471</v>
      </c>
      <c r="D280" s="114" t="s">
        <v>553</v>
      </c>
      <c r="E280" s="120" t="s">
        <v>536</v>
      </c>
      <c r="F280" s="114" t="s">
        <v>755</v>
      </c>
      <c r="G280" s="121" t="s">
        <v>1427</v>
      </c>
      <c r="H280" s="265" t="s">
        <v>932</v>
      </c>
      <c r="I280" s="219"/>
      <c r="J280" s="219" t="s">
        <v>839</v>
      </c>
      <c r="K280" s="73"/>
    </row>
    <row r="281" spans="1:11" x14ac:dyDescent="0.25">
      <c r="A281" s="219">
        <v>14683421</v>
      </c>
      <c r="B281" s="114" t="s">
        <v>277</v>
      </c>
      <c r="C281" s="114" t="s">
        <v>471</v>
      </c>
      <c r="D281" s="114" t="s">
        <v>542</v>
      </c>
      <c r="E281" s="120" t="s">
        <v>534</v>
      </c>
      <c r="F281" s="114" t="s">
        <v>697</v>
      </c>
      <c r="G281" s="121" t="s">
        <v>1427</v>
      </c>
      <c r="H281" s="265" t="s">
        <v>932</v>
      </c>
      <c r="I281" s="219"/>
      <c r="J281" s="219" t="s">
        <v>837</v>
      </c>
      <c r="K281" s="73"/>
    </row>
    <row r="282" spans="1:11" x14ac:dyDescent="0.25">
      <c r="A282" s="219">
        <v>14908050</v>
      </c>
      <c r="B282" s="114" t="s">
        <v>282</v>
      </c>
      <c r="C282" s="114" t="s">
        <v>471</v>
      </c>
      <c r="D282" s="114" t="s">
        <v>544</v>
      </c>
      <c r="E282" s="120" t="s">
        <v>535</v>
      </c>
      <c r="F282" s="114" t="s">
        <v>755</v>
      </c>
      <c r="G282" s="121" t="s">
        <v>1427</v>
      </c>
      <c r="H282" s="265" t="s">
        <v>932</v>
      </c>
      <c r="I282" s="219"/>
      <c r="J282" s="219"/>
      <c r="K282" s="73"/>
    </row>
    <row r="283" spans="1:11" x14ac:dyDescent="0.25">
      <c r="A283" s="219">
        <v>14908165</v>
      </c>
      <c r="B283" s="114" t="s">
        <v>283</v>
      </c>
      <c r="C283" s="114" t="s">
        <v>471</v>
      </c>
      <c r="D283" s="114" t="s">
        <v>557</v>
      </c>
      <c r="E283" s="120" t="s">
        <v>535</v>
      </c>
      <c r="F283" s="114" t="s">
        <v>696</v>
      </c>
      <c r="G283" s="121" t="s">
        <v>1427</v>
      </c>
      <c r="H283" s="265" t="s">
        <v>932</v>
      </c>
      <c r="I283" s="219"/>
      <c r="J283" s="219" t="s">
        <v>886</v>
      </c>
      <c r="K283" s="73"/>
    </row>
    <row r="284" spans="1:11" x14ac:dyDescent="0.25">
      <c r="A284" s="219">
        <v>14988295</v>
      </c>
      <c r="B284" s="114" t="s">
        <v>177</v>
      </c>
      <c r="C284" s="114" t="s">
        <v>471</v>
      </c>
      <c r="D284" s="114" t="s">
        <v>543</v>
      </c>
      <c r="E284" s="120" t="s">
        <v>533</v>
      </c>
      <c r="F284" s="114" t="s">
        <v>752</v>
      </c>
      <c r="G284" s="121" t="s">
        <v>1427</v>
      </c>
      <c r="H284" s="265" t="s">
        <v>932</v>
      </c>
      <c r="I284" s="219"/>
      <c r="J284" s="219" t="s">
        <v>835</v>
      </c>
      <c r="K284" s="73"/>
    </row>
    <row r="285" spans="1:11" x14ac:dyDescent="0.25">
      <c r="A285" s="219">
        <v>15062407</v>
      </c>
      <c r="B285" s="114" t="s">
        <v>285</v>
      </c>
      <c r="C285" s="114" t="s">
        <v>471</v>
      </c>
      <c r="D285" s="114" t="s">
        <v>555</v>
      </c>
      <c r="E285" s="120" t="s">
        <v>534</v>
      </c>
      <c r="F285" s="114" t="s">
        <v>697</v>
      </c>
      <c r="G285" s="121" t="s">
        <v>1427</v>
      </c>
      <c r="H285" s="265" t="s">
        <v>932</v>
      </c>
      <c r="I285" s="219"/>
      <c r="J285" s="219"/>
      <c r="K285" s="73"/>
    </row>
    <row r="286" spans="1:11" x14ac:dyDescent="0.25">
      <c r="A286" s="219">
        <v>15131913</v>
      </c>
      <c r="B286" s="114" t="s">
        <v>286</v>
      </c>
      <c r="C286" s="114" t="s">
        <v>471</v>
      </c>
      <c r="D286" s="114" t="s">
        <v>542</v>
      </c>
      <c r="E286" s="120" t="s">
        <v>534</v>
      </c>
      <c r="F286" s="114" t="s">
        <v>697</v>
      </c>
      <c r="G286" s="121" t="s">
        <v>1427</v>
      </c>
      <c r="H286" s="265" t="s">
        <v>931</v>
      </c>
      <c r="I286" s="219"/>
      <c r="J286" s="219" t="s">
        <v>836</v>
      </c>
      <c r="K286" s="73"/>
    </row>
    <row r="287" spans="1:11" x14ac:dyDescent="0.25">
      <c r="A287" s="219">
        <v>15133760</v>
      </c>
      <c r="B287" s="114" t="s">
        <v>150</v>
      </c>
      <c r="C287" s="114" t="s">
        <v>471</v>
      </c>
      <c r="D287" s="114" t="s">
        <v>624</v>
      </c>
      <c r="E287" s="120" t="s">
        <v>533</v>
      </c>
      <c r="F287" s="114" t="s">
        <v>756</v>
      </c>
      <c r="G287" s="121" t="s">
        <v>1427</v>
      </c>
      <c r="H287" s="265" t="s">
        <v>932</v>
      </c>
      <c r="I287" s="219"/>
      <c r="J287" s="219"/>
      <c r="K287" s="73"/>
    </row>
    <row r="288" spans="1:11" x14ac:dyDescent="0.25">
      <c r="A288" s="219">
        <v>15676996</v>
      </c>
      <c r="B288" s="114" t="s">
        <v>287</v>
      </c>
      <c r="C288" s="114" t="s">
        <v>471</v>
      </c>
      <c r="D288" s="114" t="s">
        <v>616</v>
      </c>
      <c r="E288" s="120" t="s">
        <v>536</v>
      </c>
      <c r="F288" s="114" t="s">
        <v>755</v>
      </c>
      <c r="G288" s="121" t="s">
        <v>1427</v>
      </c>
      <c r="H288" s="265" t="s">
        <v>931</v>
      </c>
      <c r="I288" s="219"/>
      <c r="J288" s="219" t="s">
        <v>835</v>
      </c>
      <c r="K288" s="73"/>
    </row>
    <row r="289" spans="1:11" x14ac:dyDescent="0.25">
      <c r="A289" s="219">
        <v>15821167</v>
      </c>
      <c r="B289" s="114" t="s">
        <v>289</v>
      </c>
      <c r="C289" s="114" t="s">
        <v>471</v>
      </c>
      <c r="D289" s="114" t="s">
        <v>545</v>
      </c>
      <c r="E289" s="120" t="s">
        <v>536</v>
      </c>
      <c r="F289" s="114" t="s">
        <v>752</v>
      </c>
      <c r="G289" s="121" t="s">
        <v>1427</v>
      </c>
      <c r="H289" s="265" t="s">
        <v>932</v>
      </c>
      <c r="I289" s="219"/>
      <c r="J289" s="219"/>
      <c r="K289" s="73"/>
    </row>
    <row r="290" spans="1:11" x14ac:dyDescent="0.25">
      <c r="A290" s="219">
        <v>15886515</v>
      </c>
      <c r="B290" s="114" t="s">
        <v>144</v>
      </c>
      <c r="C290" s="114" t="s">
        <v>471</v>
      </c>
      <c r="D290" s="114" t="s">
        <v>557</v>
      </c>
      <c r="E290" s="120" t="s">
        <v>533</v>
      </c>
      <c r="F290" s="114" t="s">
        <v>698</v>
      </c>
      <c r="G290" s="121" t="s">
        <v>1427</v>
      </c>
      <c r="H290" s="265" t="s">
        <v>932</v>
      </c>
      <c r="I290" s="219"/>
      <c r="J290" s="219"/>
      <c r="K290" s="73"/>
    </row>
    <row r="291" spans="1:11" x14ac:dyDescent="0.25">
      <c r="A291" s="219">
        <v>16084535</v>
      </c>
      <c r="B291" s="114" t="s">
        <v>440</v>
      </c>
      <c r="C291" s="114" t="s">
        <v>471</v>
      </c>
      <c r="D291" s="114" t="s">
        <v>550</v>
      </c>
      <c r="E291" s="120" t="s">
        <v>535</v>
      </c>
      <c r="F291" s="114" t="s">
        <v>752</v>
      </c>
      <c r="G291" s="121" t="s">
        <v>1427</v>
      </c>
      <c r="H291" s="265" t="s">
        <v>932</v>
      </c>
      <c r="I291" s="219"/>
      <c r="J291" s="219"/>
      <c r="K291" s="73"/>
    </row>
    <row r="292" spans="1:11" x14ac:dyDescent="0.25">
      <c r="A292" s="219">
        <v>16412133</v>
      </c>
      <c r="B292" s="114" t="s">
        <v>290</v>
      </c>
      <c r="C292" s="114" t="s">
        <v>471</v>
      </c>
      <c r="D292" s="114" t="s">
        <v>542</v>
      </c>
      <c r="E292" s="120" t="s">
        <v>534</v>
      </c>
      <c r="F292" s="114" t="s">
        <v>755</v>
      </c>
      <c r="G292" s="121" t="s">
        <v>1427</v>
      </c>
      <c r="H292" s="265" t="s">
        <v>932</v>
      </c>
      <c r="I292" s="219"/>
      <c r="J292" s="219" t="s">
        <v>837</v>
      </c>
      <c r="K292" s="73"/>
    </row>
    <row r="293" spans="1:11" x14ac:dyDescent="0.25">
      <c r="A293" s="219">
        <v>16413606</v>
      </c>
      <c r="B293" s="114" t="s">
        <v>291</v>
      </c>
      <c r="C293" s="114" t="s">
        <v>471</v>
      </c>
      <c r="D293" s="114" t="s">
        <v>542</v>
      </c>
      <c r="E293" s="120" t="s">
        <v>534</v>
      </c>
      <c r="F293" s="114" t="s">
        <v>755</v>
      </c>
      <c r="G293" s="121" t="s">
        <v>1427</v>
      </c>
      <c r="H293" s="265" t="s">
        <v>932</v>
      </c>
      <c r="I293" s="219"/>
      <c r="J293" s="219"/>
      <c r="K293" s="73"/>
    </row>
    <row r="294" spans="1:11" x14ac:dyDescent="0.25">
      <c r="A294" s="219">
        <v>16524777</v>
      </c>
      <c r="B294" s="114" t="s">
        <v>145</v>
      </c>
      <c r="C294" s="114" t="s">
        <v>471</v>
      </c>
      <c r="D294" s="114" t="s">
        <v>614</v>
      </c>
      <c r="E294" s="120" t="s">
        <v>533</v>
      </c>
      <c r="F294" s="114" t="s">
        <v>752</v>
      </c>
      <c r="G294" s="121" t="s">
        <v>1427</v>
      </c>
      <c r="H294" s="265" t="s">
        <v>931</v>
      </c>
      <c r="I294" s="219"/>
      <c r="J294" s="219" t="s">
        <v>838</v>
      </c>
      <c r="K294" s="73"/>
    </row>
    <row r="295" spans="1:11" x14ac:dyDescent="0.25">
      <c r="A295" s="219">
        <v>16951535</v>
      </c>
      <c r="B295" s="114" t="s">
        <v>292</v>
      </c>
      <c r="C295" s="114" t="s">
        <v>471</v>
      </c>
      <c r="D295" s="114" t="s">
        <v>545</v>
      </c>
      <c r="E295" s="120" t="s">
        <v>536</v>
      </c>
      <c r="F295" s="114" t="s">
        <v>752</v>
      </c>
      <c r="G295" s="121" t="s">
        <v>1427</v>
      </c>
      <c r="H295" s="265" t="s">
        <v>931</v>
      </c>
      <c r="I295" s="219"/>
      <c r="J295" s="219" t="s">
        <v>839</v>
      </c>
      <c r="K295" s="73"/>
    </row>
    <row r="296" spans="1:11" x14ac:dyDescent="0.25">
      <c r="A296" s="219">
        <v>17143437</v>
      </c>
      <c r="B296" s="114" t="s">
        <v>127</v>
      </c>
      <c r="C296" s="114" t="s">
        <v>471</v>
      </c>
      <c r="D296" s="114" t="s">
        <v>619</v>
      </c>
      <c r="E296" s="120" t="s">
        <v>533</v>
      </c>
      <c r="F296" s="114" t="s">
        <v>697</v>
      </c>
      <c r="G296" s="121" t="s">
        <v>1427</v>
      </c>
      <c r="H296" s="265" t="s">
        <v>932</v>
      </c>
      <c r="I296" s="219"/>
      <c r="J296" s="219" t="s">
        <v>839</v>
      </c>
      <c r="K296" s="73"/>
    </row>
    <row r="297" spans="1:11" x14ac:dyDescent="0.25">
      <c r="A297" s="219">
        <v>17326111</v>
      </c>
      <c r="B297" s="114" t="s">
        <v>293</v>
      </c>
      <c r="C297" s="114" t="s">
        <v>471</v>
      </c>
      <c r="D297" s="114" t="s">
        <v>552</v>
      </c>
      <c r="E297" s="120" t="s">
        <v>536</v>
      </c>
      <c r="F297" s="114" t="s">
        <v>755</v>
      </c>
      <c r="G297" s="121" t="s">
        <v>1427</v>
      </c>
      <c r="H297" s="265" t="s">
        <v>932</v>
      </c>
      <c r="I297" s="219"/>
      <c r="J297" s="219" t="s">
        <v>835</v>
      </c>
      <c r="K297" s="73"/>
    </row>
    <row r="298" spans="1:11" x14ac:dyDescent="0.25">
      <c r="A298" s="219">
        <v>18270230</v>
      </c>
      <c r="B298" s="114" t="s">
        <v>297</v>
      </c>
      <c r="C298" s="114" t="s">
        <v>471</v>
      </c>
      <c r="D298" s="114" t="s">
        <v>607</v>
      </c>
      <c r="E298" s="120" t="s">
        <v>533</v>
      </c>
      <c r="F298" s="114" t="s">
        <v>748</v>
      </c>
      <c r="G298" s="121" t="s">
        <v>1427</v>
      </c>
      <c r="H298" s="265" t="s">
        <v>932</v>
      </c>
      <c r="I298" s="219"/>
      <c r="J298" s="219" t="s">
        <v>837</v>
      </c>
      <c r="K298" s="73"/>
    </row>
    <row r="299" spans="1:11" x14ac:dyDescent="0.25">
      <c r="A299" s="219">
        <v>18708245</v>
      </c>
      <c r="B299" s="114" t="s">
        <v>65</v>
      </c>
      <c r="C299" s="114" t="s">
        <v>471</v>
      </c>
      <c r="D299" s="114" t="s">
        <v>562</v>
      </c>
      <c r="E299" s="120" t="s">
        <v>536</v>
      </c>
      <c r="F299" s="114" t="s">
        <v>755</v>
      </c>
      <c r="G299" s="121" t="s">
        <v>1427</v>
      </c>
      <c r="H299" s="265" t="s">
        <v>931</v>
      </c>
      <c r="I299" s="219"/>
      <c r="J299" s="219" t="s">
        <v>839</v>
      </c>
      <c r="K299" s="73"/>
    </row>
    <row r="300" spans="1:11" x14ac:dyDescent="0.25">
      <c r="A300" s="219">
        <v>18791565</v>
      </c>
      <c r="B300" s="114" t="s">
        <v>300</v>
      </c>
      <c r="C300" s="114" t="s">
        <v>471</v>
      </c>
      <c r="D300" s="114" t="s">
        <v>561</v>
      </c>
      <c r="E300" s="120" t="s">
        <v>536</v>
      </c>
      <c r="F300" s="114" t="s">
        <v>755</v>
      </c>
      <c r="G300" s="121" t="s">
        <v>1427</v>
      </c>
      <c r="H300" s="265" t="s">
        <v>932</v>
      </c>
      <c r="I300" s="219"/>
      <c r="J300" s="219"/>
      <c r="K300" s="73"/>
    </row>
    <row r="301" spans="1:11" x14ac:dyDescent="0.25">
      <c r="A301" s="219">
        <v>18837159</v>
      </c>
      <c r="B301" s="114" t="s">
        <v>301</v>
      </c>
      <c r="C301" s="114" t="s">
        <v>471</v>
      </c>
      <c r="D301" s="114" t="s">
        <v>615</v>
      </c>
      <c r="E301" s="120" t="s">
        <v>535</v>
      </c>
      <c r="F301" s="114" t="s">
        <v>696</v>
      </c>
      <c r="G301" s="121" t="s">
        <v>1427</v>
      </c>
      <c r="H301" s="265" t="s">
        <v>932</v>
      </c>
      <c r="I301" s="219"/>
      <c r="J301" s="219"/>
      <c r="K301" s="73"/>
    </row>
    <row r="302" spans="1:11" x14ac:dyDescent="0.25">
      <c r="A302" s="219">
        <v>19200366</v>
      </c>
      <c r="B302" s="114" t="s">
        <v>302</v>
      </c>
      <c r="C302" s="114" t="s">
        <v>471</v>
      </c>
      <c r="D302" s="114" t="s">
        <v>556</v>
      </c>
      <c r="E302" s="120" t="s">
        <v>534</v>
      </c>
      <c r="F302" s="114" t="s">
        <v>698</v>
      </c>
      <c r="G302" s="121" t="s">
        <v>1427</v>
      </c>
      <c r="H302" s="265" t="s">
        <v>932</v>
      </c>
      <c r="I302" s="219"/>
      <c r="J302" s="219" t="s">
        <v>836</v>
      </c>
      <c r="K302" s="73"/>
    </row>
    <row r="303" spans="1:11" x14ac:dyDescent="0.25">
      <c r="A303" s="219">
        <v>19270878</v>
      </c>
      <c r="B303" s="114" t="s">
        <v>304</v>
      </c>
      <c r="C303" s="114" t="s">
        <v>471</v>
      </c>
      <c r="D303" s="114" t="s">
        <v>555</v>
      </c>
      <c r="E303" s="120" t="s">
        <v>534</v>
      </c>
      <c r="F303" s="114" t="s">
        <v>755</v>
      </c>
      <c r="G303" s="121" t="s">
        <v>1427</v>
      </c>
      <c r="H303" s="265" t="s">
        <v>931</v>
      </c>
      <c r="I303" s="219"/>
      <c r="J303" s="219"/>
      <c r="K303" s="73"/>
    </row>
    <row r="304" spans="1:11" x14ac:dyDescent="0.25">
      <c r="A304" s="219">
        <v>19380901</v>
      </c>
      <c r="B304" s="114" t="s">
        <v>305</v>
      </c>
      <c r="C304" s="114" t="s">
        <v>471</v>
      </c>
      <c r="D304" s="114" t="s">
        <v>552</v>
      </c>
      <c r="E304" s="120" t="s">
        <v>536</v>
      </c>
      <c r="F304" s="114" t="s">
        <v>696</v>
      </c>
      <c r="G304" s="121" t="s">
        <v>1427</v>
      </c>
      <c r="H304" s="265" t="s">
        <v>932</v>
      </c>
      <c r="I304" s="219"/>
      <c r="J304" s="219"/>
      <c r="K304" s="73"/>
    </row>
    <row r="305" spans="1:16" x14ac:dyDescent="0.25">
      <c r="A305" s="219">
        <v>19508114</v>
      </c>
      <c r="B305" s="114" t="s">
        <v>306</v>
      </c>
      <c r="C305" s="114" t="s">
        <v>471</v>
      </c>
      <c r="D305" s="114" t="s">
        <v>556</v>
      </c>
      <c r="E305" s="120" t="s">
        <v>534</v>
      </c>
      <c r="F305" s="114" t="s">
        <v>745</v>
      </c>
      <c r="G305" s="121" t="s">
        <v>1427</v>
      </c>
      <c r="H305" s="265" t="s">
        <v>931</v>
      </c>
      <c r="I305" s="219"/>
      <c r="J305" s="219" t="s">
        <v>836</v>
      </c>
      <c r="K305" s="73"/>
    </row>
    <row r="306" spans="1:16" x14ac:dyDescent="0.25">
      <c r="A306" s="219">
        <v>19762086</v>
      </c>
      <c r="B306" s="114" t="s">
        <v>648</v>
      </c>
      <c r="C306" s="114" t="s">
        <v>471</v>
      </c>
      <c r="D306" s="114" t="s">
        <v>618</v>
      </c>
      <c r="E306" s="120" t="s">
        <v>536</v>
      </c>
      <c r="F306" s="114" t="s">
        <v>696</v>
      </c>
      <c r="G306" s="121" t="s">
        <v>1427</v>
      </c>
      <c r="H306" s="265" t="s">
        <v>932</v>
      </c>
      <c r="I306" s="219"/>
      <c r="J306" s="219" t="s">
        <v>837</v>
      </c>
      <c r="K306" s="73"/>
    </row>
    <row r="307" spans="1:16" x14ac:dyDescent="0.25">
      <c r="A307" s="219">
        <v>19858685</v>
      </c>
      <c r="B307" s="114" t="s">
        <v>308</v>
      </c>
      <c r="C307" s="114" t="s">
        <v>471</v>
      </c>
      <c r="D307" s="114" t="s">
        <v>552</v>
      </c>
      <c r="E307" s="120" t="s">
        <v>536</v>
      </c>
      <c r="F307" s="114" t="s">
        <v>755</v>
      </c>
      <c r="G307" s="121" t="s">
        <v>1427</v>
      </c>
      <c r="H307" s="265" t="s">
        <v>931</v>
      </c>
      <c r="I307" s="219"/>
      <c r="J307" s="219"/>
      <c r="K307" s="73"/>
    </row>
    <row r="308" spans="1:16" x14ac:dyDescent="0.25">
      <c r="A308" s="219">
        <v>19966314</v>
      </c>
      <c r="B308" s="114" t="s">
        <v>309</v>
      </c>
      <c r="C308" s="114" t="s">
        <v>471</v>
      </c>
      <c r="D308" s="114" t="s">
        <v>552</v>
      </c>
      <c r="E308" s="120" t="s">
        <v>536</v>
      </c>
      <c r="F308" s="114" t="s">
        <v>755</v>
      </c>
      <c r="G308" s="121" t="s">
        <v>1427</v>
      </c>
      <c r="H308" s="265" t="s">
        <v>932</v>
      </c>
      <c r="I308" s="219"/>
      <c r="J308" s="219" t="s">
        <v>839</v>
      </c>
      <c r="K308" s="73"/>
    </row>
    <row r="309" spans="1:16" x14ac:dyDescent="0.25">
      <c r="A309" s="219">
        <v>19967382</v>
      </c>
      <c r="B309" s="114" t="s">
        <v>74</v>
      </c>
      <c r="C309" s="114" t="s">
        <v>471</v>
      </c>
      <c r="D309" s="114" t="s">
        <v>563</v>
      </c>
      <c r="E309" s="120" t="s">
        <v>536</v>
      </c>
      <c r="F309" s="114" t="s">
        <v>755</v>
      </c>
      <c r="G309" s="121" t="s">
        <v>1427</v>
      </c>
      <c r="H309" s="265" t="s">
        <v>932</v>
      </c>
      <c r="I309" s="219"/>
      <c r="J309" s="219"/>
      <c r="K309" s="73"/>
    </row>
    <row r="310" spans="1:16" x14ac:dyDescent="0.25">
      <c r="A310" s="219">
        <v>20176098</v>
      </c>
      <c r="B310" s="114" t="s">
        <v>312</v>
      </c>
      <c r="C310" s="114" t="s">
        <v>471</v>
      </c>
      <c r="D310" s="114" t="s">
        <v>557</v>
      </c>
      <c r="E310" s="120" t="s">
        <v>535</v>
      </c>
      <c r="F310" s="114" t="s">
        <v>697</v>
      </c>
      <c r="G310" s="121" t="s">
        <v>1427</v>
      </c>
      <c r="H310" s="265" t="s">
        <v>932</v>
      </c>
      <c r="I310" s="219"/>
      <c r="J310" s="219"/>
      <c r="K310" s="73"/>
    </row>
    <row r="311" spans="1:16" x14ac:dyDescent="0.25">
      <c r="A311" s="219">
        <v>20220489</v>
      </c>
      <c r="B311" s="114" t="s">
        <v>313</v>
      </c>
      <c r="C311" s="114" t="s">
        <v>471</v>
      </c>
      <c r="D311" s="114" t="s">
        <v>556</v>
      </c>
      <c r="E311" s="120" t="s">
        <v>534</v>
      </c>
      <c r="F311" s="114" t="s">
        <v>752</v>
      </c>
      <c r="G311" s="121" t="s">
        <v>1427</v>
      </c>
      <c r="H311" s="265" t="s">
        <v>932</v>
      </c>
      <c r="I311" s="219"/>
      <c r="J311" s="219"/>
      <c r="K311" s="73"/>
    </row>
    <row r="312" spans="1:16" s="3" customFormat="1" x14ac:dyDescent="0.25">
      <c r="A312" s="219">
        <v>20365316</v>
      </c>
      <c r="B312" s="114" t="s">
        <v>314</v>
      </c>
      <c r="C312" s="114" t="s">
        <v>471</v>
      </c>
      <c r="D312" s="114" t="s">
        <v>542</v>
      </c>
      <c r="E312" s="120" t="s">
        <v>534</v>
      </c>
      <c r="F312" s="114" t="s">
        <v>752</v>
      </c>
      <c r="G312" s="121" t="s">
        <v>1427</v>
      </c>
      <c r="H312" s="265" t="s">
        <v>932</v>
      </c>
      <c r="I312" s="219"/>
      <c r="J312" s="219" t="s">
        <v>839</v>
      </c>
      <c r="K312" s="124"/>
      <c r="L312" s="124"/>
      <c r="M312" s="124"/>
      <c r="N312" s="124"/>
      <c r="O312" s="124"/>
      <c r="P312" s="124"/>
    </row>
    <row r="313" spans="1:16" x14ac:dyDescent="0.25">
      <c r="A313" s="219">
        <v>20838191</v>
      </c>
      <c r="B313" s="114" t="s">
        <v>315</v>
      </c>
      <c r="C313" s="114" t="s">
        <v>471</v>
      </c>
      <c r="D313" s="114" t="s">
        <v>544</v>
      </c>
      <c r="E313" s="120" t="s">
        <v>535</v>
      </c>
      <c r="F313" s="114" t="s">
        <v>752</v>
      </c>
      <c r="G313" s="121" t="s">
        <v>1427</v>
      </c>
      <c r="H313" s="265" t="s">
        <v>931</v>
      </c>
      <c r="I313" s="219"/>
      <c r="J313" s="219" t="s">
        <v>839</v>
      </c>
      <c r="K313" s="73"/>
    </row>
    <row r="314" spans="1:16" x14ac:dyDescent="0.25">
      <c r="A314" s="219">
        <v>21254964</v>
      </c>
      <c r="B314" s="114" t="s">
        <v>75</v>
      </c>
      <c r="C314" s="114" t="s">
        <v>471</v>
      </c>
      <c r="D314" s="114" t="s">
        <v>661</v>
      </c>
      <c r="E314" s="120" t="s">
        <v>536</v>
      </c>
      <c r="F314" s="114" t="s">
        <v>755</v>
      </c>
      <c r="G314" s="121" t="s">
        <v>1427</v>
      </c>
      <c r="H314" s="265" t="s">
        <v>931</v>
      </c>
      <c r="I314" s="219"/>
      <c r="J314" s="219"/>
      <c r="K314" s="73"/>
    </row>
    <row r="315" spans="1:16" x14ac:dyDescent="0.25">
      <c r="A315" s="219">
        <v>21375509</v>
      </c>
      <c r="B315" s="114" t="s">
        <v>316</v>
      </c>
      <c r="C315" s="114" t="s">
        <v>471</v>
      </c>
      <c r="D315" s="114" t="s">
        <v>544</v>
      </c>
      <c r="E315" s="120" t="s">
        <v>535</v>
      </c>
      <c r="F315" s="114" t="s">
        <v>752</v>
      </c>
      <c r="G315" s="121" t="s">
        <v>1427</v>
      </c>
      <c r="H315" s="265" t="s">
        <v>931</v>
      </c>
      <c r="I315" s="219"/>
      <c r="J315" s="219"/>
      <c r="K315" s="73"/>
    </row>
    <row r="316" spans="1:16" x14ac:dyDescent="0.25">
      <c r="A316" s="219">
        <v>21470016</v>
      </c>
      <c r="B316" s="114" t="s">
        <v>318</v>
      </c>
      <c r="C316" s="114" t="s">
        <v>471</v>
      </c>
      <c r="D316" s="114" t="s">
        <v>611</v>
      </c>
      <c r="E316" s="120" t="s">
        <v>534</v>
      </c>
      <c r="F316" s="114" t="s">
        <v>748</v>
      </c>
      <c r="G316" s="121" t="s">
        <v>1427</v>
      </c>
      <c r="H316" s="265" t="s">
        <v>932</v>
      </c>
      <c r="I316" s="219"/>
      <c r="J316" s="219"/>
      <c r="K316" s="73"/>
    </row>
    <row r="317" spans="1:16" x14ac:dyDescent="0.25">
      <c r="A317" s="219">
        <v>22915227</v>
      </c>
      <c r="B317" s="114" t="s">
        <v>320</v>
      </c>
      <c r="C317" s="114" t="s">
        <v>471</v>
      </c>
      <c r="D317" s="114" t="s">
        <v>626</v>
      </c>
      <c r="E317" s="120" t="s">
        <v>536</v>
      </c>
      <c r="F317" s="114" t="s">
        <v>752</v>
      </c>
      <c r="G317" s="121" t="s">
        <v>1427</v>
      </c>
      <c r="H317" s="265" t="s">
        <v>932</v>
      </c>
      <c r="I317" s="219"/>
      <c r="J317" s="219" t="s">
        <v>839</v>
      </c>
      <c r="K317" s="73"/>
    </row>
    <row r="318" spans="1:16" s="3" customFormat="1" x14ac:dyDescent="0.25">
      <c r="A318" s="219">
        <v>23185579</v>
      </c>
      <c r="B318" s="114" t="s">
        <v>636</v>
      </c>
      <c r="C318" s="114" t="s">
        <v>471</v>
      </c>
      <c r="D318" s="114" t="s">
        <v>661</v>
      </c>
      <c r="E318" s="120" t="s">
        <v>536</v>
      </c>
      <c r="F318" s="114" t="s">
        <v>755</v>
      </c>
      <c r="G318" s="121" t="s">
        <v>1427</v>
      </c>
      <c r="H318" s="265" t="s">
        <v>932</v>
      </c>
      <c r="I318" s="219"/>
      <c r="J318" s="219"/>
      <c r="K318" s="124"/>
      <c r="L318" s="124"/>
      <c r="M318" s="124"/>
      <c r="N318" s="124"/>
      <c r="O318" s="124"/>
      <c r="P318" s="124"/>
    </row>
    <row r="319" spans="1:16" x14ac:dyDescent="0.25">
      <c r="A319" s="219">
        <v>23632395</v>
      </c>
      <c r="B319" s="114" t="s">
        <v>631</v>
      </c>
      <c r="C319" s="114" t="s">
        <v>471</v>
      </c>
      <c r="D319" s="114" t="s">
        <v>661</v>
      </c>
      <c r="E319" s="120" t="s">
        <v>536</v>
      </c>
      <c r="F319" s="114" t="s">
        <v>755</v>
      </c>
      <c r="G319" s="121" t="s">
        <v>1427</v>
      </c>
      <c r="H319" s="265" t="s">
        <v>932</v>
      </c>
      <c r="I319" s="219"/>
      <c r="J319" s="219"/>
      <c r="K319" s="73"/>
    </row>
    <row r="320" spans="1:16" x14ac:dyDescent="0.25">
      <c r="A320" s="219">
        <v>24886941</v>
      </c>
      <c r="B320" s="114" t="s">
        <v>77</v>
      </c>
      <c r="C320" s="114" t="s">
        <v>471</v>
      </c>
      <c r="D320" s="114" t="s">
        <v>661</v>
      </c>
      <c r="E320" s="120" t="s">
        <v>536</v>
      </c>
      <c r="F320" s="114" t="s">
        <v>755</v>
      </c>
      <c r="G320" s="121" t="s">
        <v>1427</v>
      </c>
      <c r="H320" s="265" t="s">
        <v>931</v>
      </c>
      <c r="I320" s="219"/>
      <c r="J320" s="219"/>
      <c r="K320" s="73"/>
    </row>
    <row r="321" spans="1:11" x14ac:dyDescent="0.25">
      <c r="A321" s="219">
        <v>25482546</v>
      </c>
      <c r="B321" s="114" t="s">
        <v>632</v>
      </c>
      <c r="C321" s="114" t="s">
        <v>471</v>
      </c>
      <c r="D321" s="114" t="s">
        <v>661</v>
      </c>
      <c r="E321" s="120" t="s">
        <v>536</v>
      </c>
      <c r="F321" s="114" t="s">
        <v>755</v>
      </c>
      <c r="G321" s="121" t="s">
        <v>1427</v>
      </c>
      <c r="H321" s="265" t="s">
        <v>932</v>
      </c>
      <c r="I321" s="219"/>
      <c r="J321" s="219"/>
      <c r="K321" s="73"/>
    </row>
    <row r="322" spans="1:11" x14ac:dyDescent="0.25">
      <c r="A322" s="219">
        <v>25846157</v>
      </c>
      <c r="B322" s="114" t="s">
        <v>326</v>
      </c>
      <c r="C322" s="114" t="s">
        <v>471</v>
      </c>
      <c r="D322" s="114" t="s">
        <v>557</v>
      </c>
      <c r="E322" s="120" t="s">
        <v>535</v>
      </c>
      <c r="F322" s="114" t="s">
        <v>696</v>
      </c>
      <c r="G322" s="121" t="s">
        <v>1427</v>
      </c>
      <c r="H322" s="265" t="s">
        <v>932</v>
      </c>
      <c r="I322" s="219"/>
      <c r="J322" s="219"/>
      <c r="K322" s="73"/>
    </row>
    <row r="323" spans="1:11" x14ac:dyDescent="0.25">
      <c r="A323" s="219">
        <v>26421691</v>
      </c>
      <c r="B323" s="114" t="s">
        <v>78</v>
      </c>
      <c r="C323" s="114" t="s">
        <v>471</v>
      </c>
      <c r="D323" s="114" t="s">
        <v>661</v>
      </c>
      <c r="E323" s="120" t="s">
        <v>536</v>
      </c>
      <c r="F323" s="114" t="s">
        <v>755</v>
      </c>
      <c r="G323" s="121" t="s">
        <v>1427</v>
      </c>
      <c r="H323" s="265" t="s">
        <v>932</v>
      </c>
      <c r="I323" s="219"/>
      <c r="J323" s="219"/>
      <c r="K323" s="73"/>
    </row>
    <row r="324" spans="1:11" x14ac:dyDescent="0.25">
      <c r="A324" s="219">
        <v>26715533</v>
      </c>
      <c r="B324" s="114" t="s">
        <v>66</v>
      </c>
      <c r="C324" s="114" t="s">
        <v>471</v>
      </c>
      <c r="D324" s="114" t="s">
        <v>550</v>
      </c>
      <c r="E324" s="120" t="s">
        <v>535</v>
      </c>
      <c r="F324" s="114" t="s">
        <v>752</v>
      </c>
      <c r="G324" s="121" t="s">
        <v>1427</v>
      </c>
      <c r="H324" s="265" t="s">
        <v>932</v>
      </c>
      <c r="I324" s="219"/>
      <c r="J324" s="219" t="s">
        <v>835</v>
      </c>
      <c r="K324" s="73"/>
    </row>
    <row r="325" spans="1:11" x14ac:dyDescent="0.25">
      <c r="A325" s="219">
        <v>27894304</v>
      </c>
      <c r="B325" s="114" t="s">
        <v>67</v>
      </c>
      <c r="C325" s="114" t="s">
        <v>471</v>
      </c>
      <c r="D325" s="114" t="s">
        <v>550</v>
      </c>
      <c r="E325" s="120" t="s">
        <v>535</v>
      </c>
      <c r="F325" s="114" t="s">
        <v>752</v>
      </c>
      <c r="G325" s="121" t="s">
        <v>1427</v>
      </c>
      <c r="H325" s="265" t="s">
        <v>932</v>
      </c>
      <c r="I325" s="219"/>
      <c r="J325" s="219" t="s">
        <v>839</v>
      </c>
      <c r="K325" s="73"/>
    </row>
    <row r="326" spans="1:11" x14ac:dyDescent="0.25">
      <c r="A326" s="219">
        <v>28337714</v>
      </c>
      <c r="B326" s="114" t="s">
        <v>82</v>
      </c>
      <c r="C326" s="114" t="s">
        <v>471</v>
      </c>
      <c r="D326" s="114" t="s">
        <v>660</v>
      </c>
      <c r="E326" s="120" t="s">
        <v>534</v>
      </c>
      <c r="F326" s="114" t="s">
        <v>755</v>
      </c>
      <c r="G326" s="121" t="s">
        <v>1427</v>
      </c>
      <c r="H326" s="265" t="s">
        <v>932</v>
      </c>
      <c r="I326" s="219"/>
      <c r="J326" s="219"/>
      <c r="K326" s="73"/>
    </row>
    <row r="327" spans="1:11" x14ac:dyDescent="0.25">
      <c r="A327" s="219">
        <v>29768917</v>
      </c>
      <c r="B327" s="114" t="s">
        <v>327</v>
      </c>
      <c r="C327" s="114" t="s">
        <v>471</v>
      </c>
      <c r="D327" s="114" t="s">
        <v>556</v>
      </c>
      <c r="E327" s="120" t="s">
        <v>534</v>
      </c>
      <c r="F327" s="114" t="s">
        <v>752</v>
      </c>
      <c r="G327" s="121" t="s">
        <v>1427</v>
      </c>
      <c r="H327" s="265" t="s">
        <v>932</v>
      </c>
      <c r="I327" s="219"/>
      <c r="J327" s="219" t="s">
        <v>839</v>
      </c>
      <c r="K327" s="73"/>
    </row>
    <row r="328" spans="1:11" x14ac:dyDescent="0.25">
      <c r="A328" s="219">
        <v>13050919</v>
      </c>
      <c r="B328" s="114" t="s">
        <v>334</v>
      </c>
      <c r="C328" s="114" t="s">
        <v>471</v>
      </c>
      <c r="D328" s="114" t="s">
        <v>629</v>
      </c>
      <c r="E328" s="120" t="s">
        <v>536</v>
      </c>
      <c r="F328" s="114" t="s">
        <v>697</v>
      </c>
      <c r="G328" s="121" t="s">
        <v>1427</v>
      </c>
      <c r="H328" s="265" t="s">
        <v>932</v>
      </c>
      <c r="I328" s="219"/>
      <c r="J328" s="219" t="s">
        <v>835</v>
      </c>
      <c r="K328" s="73"/>
    </row>
    <row r="329" spans="1:11" x14ac:dyDescent="0.25">
      <c r="A329" s="219">
        <v>7268751</v>
      </c>
      <c r="B329" s="114" t="s">
        <v>332</v>
      </c>
      <c r="C329" s="114" t="s">
        <v>471</v>
      </c>
      <c r="D329" s="114" t="s">
        <v>627</v>
      </c>
      <c r="E329" s="120" t="s">
        <v>536</v>
      </c>
      <c r="F329" s="114" t="s">
        <v>697</v>
      </c>
      <c r="G329" s="121" t="s">
        <v>1427</v>
      </c>
      <c r="H329" s="265" t="s">
        <v>932</v>
      </c>
      <c r="I329" s="219"/>
      <c r="J329" s="219"/>
      <c r="K329" s="73"/>
    </row>
    <row r="330" spans="1:11" x14ac:dyDescent="0.25">
      <c r="A330" s="219">
        <v>6526176</v>
      </c>
      <c r="B330" s="114" t="s">
        <v>330</v>
      </c>
      <c r="C330" s="114" t="s">
        <v>471</v>
      </c>
      <c r="D330" s="114" t="s">
        <v>582</v>
      </c>
      <c r="E330" s="120" t="s">
        <v>536</v>
      </c>
      <c r="F330" s="114" t="s">
        <v>697</v>
      </c>
      <c r="G330" s="121" t="s">
        <v>1427</v>
      </c>
      <c r="H330" s="265" t="s">
        <v>932</v>
      </c>
      <c r="I330" s="219"/>
      <c r="J330" s="219"/>
      <c r="K330" s="73"/>
    </row>
    <row r="331" spans="1:11" x14ac:dyDescent="0.25">
      <c r="A331" s="219">
        <v>9880407</v>
      </c>
      <c r="B331" s="114" t="s">
        <v>333</v>
      </c>
      <c r="C331" s="114" t="s">
        <v>471</v>
      </c>
      <c r="D331" s="114" t="s">
        <v>627</v>
      </c>
      <c r="E331" s="120" t="s">
        <v>536</v>
      </c>
      <c r="F331" s="114" t="s">
        <v>697</v>
      </c>
      <c r="G331" s="121" t="s">
        <v>1427</v>
      </c>
      <c r="H331" s="265" t="s">
        <v>932</v>
      </c>
      <c r="I331" s="219"/>
      <c r="J331" s="219"/>
      <c r="K331" s="73"/>
    </row>
    <row r="332" spans="1:11" x14ac:dyDescent="0.25">
      <c r="A332" s="219">
        <v>22011341</v>
      </c>
      <c r="B332" s="114" t="s">
        <v>335</v>
      </c>
      <c r="C332" s="114" t="s">
        <v>471</v>
      </c>
      <c r="D332" s="114" t="s">
        <v>630</v>
      </c>
      <c r="E332" s="120" t="s">
        <v>536</v>
      </c>
      <c r="F332" s="114" t="s">
        <v>755</v>
      </c>
      <c r="G332" s="121" t="s">
        <v>1427</v>
      </c>
      <c r="H332" s="265" t="s">
        <v>931</v>
      </c>
      <c r="I332" s="219"/>
      <c r="J332" s="219"/>
      <c r="K332" s="73"/>
    </row>
    <row r="333" spans="1:11" x14ac:dyDescent="0.25">
      <c r="A333" s="219">
        <v>12404080</v>
      </c>
      <c r="B333" s="114" t="s">
        <v>525</v>
      </c>
      <c r="C333" s="114" t="s">
        <v>471</v>
      </c>
      <c r="D333" s="114" t="s">
        <v>628</v>
      </c>
      <c r="E333" s="120" t="s">
        <v>533</v>
      </c>
      <c r="F333" s="114" t="s">
        <v>697</v>
      </c>
      <c r="G333" s="121" t="s">
        <v>1427</v>
      </c>
      <c r="H333" s="265" t="s">
        <v>931</v>
      </c>
      <c r="I333" s="219"/>
      <c r="J333" s="219"/>
      <c r="K333" s="73"/>
    </row>
    <row r="334" spans="1:11" x14ac:dyDescent="0.25">
      <c r="A334" s="219">
        <v>1488895</v>
      </c>
      <c r="B334" s="114" t="s">
        <v>774</v>
      </c>
      <c r="C334" s="114" t="s">
        <v>524</v>
      </c>
      <c r="D334" s="114" t="s">
        <v>524</v>
      </c>
      <c r="E334" s="120" t="s">
        <v>769</v>
      </c>
      <c r="F334" s="114" t="s">
        <v>751</v>
      </c>
      <c r="G334" s="121" t="s">
        <v>1427</v>
      </c>
      <c r="H334" s="265" t="s">
        <v>932</v>
      </c>
      <c r="I334" s="219" t="s">
        <v>780</v>
      </c>
      <c r="J334" s="219"/>
      <c r="K334" s="73"/>
    </row>
    <row r="335" spans="1:11" x14ac:dyDescent="0.25">
      <c r="A335" s="219">
        <v>2644335</v>
      </c>
      <c r="B335" s="114" t="s">
        <v>136</v>
      </c>
      <c r="C335" s="114" t="s">
        <v>524</v>
      </c>
      <c r="D335" s="114" t="s">
        <v>524</v>
      </c>
      <c r="E335" s="120" t="s">
        <v>769</v>
      </c>
      <c r="F335" s="114" t="s">
        <v>751</v>
      </c>
      <c r="G335" s="121" t="s">
        <v>1427</v>
      </c>
      <c r="H335" s="265" t="s">
        <v>932</v>
      </c>
      <c r="I335" s="219" t="s">
        <v>780</v>
      </c>
      <c r="J335" s="219"/>
      <c r="K335" s="73"/>
    </row>
    <row r="336" spans="1:11" x14ac:dyDescent="0.25">
      <c r="A336" s="219">
        <v>3235435</v>
      </c>
      <c r="B336" s="261" t="s">
        <v>887</v>
      </c>
      <c r="C336" s="114" t="s">
        <v>524</v>
      </c>
      <c r="D336" s="114" t="s">
        <v>524</v>
      </c>
      <c r="E336" s="120" t="s">
        <v>769</v>
      </c>
      <c r="F336" s="114" t="s">
        <v>697</v>
      </c>
      <c r="G336" s="121" t="s">
        <v>1427</v>
      </c>
      <c r="H336" s="265" t="s">
        <v>932</v>
      </c>
      <c r="I336" s="219" t="s">
        <v>780</v>
      </c>
      <c r="J336" s="219"/>
      <c r="K336" s="73"/>
    </row>
    <row r="337" spans="1:11" x14ac:dyDescent="0.25">
      <c r="A337" s="219">
        <v>3319304</v>
      </c>
      <c r="B337" s="114" t="s">
        <v>776</v>
      </c>
      <c r="C337" s="114" t="s">
        <v>524</v>
      </c>
      <c r="D337" s="114" t="s">
        <v>524</v>
      </c>
      <c r="E337" s="120" t="s">
        <v>769</v>
      </c>
      <c r="F337" s="114" t="s">
        <v>755</v>
      </c>
      <c r="G337" s="121" t="s">
        <v>1427</v>
      </c>
      <c r="H337" s="265" t="s">
        <v>932</v>
      </c>
      <c r="I337" s="219" t="s">
        <v>780</v>
      </c>
      <c r="J337" s="219"/>
      <c r="K337" s="73"/>
    </row>
    <row r="338" spans="1:11" x14ac:dyDescent="0.25">
      <c r="A338" s="219">
        <v>3566593</v>
      </c>
      <c r="B338" s="114" t="s">
        <v>645</v>
      </c>
      <c r="C338" s="114" t="s">
        <v>524</v>
      </c>
      <c r="D338" s="114" t="s">
        <v>524</v>
      </c>
      <c r="E338" s="120" t="s">
        <v>769</v>
      </c>
      <c r="F338" s="114" t="s">
        <v>697</v>
      </c>
      <c r="G338" s="121" t="s">
        <v>1427</v>
      </c>
      <c r="H338" s="265" t="s">
        <v>932</v>
      </c>
      <c r="I338" s="219" t="s">
        <v>780</v>
      </c>
      <c r="J338" s="219"/>
      <c r="K338" s="73"/>
    </row>
    <row r="339" spans="1:11" x14ac:dyDescent="0.25">
      <c r="A339" s="219">
        <v>3664921</v>
      </c>
      <c r="B339" s="114" t="s">
        <v>676</v>
      </c>
      <c r="C339" s="114" t="s">
        <v>524</v>
      </c>
      <c r="D339" s="114" t="s">
        <v>524</v>
      </c>
      <c r="E339" s="120" t="s">
        <v>769</v>
      </c>
      <c r="F339" s="114" t="s">
        <v>697</v>
      </c>
      <c r="G339" s="121" t="s">
        <v>1427</v>
      </c>
      <c r="H339" s="265" t="s">
        <v>932</v>
      </c>
      <c r="I339" s="219" t="s">
        <v>780</v>
      </c>
      <c r="J339" s="219"/>
      <c r="K339" s="73"/>
    </row>
    <row r="340" spans="1:11" x14ac:dyDescent="0.25">
      <c r="A340" s="219">
        <v>3752064</v>
      </c>
      <c r="B340" s="261" t="s">
        <v>893</v>
      </c>
      <c r="C340" s="114" t="s">
        <v>524</v>
      </c>
      <c r="D340" s="114" t="s">
        <v>524</v>
      </c>
      <c r="E340" s="120" t="s">
        <v>769</v>
      </c>
      <c r="F340" s="114" t="s">
        <v>749</v>
      </c>
      <c r="G340" s="121" t="s">
        <v>1427</v>
      </c>
      <c r="H340" s="265" t="s">
        <v>932</v>
      </c>
      <c r="I340" s="219" t="s">
        <v>780</v>
      </c>
      <c r="J340" s="219" t="s">
        <v>816</v>
      </c>
      <c r="K340" s="73"/>
    </row>
    <row r="341" spans="1:11" x14ac:dyDescent="0.25">
      <c r="A341" s="219">
        <v>3915642</v>
      </c>
      <c r="B341" s="114" t="s">
        <v>778</v>
      </c>
      <c r="C341" s="114" t="s">
        <v>524</v>
      </c>
      <c r="D341" s="114" t="s">
        <v>524</v>
      </c>
      <c r="E341" s="120" t="s">
        <v>769</v>
      </c>
      <c r="F341" s="114" t="s">
        <v>697</v>
      </c>
      <c r="G341" s="121" t="s">
        <v>1427</v>
      </c>
      <c r="H341" s="265" t="s">
        <v>931</v>
      </c>
      <c r="I341" s="219" t="s">
        <v>780</v>
      </c>
      <c r="J341" s="219"/>
      <c r="K341" s="73"/>
    </row>
    <row r="342" spans="1:11" x14ac:dyDescent="0.25">
      <c r="A342" s="219">
        <v>3980567</v>
      </c>
      <c r="B342" s="114" t="s">
        <v>914</v>
      </c>
      <c r="C342" s="114" t="s">
        <v>524</v>
      </c>
      <c r="D342" s="114" t="s">
        <v>524</v>
      </c>
      <c r="E342" s="120" t="s">
        <v>769</v>
      </c>
      <c r="F342" s="114" t="s">
        <v>745</v>
      </c>
      <c r="G342" s="121" t="s">
        <v>1427</v>
      </c>
      <c r="H342" s="265" t="s">
        <v>932</v>
      </c>
      <c r="I342" s="219" t="s">
        <v>780</v>
      </c>
      <c r="J342" s="219"/>
      <c r="K342" s="73"/>
    </row>
    <row r="343" spans="1:11" x14ac:dyDescent="0.25">
      <c r="A343" s="219">
        <v>4165987</v>
      </c>
      <c r="B343" s="114" t="s">
        <v>801</v>
      </c>
      <c r="C343" s="114" t="s">
        <v>524</v>
      </c>
      <c r="D343" s="114" t="s">
        <v>524</v>
      </c>
      <c r="E343" s="120" t="s">
        <v>769</v>
      </c>
      <c r="F343" s="114" t="s">
        <v>940</v>
      </c>
      <c r="G343" s="121" t="s">
        <v>1427</v>
      </c>
      <c r="H343" s="265" t="s">
        <v>931</v>
      </c>
      <c r="I343" s="219" t="s">
        <v>780</v>
      </c>
      <c r="J343" s="219"/>
      <c r="K343" s="73"/>
    </row>
    <row r="344" spans="1:11" x14ac:dyDescent="0.25">
      <c r="A344" s="219">
        <v>4338078</v>
      </c>
      <c r="B344" s="114" t="s">
        <v>902</v>
      </c>
      <c r="C344" s="114" t="s">
        <v>524</v>
      </c>
      <c r="D344" s="114" t="s">
        <v>524</v>
      </c>
      <c r="E344" s="120" t="s">
        <v>769</v>
      </c>
      <c r="F344" s="114" t="s">
        <v>698</v>
      </c>
      <c r="G344" s="121" t="s">
        <v>1427</v>
      </c>
      <c r="H344" s="265" t="s">
        <v>932</v>
      </c>
      <c r="I344" s="219" t="s">
        <v>780</v>
      </c>
      <c r="J344" s="219"/>
      <c r="K344" s="73"/>
    </row>
    <row r="345" spans="1:11" x14ac:dyDescent="0.25">
      <c r="A345" s="219">
        <v>4834250</v>
      </c>
      <c r="B345" s="114" t="s">
        <v>775</v>
      </c>
      <c r="C345" s="114" t="s">
        <v>524</v>
      </c>
      <c r="D345" s="114" t="s">
        <v>524</v>
      </c>
      <c r="E345" s="120" t="s">
        <v>769</v>
      </c>
      <c r="F345" s="114" t="s">
        <v>751</v>
      </c>
      <c r="G345" s="121" t="s">
        <v>1427</v>
      </c>
      <c r="H345" s="265" t="s">
        <v>931</v>
      </c>
      <c r="I345" s="219" t="s">
        <v>780</v>
      </c>
      <c r="J345" s="219"/>
      <c r="K345" s="73"/>
    </row>
    <row r="346" spans="1:11" x14ac:dyDescent="0.25">
      <c r="A346" s="219">
        <v>5538852</v>
      </c>
      <c r="B346" s="114" t="s">
        <v>768</v>
      </c>
      <c r="C346" s="114" t="s">
        <v>524</v>
      </c>
      <c r="D346" s="114" t="s">
        <v>524</v>
      </c>
      <c r="E346" s="120" t="s">
        <v>769</v>
      </c>
      <c r="F346" s="114" t="s">
        <v>745</v>
      </c>
      <c r="G346" s="121" t="s">
        <v>1427</v>
      </c>
      <c r="H346" s="265" t="s">
        <v>932</v>
      </c>
      <c r="I346" s="219" t="s">
        <v>780</v>
      </c>
      <c r="J346" s="219"/>
      <c r="K346" s="73"/>
    </row>
    <row r="347" spans="1:11" x14ac:dyDescent="0.25">
      <c r="A347" s="219">
        <v>6134670</v>
      </c>
      <c r="B347" s="114" t="s">
        <v>811</v>
      </c>
      <c r="C347" s="114" t="s">
        <v>524</v>
      </c>
      <c r="D347" s="114" t="s">
        <v>524</v>
      </c>
      <c r="E347" s="120" t="s">
        <v>769</v>
      </c>
      <c r="F347" s="114" t="s">
        <v>697</v>
      </c>
      <c r="G347" s="121" t="s">
        <v>1427</v>
      </c>
      <c r="H347" s="265" t="s">
        <v>932</v>
      </c>
      <c r="I347" s="273" t="s">
        <v>780</v>
      </c>
      <c r="J347" s="219"/>
      <c r="K347" s="73"/>
    </row>
    <row r="348" spans="1:11" x14ac:dyDescent="0.25">
      <c r="A348" s="219">
        <v>6280281</v>
      </c>
      <c r="B348" s="114" t="s">
        <v>521</v>
      </c>
      <c r="C348" s="114" t="s">
        <v>524</v>
      </c>
      <c r="D348" s="114" t="s">
        <v>524</v>
      </c>
      <c r="E348" s="120" t="s">
        <v>769</v>
      </c>
      <c r="F348" s="114" t="s">
        <v>748</v>
      </c>
      <c r="G348" s="121" t="s">
        <v>1427</v>
      </c>
      <c r="H348" s="265" t="s">
        <v>931</v>
      </c>
      <c r="I348" s="219" t="s">
        <v>780</v>
      </c>
      <c r="J348" s="219"/>
      <c r="K348" s="73"/>
    </row>
    <row r="349" spans="1:11" x14ac:dyDescent="0.25">
      <c r="A349" s="219">
        <v>6354821</v>
      </c>
      <c r="B349" s="114" t="s">
        <v>956</v>
      </c>
      <c r="C349" s="114" t="s">
        <v>524</v>
      </c>
      <c r="D349" s="114" t="s">
        <v>524</v>
      </c>
      <c r="E349" s="120" t="s">
        <v>769</v>
      </c>
      <c r="F349" s="114" t="s">
        <v>745</v>
      </c>
      <c r="G349" s="121" t="s">
        <v>1427</v>
      </c>
      <c r="H349" s="265" t="s">
        <v>931</v>
      </c>
      <c r="I349" s="219" t="s">
        <v>780</v>
      </c>
      <c r="J349" s="219"/>
      <c r="K349" s="73"/>
    </row>
    <row r="350" spans="1:11" x14ac:dyDescent="0.25">
      <c r="A350" s="219">
        <v>6374098</v>
      </c>
      <c r="B350" s="114" t="s">
        <v>771</v>
      </c>
      <c r="C350" s="114" t="s">
        <v>524</v>
      </c>
      <c r="D350" s="114" t="s">
        <v>524</v>
      </c>
      <c r="E350" s="120" t="s">
        <v>769</v>
      </c>
      <c r="F350" s="114" t="s">
        <v>748</v>
      </c>
      <c r="G350" s="121" t="s">
        <v>1427</v>
      </c>
      <c r="H350" s="265" t="s">
        <v>931</v>
      </c>
      <c r="I350" s="219" t="s">
        <v>780</v>
      </c>
      <c r="J350" s="219"/>
      <c r="K350" s="73"/>
    </row>
    <row r="351" spans="1:11" x14ac:dyDescent="0.25">
      <c r="A351" s="219">
        <v>6439891</v>
      </c>
      <c r="B351" s="114" t="s">
        <v>814</v>
      </c>
      <c r="C351" s="114" t="s">
        <v>524</v>
      </c>
      <c r="D351" s="114" t="s">
        <v>524</v>
      </c>
      <c r="E351" s="120" t="s">
        <v>769</v>
      </c>
      <c r="F351" s="114" t="s">
        <v>748</v>
      </c>
      <c r="G351" s="121" t="s">
        <v>1427</v>
      </c>
      <c r="H351" s="265" t="s">
        <v>931</v>
      </c>
      <c r="I351" s="219" t="s">
        <v>780</v>
      </c>
      <c r="J351" s="219"/>
      <c r="K351" s="73"/>
    </row>
    <row r="352" spans="1:11" x14ac:dyDescent="0.25">
      <c r="A352" s="219">
        <v>6848492</v>
      </c>
      <c r="B352" s="114" t="s">
        <v>901</v>
      </c>
      <c r="C352" s="114" t="s">
        <v>524</v>
      </c>
      <c r="D352" s="114" t="s">
        <v>524</v>
      </c>
      <c r="E352" s="120" t="s">
        <v>769</v>
      </c>
      <c r="F352" s="114" t="s">
        <v>940</v>
      </c>
      <c r="G352" s="121" t="s">
        <v>1427</v>
      </c>
      <c r="H352" s="265" t="s">
        <v>932</v>
      </c>
      <c r="I352" s="219" t="s">
        <v>780</v>
      </c>
      <c r="J352" s="219"/>
      <c r="K352" s="73"/>
    </row>
    <row r="353" spans="1:11" x14ac:dyDescent="0.25">
      <c r="A353" s="219">
        <v>7095552</v>
      </c>
      <c r="B353" s="114" t="s">
        <v>880</v>
      </c>
      <c r="C353" s="114" t="s">
        <v>524</v>
      </c>
      <c r="D353" s="114" t="s">
        <v>524</v>
      </c>
      <c r="E353" s="120" t="s">
        <v>769</v>
      </c>
      <c r="F353" s="114" t="s">
        <v>755</v>
      </c>
      <c r="G353" s="121" t="s">
        <v>1427</v>
      </c>
      <c r="H353" s="265" t="s">
        <v>932</v>
      </c>
      <c r="I353" s="219" t="s">
        <v>780</v>
      </c>
      <c r="J353" s="219"/>
      <c r="K353" s="73"/>
    </row>
    <row r="354" spans="1:11" x14ac:dyDescent="0.25">
      <c r="A354" s="219">
        <v>8209338</v>
      </c>
      <c r="B354" s="114" t="s">
        <v>900</v>
      </c>
      <c r="C354" s="114" t="s">
        <v>524</v>
      </c>
      <c r="D354" s="114" t="s">
        <v>524</v>
      </c>
      <c r="E354" s="120" t="s">
        <v>769</v>
      </c>
      <c r="F354" s="114" t="s">
        <v>745</v>
      </c>
      <c r="G354" s="121" t="s">
        <v>1427</v>
      </c>
      <c r="H354" s="265" t="s">
        <v>932</v>
      </c>
      <c r="I354" s="219" t="s">
        <v>780</v>
      </c>
      <c r="J354" s="219"/>
      <c r="K354" s="73"/>
    </row>
    <row r="355" spans="1:11" x14ac:dyDescent="0.25">
      <c r="A355" s="219">
        <v>8377243</v>
      </c>
      <c r="B355" s="114" t="s">
        <v>779</v>
      </c>
      <c r="C355" s="114" t="s">
        <v>524</v>
      </c>
      <c r="D355" s="114" t="s">
        <v>524</v>
      </c>
      <c r="E355" s="120" t="s">
        <v>769</v>
      </c>
      <c r="F355" s="114" t="s">
        <v>697</v>
      </c>
      <c r="G355" s="121" t="s">
        <v>1427</v>
      </c>
      <c r="H355" s="265" t="s">
        <v>931</v>
      </c>
      <c r="I355" s="219" t="s">
        <v>780</v>
      </c>
      <c r="J355" s="219"/>
      <c r="K355" s="73"/>
    </row>
    <row r="356" spans="1:11" x14ac:dyDescent="0.25">
      <c r="A356" s="219">
        <v>9955642</v>
      </c>
      <c r="B356" s="114" t="s">
        <v>770</v>
      </c>
      <c r="C356" s="114" t="s">
        <v>524</v>
      </c>
      <c r="D356" s="114" t="s">
        <v>524</v>
      </c>
      <c r="E356" s="120" t="s">
        <v>769</v>
      </c>
      <c r="F356" s="114" t="s">
        <v>745</v>
      </c>
      <c r="G356" s="121" t="s">
        <v>1427</v>
      </c>
      <c r="H356" s="265" t="s">
        <v>932</v>
      </c>
      <c r="I356" s="219" t="s">
        <v>780</v>
      </c>
      <c r="J356" s="219"/>
      <c r="K356" s="73"/>
    </row>
    <row r="357" spans="1:11" x14ac:dyDescent="0.25">
      <c r="A357" s="219">
        <v>10091853</v>
      </c>
      <c r="B357" s="114" t="s">
        <v>921</v>
      </c>
      <c r="C357" s="114" t="s">
        <v>524</v>
      </c>
      <c r="D357" s="114" t="s">
        <v>524</v>
      </c>
      <c r="E357" s="120" t="s">
        <v>769</v>
      </c>
      <c r="F357" s="114" t="s">
        <v>751</v>
      </c>
      <c r="G357" s="121" t="s">
        <v>1427</v>
      </c>
      <c r="H357" s="265" t="s">
        <v>932</v>
      </c>
      <c r="I357" s="219" t="s">
        <v>780</v>
      </c>
      <c r="J357" s="219"/>
      <c r="K357" s="73"/>
    </row>
    <row r="358" spans="1:11" x14ac:dyDescent="0.25">
      <c r="A358" s="219">
        <v>10377793</v>
      </c>
      <c r="B358" s="114" t="s">
        <v>772</v>
      </c>
      <c r="C358" s="114" t="s">
        <v>524</v>
      </c>
      <c r="D358" s="114" t="s">
        <v>524</v>
      </c>
      <c r="E358" s="120" t="s">
        <v>769</v>
      </c>
      <c r="F358" s="114" t="s">
        <v>691</v>
      </c>
      <c r="G358" s="121" t="s">
        <v>1427</v>
      </c>
      <c r="H358" s="265" t="s">
        <v>932</v>
      </c>
      <c r="I358" s="219" t="s">
        <v>780</v>
      </c>
      <c r="J358" s="219"/>
      <c r="K358" s="73"/>
    </row>
    <row r="359" spans="1:11" x14ac:dyDescent="0.25">
      <c r="A359" s="219">
        <v>10485420</v>
      </c>
      <c r="B359" s="114" t="s">
        <v>773</v>
      </c>
      <c r="C359" s="114" t="s">
        <v>524</v>
      </c>
      <c r="D359" s="114" t="s">
        <v>524</v>
      </c>
      <c r="E359" s="120" t="s">
        <v>769</v>
      </c>
      <c r="F359" s="114" t="s">
        <v>691</v>
      </c>
      <c r="G359" s="121" t="s">
        <v>1427</v>
      </c>
      <c r="H359" s="265" t="s">
        <v>932</v>
      </c>
      <c r="I359" s="219" t="s">
        <v>780</v>
      </c>
      <c r="J359" s="219"/>
      <c r="K359" s="73"/>
    </row>
    <row r="360" spans="1:11" x14ac:dyDescent="0.25">
      <c r="A360" s="219">
        <v>11406273</v>
      </c>
      <c r="B360" s="114" t="s">
        <v>802</v>
      </c>
      <c r="C360" s="114" t="s">
        <v>524</v>
      </c>
      <c r="D360" s="114" t="s">
        <v>524</v>
      </c>
      <c r="E360" s="120" t="s">
        <v>769</v>
      </c>
      <c r="F360" s="114" t="s">
        <v>697</v>
      </c>
      <c r="G360" s="121" t="s">
        <v>1427</v>
      </c>
      <c r="H360" s="265" t="s">
        <v>932</v>
      </c>
      <c r="I360" s="219" t="s">
        <v>780</v>
      </c>
      <c r="J360" s="219"/>
      <c r="K360" s="73"/>
    </row>
    <row r="361" spans="1:11" x14ac:dyDescent="0.25">
      <c r="A361" s="219">
        <v>13833969</v>
      </c>
      <c r="B361" s="114" t="s">
        <v>777</v>
      </c>
      <c r="C361" s="114" t="s">
        <v>524</v>
      </c>
      <c r="D361" s="114" t="s">
        <v>524</v>
      </c>
      <c r="E361" s="120" t="s">
        <v>769</v>
      </c>
      <c r="F361" s="114" t="s">
        <v>755</v>
      </c>
      <c r="G361" s="121" t="s">
        <v>1427</v>
      </c>
      <c r="H361" s="265" t="s">
        <v>932</v>
      </c>
      <c r="I361" s="219" t="s">
        <v>780</v>
      </c>
      <c r="J361" s="219"/>
      <c r="K361" s="73"/>
    </row>
    <row r="362" spans="1:11" x14ac:dyDescent="0.25">
      <c r="A362" s="219">
        <v>20639415</v>
      </c>
      <c r="B362" s="114" t="s">
        <v>904</v>
      </c>
      <c r="C362" s="114" t="s">
        <v>524</v>
      </c>
      <c r="D362" s="114" t="s">
        <v>524</v>
      </c>
      <c r="E362" s="120" t="s">
        <v>769</v>
      </c>
      <c r="F362" s="114" t="s">
        <v>697</v>
      </c>
      <c r="G362" s="121" t="s">
        <v>1427</v>
      </c>
      <c r="H362" s="265" t="s">
        <v>932</v>
      </c>
      <c r="I362" s="219" t="s">
        <v>780</v>
      </c>
      <c r="J362" s="219"/>
      <c r="K362" s="73"/>
    </row>
    <row r="363" spans="1:11" x14ac:dyDescent="0.25">
      <c r="A363" s="219">
        <v>3741311</v>
      </c>
      <c r="B363" s="114" t="s">
        <v>14</v>
      </c>
      <c r="C363" s="114" t="s">
        <v>12</v>
      </c>
      <c r="D363" s="114" t="s">
        <v>541</v>
      </c>
      <c r="E363" s="120" t="s">
        <v>537</v>
      </c>
      <c r="F363" s="114" t="s">
        <v>752</v>
      </c>
      <c r="G363" s="121" t="s">
        <v>1427</v>
      </c>
      <c r="H363" s="265" t="s">
        <v>932</v>
      </c>
      <c r="I363" s="219"/>
      <c r="J363" s="219"/>
      <c r="K363" s="73"/>
    </row>
    <row r="364" spans="1:11" x14ac:dyDescent="0.25">
      <c r="A364" s="219">
        <v>3759325</v>
      </c>
      <c r="B364" s="114" t="s">
        <v>338</v>
      </c>
      <c r="C364" s="114" t="s">
        <v>12</v>
      </c>
      <c r="D364" s="114" t="s">
        <v>541</v>
      </c>
      <c r="E364" s="120" t="s">
        <v>537</v>
      </c>
      <c r="F364" s="114" t="s">
        <v>752</v>
      </c>
      <c r="G364" s="121" t="s">
        <v>1427</v>
      </c>
      <c r="H364" s="265" t="s">
        <v>932</v>
      </c>
      <c r="I364" s="219"/>
      <c r="J364" s="219" t="s">
        <v>837</v>
      </c>
      <c r="K364" s="73"/>
    </row>
    <row r="365" spans="1:11" x14ac:dyDescent="0.25">
      <c r="A365" s="219">
        <v>4682423</v>
      </c>
      <c r="B365" s="114" t="s">
        <v>339</v>
      </c>
      <c r="C365" s="114" t="s">
        <v>12</v>
      </c>
      <c r="D365" s="114" t="s">
        <v>578</v>
      </c>
      <c r="E365" s="120" t="s">
        <v>537</v>
      </c>
      <c r="F365" s="114" t="s">
        <v>752</v>
      </c>
      <c r="G365" s="121" t="s">
        <v>1427</v>
      </c>
      <c r="H365" s="265" t="s">
        <v>932</v>
      </c>
      <c r="I365" s="219"/>
      <c r="J365" s="219"/>
      <c r="K365" s="73"/>
    </row>
    <row r="366" spans="1:11" x14ac:dyDescent="0.25">
      <c r="A366" s="219">
        <v>4854896</v>
      </c>
      <c r="B366" s="114" t="s">
        <v>341</v>
      </c>
      <c r="C366" s="114" t="s">
        <v>12</v>
      </c>
      <c r="D366" s="114" t="s">
        <v>564</v>
      </c>
      <c r="E366" s="120" t="s">
        <v>533</v>
      </c>
      <c r="F366" s="114" t="s">
        <v>752</v>
      </c>
      <c r="G366" s="121" t="s">
        <v>1427</v>
      </c>
      <c r="H366" s="265" t="s">
        <v>932</v>
      </c>
      <c r="I366" s="219"/>
      <c r="J366" s="219" t="s">
        <v>835</v>
      </c>
      <c r="K366" s="73"/>
    </row>
    <row r="367" spans="1:11" x14ac:dyDescent="0.25">
      <c r="A367" s="219">
        <v>5605299</v>
      </c>
      <c r="B367" s="114" t="s">
        <v>343</v>
      </c>
      <c r="C367" s="114" t="s">
        <v>12</v>
      </c>
      <c r="D367" s="114" t="s">
        <v>566</v>
      </c>
      <c r="E367" s="120" t="s">
        <v>537</v>
      </c>
      <c r="F367" s="114" t="s">
        <v>752</v>
      </c>
      <c r="G367" s="121" t="s">
        <v>1427</v>
      </c>
      <c r="H367" s="265" t="s">
        <v>932</v>
      </c>
      <c r="I367" s="219"/>
      <c r="J367" s="219"/>
      <c r="K367" s="73"/>
    </row>
    <row r="368" spans="1:11" x14ac:dyDescent="0.25">
      <c r="A368" s="219">
        <v>6001366</v>
      </c>
      <c r="B368" s="114" t="s">
        <v>344</v>
      </c>
      <c r="C368" s="114" t="s">
        <v>12</v>
      </c>
      <c r="D368" s="114" t="s">
        <v>567</v>
      </c>
      <c r="E368" s="120" t="s">
        <v>537</v>
      </c>
      <c r="F368" s="114" t="s">
        <v>752</v>
      </c>
      <c r="G368" s="121" t="s">
        <v>1427</v>
      </c>
      <c r="H368" s="265" t="s">
        <v>932</v>
      </c>
      <c r="I368" s="219"/>
      <c r="J368" s="219"/>
      <c r="K368" s="73"/>
    </row>
    <row r="369" spans="1:11" x14ac:dyDescent="0.25">
      <c r="A369" s="219">
        <v>6040404</v>
      </c>
      <c r="B369" s="114" t="s">
        <v>687</v>
      </c>
      <c r="C369" s="114" t="s">
        <v>12</v>
      </c>
      <c r="D369" s="114" t="s">
        <v>541</v>
      </c>
      <c r="E369" s="120" t="s">
        <v>537</v>
      </c>
      <c r="F369" s="114" t="s">
        <v>752</v>
      </c>
      <c r="G369" s="121" t="s">
        <v>1427</v>
      </c>
      <c r="H369" s="265" t="s">
        <v>932</v>
      </c>
      <c r="I369" s="219"/>
      <c r="J369" s="219" t="s">
        <v>838</v>
      </c>
      <c r="K369" s="73"/>
    </row>
    <row r="370" spans="1:11" x14ac:dyDescent="0.25">
      <c r="A370" s="219">
        <v>6193376</v>
      </c>
      <c r="B370" s="114" t="s">
        <v>33</v>
      </c>
      <c r="C370" s="114" t="s">
        <v>12</v>
      </c>
      <c r="D370" s="114" t="s">
        <v>568</v>
      </c>
      <c r="E370" s="120" t="s">
        <v>537</v>
      </c>
      <c r="F370" s="114" t="s">
        <v>748</v>
      </c>
      <c r="G370" s="121" t="s">
        <v>1427</v>
      </c>
      <c r="H370" s="265" t="s">
        <v>932</v>
      </c>
      <c r="I370" s="219"/>
      <c r="J370" s="219" t="s">
        <v>838</v>
      </c>
      <c r="K370" s="73"/>
    </row>
    <row r="371" spans="1:11" x14ac:dyDescent="0.25">
      <c r="A371" s="219">
        <v>6220489</v>
      </c>
      <c r="B371" s="114" t="s">
        <v>348</v>
      </c>
      <c r="C371" s="114" t="s">
        <v>12</v>
      </c>
      <c r="D371" s="114" t="s">
        <v>565</v>
      </c>
      <c r="E371" s="120" t="s">
        <v>537</v>
      </c>
      <c r="F371" s="114" t="s">
        <v>697</v>
      </c>
      <c r="G371" s="121" t="s">
        <v>1427</v>
      </c>
      <c r="H371" s="265" t="s">
        <v>932</v>
      </c>
      <c r="I371" s="219"/>
      <c r="J371" s="219"/>
      <c r="K371" s="73"/>
    </row>
    <row r="372" spans="1:11" x14ac:dyDescent="0.25">
      <c r="A372" s="219">
        <v>6244043</v>
      </c>
      <c r="B372" s="114" t="s">
        <v>349</v>
      </c>
      <c r="C372" s="114" t="s">
        <v>12</v>
      </c>
      <c r="D372" s="114" t="s">
        <v>541</v>
      </c>
      <c r="E372" s="120" t="s">
        <v>537</v>
      </c>
      <c r="F372" s="114" t="s">
        <v>752</v>
      </c>
      <c r="G372" s="121" t="s">
        <v>1427</v>
      </c>
      <c r="H372" s="265" t="s">
        <v>932</v>
      </c>
      <c r="I372" s="219"/>
      <c r="J372" s="219"/>
      <c r="K372" s="73"/>
    </row>
    <row r="373" spans="1:11" x14ac:dyDescent="0.25">
      <c r="A373" s="219">
        <v>6254355</v>
      </c>
      <c r="B373" s="114" t="s">
        <v>350</v>
      </c>
      <c r="C373" s="114" t="s">
        <v>12</v>
      </c>
      <c r="D373" s="114" t="s">
        <v>565</v>
      </c>
      <c r="E373" s="120" t="s">
        <v>537</v>
      </c>
      <c r="F373" s="114" t="s">
        <v>696</v>
      </c>
      <c r="G373" s="121" t="s">
        <v>1427</v>
      </c>
      <c r="H373" s="265" t="s">
        <v>932</v>
      </c>
      <c r="I373" s="219"/>
      <c r="J373" s="219" t="s">
        <v>835</v>
      </c>
      <c r="K373" s="73"/>
    </row>
    <row r="374" spans="1:11" x14ac:dyDescent="0.25">
      <c r="A374" s="219">
        <v>6256734</v>
      </c>
      <c r="B374" s="114" t="s">
        <v>351</v>
      </c>
      <c r="C374" s="114" t="s">
        <v>12</v>
      </c>
      <c r="D374" s="114" t="s">
        <v>568</v>
      </c>
      <c r="E374" s="120" t="s">
        <v>537</v>
      </c>
      <c r="F374" s="114" t="s">
        <v>697</v>
      </c>
      <c r="G374" s="121" t="s">
        <v>1427</v>
      </c>
      <c r="H374" s="265" t="s">
        <v>931</v>
      </c>
      <c r="I374" s="219"/>
      <c r="J374" s="219" t="s">
        <v>835</v>
      </c>
      <c r="K374" s="73"/>
    </row>
    <row r="375" spans="1:11" x14ac:dyDescent="0.25">
      <c r="A375" s="219">
        <v>6263882</v>
      </c>
      <c r="B375" s="114" t="s">
        <v>352</v>
      </c>
      <c r="C375" s="114" t="s">
        <v>12</v>
      </c>
      <c r="D375" s="114" t="s">
        <v>569</v>
      </c>
      <c r="E375" s="120" t="s">
        <v>537</v>
      </c>
      <c r="F375" s="114" t="s">
        <v>696</v>
      </c>
      <c r="G375" s="121" t="s">
        <v>1427</v>
      </c>
      <c r="H375" s="265" t="s">
        <v>932</v>
      </c>
      <c r="I375" s="219"/>
      <c r="J375" s="219" t="s">
        <v>835</v>
      </c>
      <c r="K375" s="73"/>
    </row>
    <row r="376" spans="1:11" x14ac:dyDescent="0.25">
      <c r="A376" s="219">
        <v>6276576</v>
      </c>
      <c r="B376" s="114" t="s">
        <v>353</v>
      </c>
      <c r="C376" s="114" t="s">
        <v>12</v>
      </c>
      <c r="D376" s="114" t="s">
        <v>570</v>
      </c>
      <c r="E376" s="120" t="s">
        <v>537</v>
      </c>
      <c r="F376" s="114" t="s">
        <v>752</v>
      </c>
      <c r="G376" s="121" t="s">
        <v>1427</v>
      </c>
      <c r="H376" s="265" t="s">
        <v>932</v>
      </c>
      <c r="I376" s="219"/>
      <c r="J376" s="219"/>
      <c r="K376" s="73"/>
    </row>
    <row r="377" spans="1:11" x14ac:dyDescent="0.25">
      <c r="A377" s="219">
        <v>6318111</v>
      </c>
      <c r="B377" s="114" t="s">
        <v>355</v>
      </c>
      <c r="C377" s="114" t="s">
        <v>12</v>
      </c>
      <c r="D377" s="114" t="s">
        <v>565</v>
      </c>
      <c r="E377" s="120" t="s">
        <v>537</v>
      </c>
      <c r="F377" s="114" t="s">
        <v>696</v>
      </c>
      <c r="G377" s="121" t="s">
        <v>1427</v>
      </c>
      <c r="H377" s="265" t="s">
        <v>931</v>
      </c>
      <c r="I377" s="219"/>
      <c r="J377" s="219"/>
      <c r="K377" s="73"/>
    </row>
    <row r="378" spans="1:11" x14ac:dyDescent="0.25">
      <c r="A378" s="219">
        <v>6326657</v>
      </c>
      <c r="B378" s="114" t="s">
        <v>34</v>
      </c>
      <c r="C378" s="114" t="s">
        <v>12</v>
      </c>
      <c r="D378" s="114" t="s">
        <v>569</v>
      </c>
      <c r="E378" s="120" t="s">
        <v>537</v>
      </c>
      <c r="F378" s="114" t="s">
        <v>502</v>
      </c>
      <c r="G378" s="121" t="s">
        <v>1427</v>
      </c>
      <c r="H378" s="265" t="s">
        <v>931</v>
      </c>
      <c r="I378" s="219"/>
      <c r="J378" s="219" t="s">
        <v>839</v>
      </c>
      <c r="K378" s="73"/>
    </row>
    <row r="379" spans="1:11" x14ac:dyDescent="0.25">
      <c r="A379" s="219">
        <v>6346091</v>
      </c>
      <c r="B379" s="114" t="s">
        <v>526</v>
      </c>
      <c r="C379" s="114" t="s">
        <v>12</v>
      </c>
      <c r="D379" s="114" t="s">
        <v>571</v>
      </c>
      <c r="E379" s="120" t="s">
        <v>537</v>
      </c>
      <c r="F379" s="114" t="s">
        <v>752</v>
      </c>
      <c r="G379" s="121" t="s">
        <v>1427</v>
      </c>
      <c r="H379" s="265" t="s">
        <v>932</v>
      </c>
      <c r="I379" s="219"/>
      <c r="J379" s="219"/>
      <c r="K379" s="73"/>
    </row>
    <row r="380" spans="1:11" x14ac:dyDescent="0.25">
      <c r="A380" s="219">
        <v>6357030</v>
      </c>
      <c r="B380" s="114" t="s">
        <v>356</v>
      </c>
      <c r="C380" s="114" t="s">
        <v>12</v>
      </c>
      <c r="D380" s="114" t="s">
        <v>565</v>
      </c>
      <c r="E380" s="120" t="s">
        <v>537</v>
      </c>
      <c r="F380" s="114" t="s">
        <v>697</v>
      </c>
      <c r="G380" s="121" t="s">
        <v>1427</v>
      </c>
      <c r="H380" s="265" t="s">
        <v>932</v>
      </c>
      <c r="I380" s="219"/>
      <c r="J380" s="219" t="s">
        <v>839</v>
      </c>
      <c r="K380" s="73"/>
    </row>
    <row r="381" spans="1:11" x14ac:dyDescent="0.25">
      <c r="A381" s="219">
        <v>6435693</v>
      </c>
      <c r="B381" s="114" t="s">
        <v>357</v>
      </c>
      <c r="C381" s="114" t="s">
        <v>12</v>
      </c>
      <c r="D381" s="114" t="s">
        <v>572</v>
      </c>
      <c r="E381" s="120" t="s">
        <v>537</v>
      </c>
      <c r="F381" s="114" t="s">
        <v>752</v>
      </c>
      <c r="G381" s="121" t="s">
        <v>1427</v>
      </c>
      <c r="H381" s="265" t="s">
        <v>932</v>
      </c>
      <c r="I381" s="219"/>
      <c r="J381" s="219" t="s">
        <v>838</v>
      </c>
      <c r="K381" s="73"/>
    </row>
    <row r="382" spans="1:11" x14ac:dyDescent="0.25">
      <c r="A382" s="219">
        <v>6435695</v>
      </c>
      <c r="B382" s="114" t="s">
        <v>358</v>
      </c>
      <c r="C382" s="114" t="s">
        <v>12</v>
      </c>
      <c r="D382" s="114" t="s">
        <v>573</v>
      </c>
      <c r="E382" s="120" t="s">
        <v>537</v>
      </c>
      <c r="F382" s="114" t="s">
        <v>752</v>
      </c>
      <c r="G382" s="121" t="s">
        <v>1427</v>
      </c>
      <c r="H382" s="265" t="s">
        <v>932</v>
      </c>
      <c r="I382" s="219"/>
      <c r="J382" s="219"/>
      <c r="K382" s="73"/>
    </row>
    <row r="383" spans="1:11" x14ac:dyDescent="0.25">
      <c r="A383" s="219">
        <v>6448274</v>
      </c>
      <c r="B383" s="114" t="s">
        <v>41</v>
      </c>
      <c r="C383" s="114" t="s">
        <v>12</v>
      </c>
      <c r="D383" s="114" t="s">
        <v>539</v>
      </c>
      <c r="E383" s="120" t="s">
        <v>537</v>
      </c>
      <c r="F383" s="114" t="s">
        <v>752</v>
      </c>
      <c r="G383" s="121" t="s">
        <v>1427</v>
      </c>
      <c r="H383" s="265" t="s">
        <v>931</v>
      </c>
      <c r="I383" s="219"/>
      <c r="J383" s="219" t="s">
        <v>839</v>
      </c>
      <c r="K383" s="73"/>
    </row>
    <row r="384" spans="1:11" x14ac:dyDescent="0.25">
      <c r="A384" s="219">
        <v>6511452</v>
      </c>
      <c r="B384" s="114" t="s">
        <v>359</v>
      </c>
      <c r="C384" s="114" t="s">
        <v>12</v>
      </c>
      <c r="D384" s="114" t="s">
        <v>565</v>
      </c>
      <c r="E384" s="120" t="s">
        <v>537</v>
      </c>
      <c r="F384" s="114" t="s">
        <v>696</v>
      </c>
      <c r="G384" s="121" t="s">
        <v>1427</v>
      </c>
      <c r="H384" s="265" t="s">
        <v>932</v>
      </c>
      <c r="I384" s="219"/>
      <c r="J384" s="219"/>
      <c r="K384" s="73"/>
    </row>
    <row r="385" spans="1:11" x14ac:dyDescent="0.25">
      <c r="A385" s="219">
        <v>6547888</v>
      </c>
      <c r="B385" s="114" t="s">
        <v>360</v>
      </c>
      <c r="C385" s="114" t="s">
        <v>12</v>
      </c>
      <c r="D385" s="114" t="s">
        <v>570</v>
      </c>
      <c r="E385" s="120" t="s">
        <v>537</v>
      </c>
      <c r="F385" s="114" t="s">
        <v>752</v>
      </c>
      <c r="G385" s="121" t="s">
        <v>1427</v>
      </c>
      <c r="H385" s="265" t="s">
        <v>932</v>
      </c>
      <c r="I385" s="219"/>
      <c r="J385" s="219"/>
      <c r="K385" s="73"/>
    </row>
    <row r="386" spans="1:11" x14ac:dyDescent="0.25">
      <c r="A386" s="219">
        <v>6826775</v>
      </c>
      <c r="B386" s="114" t="s">
        <v>154</v>
      </c>
      <c r="C386" s="114" t="s">
        <v>12</v>
      </c>
      <c r="D386" s="114" t="s">
        <v>541</v>
      </c>
      <c r="E386" s="120" t="s">
        <v>537</v>
      </c>
      <c r="F386" s="114" t="s">
        <v>752</v>
      </c>
      <c r="G386" s="121" t="s">
        <v>1427</v>
      </c>
      <c r="H386" s="265" t="s">
        <v>932</v>
      </c>
      <c r="I386" s="219"/>
      <c r="J386" s="219"/>
      <c r="K386" s="73"/>
    </row>
    <row r="387" spans="1:11" x14ac:dyDescent="0.25">
      <c r="A387" s="219">
        <v>6852779</v>
      </c>
      <c r="B387" s="114" t="s">
        <v>361</v>
      </c>
      <c r="C387" s="114" t="s">
        <v>12</v>
      </c>
      <c r="D387" s="114" t="s">
        <v>564</v>
      </c>
      <c r="E387" s="120" t="s">
        <v>533</v>
      </c>
      <c r="F387" s="114" t="s">
        <v>752</v>
      </c>
      <c r="G387" s="121" t="s">
        <v>1427</v>
      </c>
      <c r="H387" s="265" t="s">
        <v>932</v>
      </c>
      <c r="I387" s="219"/>
      <c r="J387" s="219"/>
      <c r="K387" s="73"/>
    </row>
    <row r="388" spans="1:11" x14ac:dyDescent="0.25">
      <c r="A388" s="219">
        <v>6853103</v>
      </c>
      <c r="B388" s="114" t="s">
        <v>363</v>
      </c>
      <c r="C388" s="114" t="s">
        <v>12</v>
      </c>
      <c r="D388" s="114" t="s">
        <v>541</v>
      </c>
      <c r="E388" s="120" t="s">
        <v>537</v>
      </c>
      <c r="F388" s="114" t="s">
        <v>752</v>
      </c>
      <c r="G388" s="121" t="s">
        <v>1427</v>
      </c>
      <c r="H388" s="265" t="s">
        <v>932</v>
      </c>
      <c r="I388" s="219"/>
      <c r="J388" s="219" t="s">
        <v>837</v>
      </c>
      <c r="K388" s="73"/>
    </row>
    <row r="389" spans="1:11" x14ac:dyDescent="0.25">
      <c r="A389" s="219">
        <v>6857823</v>
      </c>
      <c r="B389" s="114" t="s">
        <v>23</v>
      </c>
      <c r="C389" s="114" t="s">
        <v>12</v>
      </c>
      <c r="D389" s="114" t="s">
        <v>659</v>
      </c>
      <c r="E389" s="120" t="s">
        <v>533</v>
      </c>
      <c r="F389" s="114" t="s">
        <v>752</v>
      </c>
      <c r="G389" s="121" t="s">
        <v>1427</v>
      </c>
      <c r="H389" s="265" t="s">
        <v>932</v>
      </c>
      <c r="I389" s="219"/>
      <c r="J389" s="219" t="s">
        <v>837</v>
      </c>
      <c r="K389" s="73"/>
    </row>
    <row r="390" spans="1:11" x14ac:dyDescent="0.25">
      <c r="A390" s="219">
        <v>6866189</v>
      </c>
      <c r="B390" s="114" t="s">
        <v>365</v>
      </c>
      <c r="C390" s="114" t="s">
        <v>12</v>
      </c>
      <c r="D390" s="114" t="s">
        <v>575</v>
      </c>
      <c r="E390" s="120" t="s">
        <v>533</v>
      </c>
      <c r="F390" s="114" t="s">
        <v>752</v>
      </c>
      <c r="G390" s="121" t="s">
        <v>1427</v>
      </c>
      <c r="H390" s="265" t="s">
        <v>932</v>
      </c>
      <c r="I390" s="219"/>
      <c r="J390" s="219" t="s">
        <v>835</v>
      </c>
      <c r="K390" s="73"/>
    </row>
    <row r="391" spans="1:11" x14ac:dyDescent="0.25">
      <c r="A391" s="219">
        <v>6892033</v>
      </c>
      <c r="B391" s="114" t="s">
        <v>366</v>
      </c>
      <c r="C391" s="114" t="s">
        <v>12</v>
      </c>
      <c r="D391" s="114" t="s">
        <v>565</v>
      </c>
      <c r="E391" s="120" t="s">
        <v>537</v>
      </c>
      <c r="F391" s="114" t="s">
        <v>752</v>
      </c>
      <c r="G391" s="121" t="s">
        <v>1427</v>
      </c>
      <c r="H391" s="265" t="s">
        <v>932</v>
      </c>
      <c r="I391" s="219"/>
      <c r="J391" s="219" t="s">
        <v>839</v>
      </c>
      <c r="K391" s="73"/>
    </row>
    <row r="392" spans="1:11" x14ac:dyDescent="0.25">
      <c r="A392" s="219">
        <v>6969577</v>
      </c>
      <c r="B392" s="114" t="s">
        <v>370</v>
      </c>
      <c r="C392" s="114" t="s">
        <v>12</v>
      </c>
      <c r="D392" s="114" t="s">
        <v>565</v>
      </c>
      <c r="E392" s="120" t="s">
        <v>537</v>
      </c>
      <c r="F392" s="114" t="s">
        <v>748</v>
      </c>
      <c r="G392" s="121" t="s">
        <v>1427</v>
      </c>
      <c r="H392" s="265" t="s">
        <v>932</v>
      </c>
      <c r="I392" s="219"/>
      <c r="J392" s="219" t="s">
        <v>837</v>
      </c>
      <c r="K392" s="73"/>
    </row>
    <row r="393" spans="1:11" x14ac:dyDescent="0.25">
      <c r="A393" s="219">
        <v>7092124</v>
      </c>
      <c r="B393" s="114" t="s">
        <v>24</v>
      </c>
      <c r="C393" s="114" t="s">
        <v>12</v>
      </c>
      <c r="D393" s="114" t="s">
        <v>564</v>
      </c>
      <c r="E393" s="120" t="s">
        <v>533</v>
      </c>
      <c r="F393" s="114" t="s">
        <v>752</v>
      </c>
      <c r="G393" s="121" t="s">
        <v>1427</v>
      </c>
      <c r="H393" s="265" t="s">
        <v>932</v>
      </c>
      <c r="I393" s="219"/>
      <c r="J393" s="219" t="s">
        <v>839</v>
      </c>
      <c r="K393" s="73"/>
    </row>
    <row r="394" spans="1:11" x14ac:dyDescent="0.25">
      <c r="A394" s="219">
        <v>7710715</v>
      </c>
      <c r="B394" s="114" t="s">
        <v>371</v>
      </c>
      <c r="C394" s="114" t="s">
        <v>12</v>
      </c>
      <c r="D394" s="114" t="s">
        <v>564</v>
      </c>
      <c r="E394" s="120" t="s">
        <v>533</v>
      </c>
      <c r="F394" s="114" t="s">
        <v>752</v>
      </c>
      <c r="G394" s="121" t="s">
        <v>1427</v>
      </c>
      <c r="H394" s="265" t="s">
        <v>932</v>
      </c>
      <c r="I394" s="219"/>
      <c r="J394" s="219"/>
      <c r="K394" s="73"/>
    </row>
    <row r="395" spans="1:11" x14ac:dyDescent="0.25">
      <c r="A395" s="219">
        <v>7948797</v>
      </c>
      <c r="B395" s="114" t="s">
        <v>372</v>
      </c>
      <c r="C395" s="114" t="s">
        <v>12</v>
      </c>
      <c r="D395" s="114" t="s">
        <v>540</v>
      </c>
      <c r="E395" s="120" t="s">
        <v>537</v>
      </c>
      <c r="F395" s="114" t="s">
        <v>752</v>
      </c>
      <c r="G395" s="121" t="s">
        <v>1427</v>
      </c>
      <c r="H395" s="265" t="s">
        <v>932</v>
      </c>
      <c r="I395" s="219"/>
      <c r="J395" s="219" t="s">
        <v>837</v>
      </c>
      <c r="K395" s="73"/>
    </row>
    <row r="396" spans="1:11" x14ac:dyDescent="0.25">
      <c r="A396" s="219">
        <v>8040854</v>
      </c>
      <c r="B396" s="114" t="s">
        <v>373</v>
      </c>
      <c r="C396" s="114" t="s">
        <v>12</v>
      </c>
      <c r="D396" s="114" t="s">
        <v>540</v>
      </c>
      <c r="E396" s="120" t="s">
        <v>537</v>
      </c>
      <c r="F396" s="114" t="s">
        <v>752</v>
      </c>
      <c r="G396" s="121" t="s">
        <v>1427</v>
      </c>
      <c r="H396" s="265" t="s">
        <v>932</v>
      </c>
      <c r="I396" s="219"/>
      <c r="J396" s="219" t="s">
        <v>835</v>
      </c>
      <c r="K396" s="73"/>
    </row>
    <row r="397" spans="1:11" x14ac:dyDescent="0.25">
      <c r="A397" s="219">
        <v>8643689</v>
      </c>
      <c r="B397" s="114" t="s">
        <v>374</v>
      </c>
      <c r="C397" s="114" t="s">
        <v>12</v>
      </c>
      <c r="D397" s="114" t="s">
        <v>541</v>
      </c>
      <c r="E397" s="120" t="s">
        <v>537</v>
      </c>
      <c r="F397" s="114" t="s">
        <v>752</v>
      </c>
      <c r="G397" s="121" t="s">
        <v>1427</v>
      </c>
      <c r="H397" s="265" t="s">
        <v>932</v>
      </c>
      <c r="I397" s="219"/>
      <c r="J397" s="219" t="s">
        <v>837</v>
      </c>
      <c r="K397" s="73"/>
    </row>
    <row r="398" spans="1:11" x14ac:dyDescent="0.25">
      <c r="A398" s="219">
        <v>9062557</v>
      </c>
      <c r="B398" s="114" t="s">
        <v>702</v>
      </c>
      <c r="C398" s="114" t="s">
        <v>12</v>
      </c>
      <c r="D398" s="114" t="s">
        <v>564</v>
      </c>
      <c r="E398" s="120" t="s">
        <v>533</v>
      </c>
      <c r="F398" s="114" t="s">
        <v>752</v>
      </c>
      <c r="G398" s="121" t="s">
        <v>1427</v>
      </c>
      <c r="H398" s="265" t="s">
        <v>932</v>
      </c>
      <c r="I398" s="219"/>
      <c r="J398" s="219" t="s">
        <v>837</v>
      </c>
      <c r="K398" s="73"/>
    </row>
    <row r="399" spans="1:11" x14ac:dyDescent="0.25">
      <c r="A399" s="219">
        <v>9416185</v>
      </c>
      <c r="B399" s="114" t="s">
        <v>377</v>
      </c>
      <c r="C399" s="114" t="s">
        <v>12</v>
      </c>
      <c r="D399" s="114" t="s">
        <v>566</v>
      </c>
      <c r="E399" s="120" t="s">
        <v>537</v>
      </c>
      <c r="F399" s="114" t="s">
        <v>752</v>
      </c>
      <c r="G399" s="121" t="s">
        <v>1427</v>
      </c>
      <c r="H399" s="265" t="s">
        <v>932</v>
      </c>
      <c r="I399" s="219"/>
      <c r="J399" s="219" t="s">
        <v>835</v>
      </c>
      <c r="K399" s="73"/>
    </row>
    <row r="400" spans="1:11" x14ac:dyDescent="0.25">
      <c r="A400" s="219">
        <v>9482632</v>
      </c>
      <c r="B400" s="114" t="s">
        <v>378</v>
      </c>
      <c r="C400" s="114" t="s">
        <v>12</v>
      </c>
      <c r="D400" s="114" t="s">
        <v>565</v>
      </c>
      <c r="E400" s="120" t="s">
        <v>537</v>
      </c>
      <c r="F400" s="114" t="s">
        <v>696</v>
      </c>
      <c r="G400" s="121" t="s">
        <v>1427</v>
      </c>
      <c r="H400" s="265" t="s">
        <v>932</v>
      </c>
      <c r="I400" s="219"/>
      <c r="J400" s="219"/>
      <c r="K400" s="73"/>
    </row>
    <row r="401" spans="1:11" x14ac:dyDescent="0.25">
      <c r="A401" s="219">
        <v>9489511</v>
      </c>
      <c r="B401" s="114" t="s">
        <v>379</v>
      </c>
      <c r="C401" s="114" t="s">
        <v>12</v>
      </c>
      <c r="D401" s="114" t="s">
        <v>570</v>
      </c>
      <c r="E401" s="120" t="s">
        <v>537</v>
      </c>
      <c r="F401" s="114" t="s">
        <v>752</v>
      </c>
      <c r="G401" s="121" t="s">
        <v>1427</v>
      </c>
      <c r="H401" s="265" t="s">
        <v>932</v>
      </c>
      <c r="I401" s="219"/>
      <c r="J401" s="219"/>
      <c r="K401" s="73"/>
    </row>
    <row r="402" spans="1:11" x14ac:dyDescent="0.25">
      <c r="A402" s="219">
        <v>9936017</v>
      </c>
      <c r="B402" s="114" t="s">
        <v>43</v>
      </c>
      <c r="C402" s="114" t="s">
        <v>12</v>
      </c>
      <c r="D402" s="114" t="s">
        <v>539</v>
      </c>
      <c r="E402" s="120" t="s">
        <v>537</v>
      </c>
      <c r="F402" s="114" t="s">
        <v>752</v>
      </c>
      <c r="G402" s="121" t="s">
        <v>1427</v>
      </c>
      <c r="H402" s="265" t="s">
        <v>931</v>
      </c>
      <c r="I402" s="219"/>
      <c r="J402" s="219"/>
      <c r="K402" s="73"/>
    </row>
    <row r="403" spans="1:11" x14ac:dyDescent="0.25">
      <c r="A403" s="219">
        <v>9981671</v>
      </c>
      <c r="B403" s="114" t="s">
        <v>380</v>
      </c>
      <c r="C403" s="114" t="s">
        <v>12</v>
      </c>
      <c r="D403" s="114" t="s">
        <v>576</v>
      </c>
      <c r="E403" s="120" t="s">
        <v>537</v>
      </c>
      <c r="F403" s="114" t="s">
        <v>752</v>
      </c>
      <c r="G403" s="121" t="s">
        <v>1427</v>
      </c>
      <c r="H403" s="265" t="s">
        <v>931</v>
      </c>
      <c r="I403" s="219"/>
      <c r="J403" s="219" t="s">
        <v>835</v>
      </c>
      <c r="K403" s="73"/>
    </row>
    <row r="404" spans="1:11" x14ac:dyDescent="0.25">
      <c r="A404" s="219">
        <v>10352406</v>
      </c>
      <c r="B404" s="114" t="s">
        <v>384</v>
      </c>
      <c r="C404" s="114" t="s">
        <v>12</v>
      </c>
      <c r="D404" s="114" t="s">
        <v>565</v>
      </c>
      <c r="E404" s="120" t="s">
        <v>537</v>
      </c>
      <c r="F404" s="114" t="s">
        <v>696</v>
      </c>
      <c r="G404" s="121" t="s">
        <v>1427</v>
      </c>
      <c r="H404" s="265" t="s">
        <v>931</v>
      </c>
      <c r="I404" s="219"/>
      <c r="J404" s="219" t="s">
        <v>837</v>
      </c>
      <c r="K404" s="73"/>
    </row>
    <row r="405" spans="1:11" x14ac:dyDescent="0.25">
      <c r="A405" s="219">
        <v>10508040</v>
      </c>
      <c r="B405" s="114" t="s">
        <v>386</v>
      </c>
      <c r="C405" s="114" t="s">
        <v>12</v>
      </c>
      <c r="D405" s="114" t="s">
        <v>577</v>
      </c>
      <c r="E405" s="120" t="s">
        <v>537</v>
      </c>
      <c r="F405" s="114" t="s">
        <v>752</v>
      </c>
      <c r="G405" s="121" t="s">
        <v>1427</v>
      </c>
      <c r="H405" s="265" t="s">
        <v>932</v>
      </c>
      <c r="I405" s="219"/>
      <c r="J405" s="219" t="s">
        <v>839</v>
      </c>
      <c r="K405" s="73"/>
    </row>
    <row r="406" spans="1:11" x14ac:dyDescent="0.25">
      <c r="A406" s="219">
        <v>10540917</v>
      </c>
      <c r="B406" s="114" t="s">
        <v>387</v>
      </c>
      <c r="C406" s="114" t="s">
        <v>12</v>
      </c>
      <c r="D406" s="114" t="s">
        <v>888</v>
      </c>
      <c r="E406" s="120" t="s">
        <v>537</v>
      </c>
      <c r="F406" s="114" t="s">
        <v>697</v>
      </c>
      <c r="G406" s="121" t="s">
        <v>1427</v>
      </c>
      <c r="H406" s="265" t="s">
        <v>931</v>
      </c>
      <c r="I406" s="219"/>
      <c r="J406" s="219"/>
      <c r="K406" s="73"/>
    </row>
    <row r="407" spans="1:11" x14ac:dyDescent="0.25">
      <c r="A407" s="219">
        <v>10788651</v>
      </c>
      <c r="B407" s="114" t="s">
        <v>388</v>
      </c>
      <c r="C407" s="114" t="s">
        <v>12</v>
      </c>
      <c r="D407" s="114" t="s">
        <v>568</v>
      </c>
      <c r="E407" s="120" t="s">
        <v>537</v>
      </c>
      <c r="F407" s="114" t="s">
        <v>751</v>
      </c>
      <c r="G407" s="121" t="s">
        <v>1427</v>
      </c>
      <c r="H407" s="265" t="s">
        <v>932</v>
      </c>
      <c r="I407" s="219"/>
      <c r="J407" s="219" t="s">
        <v>838</v>
      </c>
      <c r="K407" s="73"/>
    </row>
    <row r="408" spans="1:11" x14ac:dyDescent="0.25">
      <c r="A408" s="219">
        <v>10793044</v>
      </c>
      <c r="B408" s="114" t="s">
        <v>389</v>
      </c>
      <c r="C408" s="114" t="s">
        <v>12</v>
      </c>
      <c r="D408" s="114" t="s">
        <v>569</v>
      </c>
      <c r="E408" s="120" t="s">
        <v>537</v>
      </c>
      <c r="F408" s="114" t="s">
        <v>752</v>
      </c>
      <c r="G408" s="121" t="s">
        <v>1427</v>
      </c>
      <c r="H408" s="265" t="s">
        <v>932</v>
      </c>
      <c r="I408" s="219"/>
      <c r="J408" s="219"/>
      <c r="K408" s="73"/>
    </row>
    <row r="409" spans="1:11" x14ac:dyDescent="0.25">
      <c r="A409" s="219">
        <v>10817641</v>
      </c>
      <c r="B409" s="114" t="s">
        <v>390</v>
      </c>
      <c r="C409" s="114" t="s">
        <v>12</v>
      </c>
      <c r="D409" s="114" t="s">
        <v>574</v>
      </c>
      <c r="E409" s="120" t="s">
        <v>537</v>
      </c>
      <c r="F409" s="114" t="s">
        <v>696</v>
      </c>
      <c r="G409" s="121" t="s">
        <v>1427</v>
      </c>
      <c r="H409" s="265" t="s">
        <v>932</v>
      </c>
      <c r="I409" s="219"/>
      <c r="J409" s="219"/>
      <c r="K409" s="73"/>
    </row>
    <row r="410" spans="1:11" x14ac:dyDescent="0.25">
      <c r="A410" s="219">
        <v>10872124</v>
      </c>
      <c r="B410" s="114" t="s">
        <v>391</v>
      </c>
      <c r="C410" s="114" t="s">
        <v>12</v>
      </c>
      <c r="D410" s="114" t="s">
        <v>540</v>
      </c>
      <c r="E410" s="120" t="s">
        <v>537</v>
      </c>
      <c r="F410" s="114" t="s">
        <v>752</v>
      </c>
      <c r="G410" s="121" t="s">
        <v>1427</v>
      </c>
      <c r="H410" s="265" t="s">
        <v>932</v>
      </c>
      <c r="I410" s="219"/>
      <c r="J410" s="219" t="s">
        <v>837</v>
      </c>
      <c r="K410" s="73"/>
    </row>
    <row r="411" spans="1:11" x14ac:dyDescent="0.25">
      <c r="A411" s="219">
        <v>10888973</v>
      </c>
      <c r="B411" s="114" t="s">
        <v>392</v>
      </c>
      <c r="C411" s="114" t="s">
        <v>12</v>
      </c>
      <c r="D411" s="114" t="s">
        <v>565</v>
      </c>
      <c r="E411" s="120" t="s">
        <v>537</v>
      </c>
      <c r="F411" s="114" t="s">
        <v>696</v>
      </c>
      <c r="G411" s="121" t="s">
        <v>1427</v>
      </c>
      <c r="H411" s="265" t="s">
        <v>932</v>
      </c>
      <c r="I411" s="219"/>
      <c r="J411" s="219" t="s">
        <v>839</v>
      </c>
      <c r="K411" s="73"/>
    </row>
    <row r="412" spans="1:11" x14ac:dyDescent="0.25">
      <c r="A412" s="219">
        <v>11026079</v>
      </c>
      <c r="B412" s="114" t="s">
        <v>393</v>
      </c>
      <c r="C412" s="114" t="s">
        <v>12</v>
      </c>
      <c r="D412" s="114" t="s">
        <v>571</v>
      </c>
      <c r="E412" s="120" t="s">
        <v>537</v>
      </c>
      <c r="F412" s="114" t="s">
        <v>752</v>
      </c>
      <c r="G412" s="121" t="s">
        <v>1427</v>
      </c>
      <c r="H412" s="265" t="s">
        <v>932</v>
      </c>
      <c r="I412" s="219"/>
      <c r="J412" s="219" t="s">
        <v>835</v>
      </c>
      <c r="K412" s="73"/>
    </row>
    <row r="413" spans="1:11" x14ac:dyDescent="0.25">
      <c r="A413" s="219">
        <v>11037153</v>
      </c>
      <c r="B413" s="114" t="s">
        <v>394</v>
      </c>
      <c r="C413" s="114" t="s">
        <v>12</v>
      </c>
      <c r="D413" s="114" t="s">
        <v>574</v>
      </c>
      <c r="E413" s="120" t="s">
        <v>537</v>
      </c>
      <c r="F413" s="114" t="s">
        <v>696</v>
      </c>
      <c r="G413" s="121" t="s">
        <v>1427</v>
      </c>
      <c r="H413" s="265" t="s">
        <v>932</v>
      </c>
      <c r="I413" s="219"/>
      <c r="J413" s="219" t="s">
        <v>907</v>
      </c>
      <c r="K413" s="73"/>
    </row>
    <row r="414" spans="1:11" x14ac:dyDescent="0.25">
      <c r="A414" s="219">
        <v>11055142</v>
      </c>
      <c r="B414" s="114" t="s">
        <v>397</v>
      </c>
      <c r="C414" s="114" t="s">
        <v>12</v>
      </c>
      <c r="D414" s="114" t="s">
        <v>574</v>
      </c>
      <c r="E414" s="120" t="s">
        <v>537</v>
      </c>
      <c r="F414" s="114" t="s">
        <v>696</v>
      </c>
      <c r="G414" s="121" t="s">
        <v>1427</v>
      </c>
      <c r="H414" s="265" t="s">
        <v>932</v>
      </c>
      <c r="I414" s="219"/>
      <c r="J414" s="219" t="s">
        <v>840</v>
      </c>
      <c r="K414" s="73"/>
    </row>
    <row r="415" spans="1:11" x14ac:dyDescent="0.25">
      <c r="A415" s="219">
        <v>11095271</v>
      </c>
      <c r="B415" s="114" t="s">
        <v>398</v>
      </c>
      <c r="C415" s="114" t="s">
        <v>12</v>
      </c>
      <c r="D415" s="114" t="s">
        <v>576</v>
      </c>
      <c r="E415" s="120" t="s">
        <v>537</v>
      </c>
      <c r="F415" s="114" t="s">
        <v>752</v>
      </c>
      <c r="G415" s="121" t="s">
        <v>1427</v>
      </c>
      <c r="H415" s="265" t="s">
        <v>931</v>
      </c>
      <c r="I415" s="219"/>
      <c r="J415" s="219" t="s">
        <v>838</v>
      </c>
      <c r="K415" s="73"/>
    </row>
    <row r="416" spans="1:11" x14ac:dyDescent="0.25">
      <c r="A416" s="219">
        <v>11157851</v>
      </c>
      <c r="B416" s="114" t="s">
        <v>399</v>
      </c>
      <c r="C416" s="114" t="s">
        <v>12</v>
      </c>
      <c r="D416" s="114" t="s">
        <v>565</v>
      </c>
      <c r="E416" s="120" t="s">
        <v>537</v>
      </c>
      <c r="F416" s="114" t="s">
        <v>755</v>
      </c>
      <c r="G416" s="121" t="s">
        <v>1427</v>
      </c>
      <c r="H416" s="265" t="s">
        <v>932</v>
      </c>
      <c r="I416" s="219"/>
      <c r="J416" s="219"/>
      <c r="K416" s="73"/>
    </row>
    <row r="417" spans="1:16" x14ac:dyDescent="0.25">
      <c r="A417" s="219">
        <v>11413554</v>
      </c>
      <c r="B417" s="114" t="s">
        <v>400</v>
      </c>
      <c r="C417" s="114" t="s">
        <v>12</v>
      </c>
      <c r="D417" s="114" t="s">
        <v>540</v>
      </c>
      <c r="E417" s="120" t="s">
        <v>537</v>
      </c>
      <c r="F417" s="114" t="s">
        <v>752</v>
      </c>
      <c r="G417" s="121" t="s">
        <v>1427</v>
      </c>
      <c r="H417" s="265" t="s">
        <v>932</v>
      </c>
      <c r="I417" s="219"/>
      <c r="J417" s="219"/>
      <c r="K417" s="73"/>
    </row>
    <row r="418" spans="1:16" x14ac:dyDescent="0.25">
      <c r="A418" s="219">
        <v>11500724</v>
      </c>
      <c r="B418" s="114" t="s">
        <v>401</v>
      </c>
      <c r="C418" s="114" t="s">
        <v>12</v>
      </c>
      <c r="D418" s="114" t="s">
        <v>565</v>
      </c>
      <c r="E418" s="120" t="s">
        <v>537</v>
      </c>
      <c r="F418" s="114" t="s">
        <v>697</v>
      </c>
      <c r="G418" s="121" t="s">
        <v>1427</v>
      </c>
      <c r="H418" s="265" t="s">
        <v>932</v>
      </c>
      <c r="I418" s="219"/>
      <c r="J418" s="219" t="s">
        <v>839</v>
      </c>
      <c r="K418" s="73"/>
    </row>
    <row r="419" spans="1:16" x14ac:dyDescent="0.25">
      <c r="A419" s="219">
        <v>11604283</v>
      </c>
      <c r="B419" s="114" t="s">
        <v>402</v>
      </c>
      <c r="C419" s="114" t="s">
        <v>12</v>
      </c>
      <c r="D419" s="114" t="s">
        <v>565</v>
      </c>
      <c r="E419" s="120" t="s">
        <v>537</v>
      </c>
      <c r="F419" s="114" t="s">
        <v>697</v>
      </c>
      <c r="G419" s="121" t="s">
        <v>1427</v>
      </c>
      <c r="H419" s="265" t="s">
        <v>932</v>
      </c>
      <c r="I419" s="219"/>
      <c r="J419" s="219"/>
      <c r="K419" s="73"/>
    </row>
    <row r="420" spans="1:16" x14ac:dyDescent="0.25">
      <c r="A420" s="219">
        <v>11921508</v>
      </c>
      <c r="B420" s="114" t="s">
        <v>45</v>
      </c>
      <c r="C420" s="114" t="s">
        <v>12</v>
      </c>
      <c r="D420" s="114" t="s">
        <v>566</v>
      </c>
      <c r="E420" s="120" t="s">
        <v>537</v>
      </c>
      <c r="F420" s="114" t="s">
        <v>752</v>
      </c>
      <c r="G420" s="121" t="s">
        <v>1427</v>
      </c>
      <c r="H420" s="265" t="s">
        <v>932</v>
      </c>
      <c r="I420" s="219"/>
      <c r="J420" s="219"/>
      <c r="K420" s="73"/>
    </row>
    <row r="421" spans="1:16" x14ac:dyDescent="0.25">
      <c r="A421" s="219">
        <v>11944937</v>
      </c>
      <c r="B421" s="114" t="s">
        <v>404</v>
      </c>
      <c r="C421" s="114" t="s">
        <v>12</v>
      </c>
      <c r="D421" s="114" t="s">
        <v>566</v>
      </c>
      <c r="E421" s="120" t="s">
        <v>537</v>
      </c>
      <c r="F421" s="114" t="s">
        <v>752</v>
      </c>
      <c r="G421" s="121" t="s">
        <v>1427</v>
      </c>
      <c r="H421" s="265" t="s">
        <v>932</v>
      </c>
      <c r="I421" s="219"/>
      <c r="J421" s="219" t="s">
        <v>837</v>
      </c>
      <c r="K421" s="73"/>
    </row>
    <row r="422" spans="1:16" x14ac:dyDescent="0.25">
      <c r="A422" s="219">
        <v>11994919</v>
      </c>
      <c r="B422" s="114" t="s">
        <v>406</v>
      </c>
      <c r="C422" s="114" t="s">
        <v>12</v>
      </c>
      <c r="D422" s="114" t="s">
        <v>541</v>
      </c>
      <c r="E422" s="120" t="s">
        <v>537</v>
      </c>
      <c r="F422" s="114" t="s">
        <v>752</v>
      </c>
      <c r="G422" s="121" t="s">
        <v>1427</v>
      </c>
      <c r="H422" s="265" t="s">
        <v>932</v>
      </c>
      <c r="I422" s="219"/>
      <c r="J422" s="219" t="s">
        <v>838</v>
      </c>
      <c r="K422" s="73"/>
    </row>
    <row r="423" spans="1:16" s="3" customFormat="1" x14ac:dyDescent="0.25">
      <c r="A423" s="219">
        <v>12287719</v>
      </c>
      <c r="B423" s="114" t="s">
        <v>46</v>
      </c>
      <c r="C423" s="114" t="s">
        <v>12</v>
      </c>
      <c r="D423" s="114" t="s">
        <v>540</v>
      </c>
      <c r="E423" s="120" t="s">
        <v>537</v>
      </c>
      <c r="F423" s="114" t="s">
        <v>752</v>
      </c>
      <c r="G423" s="121" t="s">
        <v>1427</v>
      </c>
      <c r="H423" s="265" t="s">
        <v>931</v>
      </c>
      <c r="I423" s="219"/>
      <c r="J423" s="219" t="s">
        <v>839</v>
      </c>
      <c r="K423" s="124"/>
      <c r="L423" s="124"/>
      <c r="M423" s="124"/>
      <c r="N423" s="124"/>
      <c r="O423" s="124"/>
      <c r="P423" s="124"/>
    </row>
    <row r="424" spans="1:16" x14ac:dyDescent="0.25">
      <c r="A424" s="219">
        <v>12616767</v>
      </c>
      <c r="B424" s="114" t="s">
        <v>410</v>
      </c>
      <c r="C424" s="114" t="s">
        <v>12</v>
      </c>
      <c r="D424" s="114" t="s">
        <v>565</v>
      </c>
      <c r="E424" s="120" t="s">
        <v>537</v>
      </c>
      <c r="F424" s="114" t="s">
        <v>696</v>
      </c>
      <c r="G424" s="121" t="s">
        <v>1427</v>
      </c>
      <c r="H424" s="265" t="s">
        <v>932</v>
      </c>
      <c r="I424" s="219"/>
      <c r="J424" s="219"/>
      <c r="K424" s="73"/>
    </row>
    <row r="425" spans="1:16" x14ac:dyDescent="0.25">
      <c r="A425" s="219">
        <v>12685537</v>
      </c>
      <c r="B425" s="114" t="s">
        <v>411</v>
      </c>
      <c r="C425" s="114" t="s">
        <v>12</v>
      </c>
      <c r="D425" s="114" t="s">
        <v>565</v>
      </c>
      <c r="E425" s="120" t="s">
        <v>537</v>
      </c>
      <c r="F425" s="114" t="s">
        <v>697</v>
      </c>
      <c r="G425" s="121" t="s">
        <v>1427</v>
      </c>
      <c r="H425" s="265" t="s">
        <v>932</v>
      </c>
      <c r="I425" s="219"/>
      <c r="J425" s="219" t="s">
        <v>839</v>
      </c>
      <c r="K425" s="73"/>
    </row>
    <row r="426" spans="1:16" x14ac:dyDescent="0.25">
      <c r="A426" s="219">
        <v>12878671</v>
      </c>
      <c r="B426" s="114" t="s">
        <v>413</v>
      </c>
      <c r="C426" s="114" t="s">
        <v>12</v>
      </c>
      <c r="D426" s="114" t="s">
        <v>567</v>
      </c>
      <c r="E426" s="120" t="s">
        <v>537</v>
      </c>
      <c r="F426" s="114" t="s">
        <v>696</v>
      </c>
      <c r="G426" s="121" t="s">
        <v>1427</v>
      </c>
      <c r="H426" s="265" t="s">
        <v>931</v>
      </c>
      <c r="I426" s="219"/>
      <c r="J426" s="219" t="s">
        <v>907</v>
      </c>
      <c r="K426" s="73"/>
    </row>
    <row r="427" spans="1:16" x14ac:dyDescent="0.25">
      <c r="A427" s="219">
        <v>13159270</v>
      </c>
      <c r="B427" s="114" t="s">
        <v>415</v>
      </c>
      <c r="C427" s="114" t="s">
        <v>12</v>
      </c>
      <c r="D427" s="114" t="s">
        <v>565</v>
      </c>
      <c r="E427" s="120" t="s">
        <v>537</v>
      </c>
      <c r="F427" s="114" t="s">
        <v>696</v>
      </c>
      <c r="G427" s="121" t="s">
        <v>1427</v>
      </c>
      <c r="H427" s="265" t="s">
        <v>932</v>
      </c>
      <c r="I427" s="219"/>
      <c r="J427" s="219" t="s">
        <v>836</v>
      </c>
      <c r="K427" s="73"/>
    </row>
    <row r="428" spans="1:16" x14ac:dyDescent="0.25">
      <c r="A428" s="219">
        <v>13247814</v>
      </c>
      <c r="B428" s="114" t="s">
        <v>647</v>
      </c>
      <c r="C428" s="114" t="s">
        <v>12</v>
      </c>
      <c r="D428" s="114" t="s">
        <v>888</v>
      </c>
      <c r="E428" s="120" t="s">
        <v>537</v>
      </c>
      <c r="F428" s="114" t="s">
        <v>752</v>
      </c>
      <c r="G428" s="121" t="s">
        <v>1427</v>
      </c>
      <c r="H428" s="265" t="s">
        <v>932</v>
      </c>
      <c r="I428" s="219"/>
      <c r="J428" s="219" t="s">
        <v>835</v>
      </c>
      <c r="K428" s="73"/>
    </row>
    <row r="429" spans="1:16" x14ac:dyDescent="0.25">
      <c r="A429" s="219">
        <v>13319654</v>
      </c>
      <c r="B429" s="114" t="s">
        <v>47</v>
      </c>
      <c r="C429" s="114" t="s">
        <v>12</v>
      </c>
      <c r="D429" s="114" t="s">
        <v>540</v>
      </c>
      <c r="E429" s="120" t="s">
        <v>537</v>
      </c>
      <c r="F429" s="114" t="s">
        <v>752</v>
      </c>
      <c r="G429" s="121" t="s">
        <v>1427</v>
      </c>
      <c r="H429" s="265" t="s">
        <v>932</v>
      </c>
      <c r="I429" s="219"/>
      <c r="J429" s="219" t="s">
        <v>836</v>
      </c>
      <c r="K429" s="73"/>
    </row>
    <row r="430" spans="1:16" x14ac:dyDescent="0.25">
      <c r="A430" s="219">
        <v>13537176</v>
      </c>
      <c r="B430" s="114" t="s">
        <v>418</v>
      </c>
      <c r="C430" s="114" t="s">
        <v>12</v>
      </c>
      <c r="D430" s="114" t="s">
        <v>564</v>
      </c>
      <c r="E430" s="120" t="s">
        <v>533</v>
      </c>
      <c r="F430" s="114" t="s">
        <v>752</v>
      </c>
      <c r="G430" s="121" t="s">
        <v>1427</v>
      </c>
      <c r="H430" s="265" t="s">
        <v>932</v>
      </c>
      <c r="I430" s="219"/>
      <c r="J430" s="219" t="s">
        <v>839</v>
      </c>
      <c r="K430" s="73"/>
    </row>
    <row r="431" spans="1:16" x14ac:dyDescent="0.25">
      <c r="A431" s="219">
        <v>13538469</v>
      </c>
      <c r="B431" s="114" t="s">
        <v>48</v>
      </c>
      <c r="C431" s="114" t="s">
        <v>12</v>
      </c>
      <c r="D431" s="114" t="s">
        <v>565</v>
      </c>
      <c r="E431" s="120" t="s">
        <v>537</v>
      </c>
      <c r="F431" s="114" t="s">
        <v>696</v>
      </c>
      <c r="G431" s="121" t="s">
        <v>1427</v>
      </c>
      <c r="H431" s="265" t="s">
        <v>932</v>
      </c>
      <c r="I431" s="219"/>
      <c r="J431" s="219"/>
      <c r="K431" s="73"/>
    </row>
    <row r="432" spans="1:16" x14ac:dyDescent="0.25">
      <c r="A432" s="219">
        <v>13548201</v>
      </c>
      <c r="B432" s="114" t="s">
        <v>419</v>
      </c>
      <c r="C432" s="114" t="s">
        <v>12</v>
      </c>
      <c r="D432" s="114" t="s">
        <v>574</v>
      </c>
      <c r="E432" s="120" t="s">
        <v>537</v>
      </c>
      <c r="F432" s="114" t="s">
        <v>696</v>
      </c>
      <c r="G432" s="121" t="s">
        <v>1427</v>
      </c>
      <c r="H432" s="265" t="s">
        <v>932</v>
      </c>
      <c r="I432" s="219"/>
      <c r="J432" s="219" t="s">
        <v>907</v>
      </c>
      <c r="K432" s="73"/>
    </row>
    <row r="433" spans="1:11" x14ac:dyDescent="0.25">
      <c r="A433" s="219">
        <v>13615404</v>
      </c>
      <c r="B433" s="114" t="s">
        <v>420</v>
      </c>
      <c r="C433" s="114" t="s">
        <v>12</v>
      </c>
      <c r="D433" s="114" t="s">
        <v>569</v>
      </c>
      <c r="E433" s="120" t="s">
        <v>537</v>
      </c>
      <c r="F433" s="114" t="s">
        <v>752</v>
      </c>
      <c r="G433" s="121" t="s">
        <v>1427</v>
      </c>
      <c r="H433" s="265" t="s">
        <v>932</v>
      </c>
      <c r="I433" s="219"/>
      <c r="J433" s="219"/>
      <c r="K433" s="73"/>
    </row>
    <row r="434" spans="1:11" x14ac:dyDescent="0.25">
      <c r="A434" s="219">
        <v>13631359</v>
      </c>
      <c r="B434" s="114" t="s">
        <v>50</v>
      </c>
      <c r="C434" s="114" t="s">
        <v>12</v>
      </c>
      <c r="D434" s="114" t="s">
        <v>539</v>
      </c>
      <c r="E434" s="120" t="s">
        <v>537</v>
      </c>
      <c r="F434" s="114" t="s">
        <v>752</v>
      </c>
      <c r="G434" s="121" t="s">
        <v>1427</v>
      </c>
      <c r="H434" s="265" t="s">
        <v>932</v>
      </c>
      <c r="I434" s="219"/>
      <c r="J434" s="219"/>
      <c r="K434" s="73"/>
    </row>
    <row r="435" spans="1:11" x14ac:dyDescent="0.25">
      <c r="A435" s="219">
        <v>13686358</v>
      </c>
      <c r="B435" s="114" t="s">
        <v>422</v>
      </c>
      <c r="C435" s="114" t="s">
        <v>12</v>
      </c>
      <c r="D435" s="114" t="s">
        <v>567</v>
      </c>
      <c r="E435" s="120" t="s">
        <v>537</v>
      </c>
      <c r="F435" s="114" t="s">
        <v>752</v>
      </c>
      <c r="G435" s="121" t="s">
        <v>1427</v>
      </c>
      <c r="H435" s="265" t="s">
        <v>932</v>
      </c>
      <c r="I435" s="219"/>
      <c r="J435" s="219"/>
      <c r="K435" s="73"/>
    </row>
    <row r="436" spans="1:11" x14ac:dyDescent="0.25">
      <c r="A436" s="219">
        <v>13717013</v>
      </c>
      <c r="B436" s="114" t="s">
        <v>51</v>
      </c>
      <c r="C436" s="114" t="s">
        <v>12</v>
      </c>
      <c r="D436" s="114" t="s">
        <v>540</v>
      </c>
      <c r="E436" s="120" t="s">
        <v>533</v>
      </c>
      <c r="F436" s="114" t="s">
        <v>752</v>
      </c>
      <c r="G436" s="121" t="s">
        <v>1427</v>
      </c>
      <c r="H436" s="265" t="s">
        <v>931</v>
      </c>
      <c r="I436" s="219"/>
      <c r="J436" s="219" t="s">
        <v>835</v>
      </c>
      <c r="K436" s="73"/>
    </row>
    <row r="437" spans="1:11" x14ac:dyDescent="0.25">
      <c r="A437" s="219">
        <v>13871581</v>
      </c>
      <c r="B437" s="114" t="s">
        <v>425</v>
      </c>
      <c r="C437" s="114" t="s">
        <v>12</v>
      </c>
      <c r="D437" s="114" t="s">
        <v>565</v>
      </c>
      <c r="E437" s="120" t="s">
        <v>537</v>
      </c>
      <c r="F437" s="114" t="s">
        <v>697</v>
      </c>
      <c r="G437" s="121" t="s">
        <v>1427</v>
      </c>
      <c r="H437" s="265" t="s">
        <v>932</v>
      </c>
      <c r="I437" s="219"/>
      <c r="J437" s="219" t="s">
        <v>839</v>
      </c>
      <c r="K437" s="73"/>
    </row>
    <row r="438" spans="1:11" x14ac:dyDescent="0.25">
      <c r="A438" s="219">
        <v>13885572</v>
      </c>
      <c r="B438" s="114" t="s">
        <v>427</v>
      </c>
      <c r="C438" s="114" t="s">
        <v>12</v>
      </c>
      <c r="D438" s="114" t="s">
        <v>568</v>
      </c>
      <c r="E438" s="120" t="s">
        <v>537</v>
      </c>
      <c r="F438" s="114" t="s">
        <v>697</v>
      </c>
      <c r="G438" s="121" t="s">
        <v>1427</v>
      </c>
      <c r="H438" s="265" t="s">
        <v>932</v>
      </c>
      <c r="I438" s="219"/>
      <c r="J438" s="219" t="s">
        <v>838</v>
      </c>
      <c r="K438" s="73"/>
    </row>
    <row r="439" spans="1:11" x14ac:dyDescent="0.25">
      <c r="A439" s="219">
        <v>14346582</v>
      </c>
      <c r="B439" s="114" t="s">
        <v>429</v>
      </c>
      <c r="C439" s="114" t="s">
        <v>12</v>
      </c>
      <c r="D439" s="114" t="s">
        <v>574</v>
      </c>
      <c r="E439" s="120" t="s">
        <v>537</v>
      </c>
      <c r="F439" s="114" t="s">
        <v>696</v>
      </c>
      <c r="G439" s="121" t="s">
        <v>1427</v>
      </c>
      <c r="H439" s="265" t="s">
        <v>932</v>
      </c>
      <c r="I439" s="219"/>
      <c r="J439" s="219"/>
      <c r="K439" s="73"/>
    </row>
    <row r="440" spans="1:11" x14ac:dyDescent="0.25">
      <c r="A440" s="219">
        <v>14472161</v>
      </c>
      <c r="B440" s="114" t="s">
        <v>53</v>
      </c>
      <c r="C440" s="114" t="s">
        <v>12</v>
      </c>
      <c r="D440" s="114" t="s">
        <v>568</v>
      </c>
      <c r="E440" s="120" t="s">
        <v>537</v>
      </c>
      <c r="F440" s="114" t="s">
        <v>697</v>
      </c>
      <c r="G440" s="121" t="s">
        <v>1427</v>
      </c>
      <c r="H440" s="265" t="s">
        <v>931</v>
      </c>
      <c r="I440" s="219"/>
      <c r="J440" s="219" t="s">
        <v>835</v>
      </c>
      <c r="K440" s="73"/>
    </row>
    <row r="441" spans="1:11" x14ac:dyDescent="0.25">
      <c r="A441" s="219">
        <v>14789345</v>
      </c>
      <c r="B441" s="114" t="s">
        <v>431</v>
      </c>
      <c r="C441" s="114" t="s">
        <v>12</v>
      </c>
      <c r="D441" s="114" t="s">
        <v>575</v>
      </c>
      <c r="E441" s="120" t="s">
        <v>533</v>
      </c>
      <c r="F441" s="114" t="s">
        <v>752</v>
      </c>
      <c r="G441" s="121" t="s">
        <v>1427</v>
      </c>
      <c r="H441" s="265" t="s">
        <v>932</v>
      </c>
      <c r="I441" s="219"/>
      <c r="J441" s="219"/>
      <c r="K441" s="73"/>
    </row>
    <row r="442" spans="1:11" x14ac:dyDescent="0.25">
      <c r="A442" s="219">
        <v>14992400</v>
      </c>
      <c r="B442" s="114" t="s">
        <v>433</v>
      </c>
      <c r="C442" s="114" t="s">
        <v>12</v>
      </c>
      <c r="D442" s="114" t="s">
        <v>565</v>
      </c>
      <c r="E442" s="120" t="s">
        <v>537</v>
      </c>
      <c r="F442" s="114" t="s">
        <v>755</v>
      </c>
      <c r="G442" s="121" t="s">
        <v>1427</v>
      </c>
      <c r="H442" s="265" t="s">
        <v>932</v>
      </c>
      <c r="I442" s="219"/>
      <c r="J442" s="219" t="s">
        <v>835</v>
      </c>
      <c r="K442" s="73"/>
    </row>
    <row r="443" spans="1:11" x14ac:dyDescent="0.25">
      <c r="A443" s="219">
        <v>15040130</v>
      </c>
      <c r="B443" s="114" t="s">
        <v>434</v>
      </c>
      <c r="C443" s="114" t="s">
        <v>12</v>
      </c>
      <c r="D443" s="114" t="s">
        <v>540</v>
      </c>
      <c r="E443" s="120" t="s">
        <v>537</v>
      </c>
      <c r="F443" s="114" t="s">
        <v>752</v>
      </c>
      <c r="G443" s="121" t="s">
        <v>1427</v>
      </c>
      <c r="H443" s="265" t="s">
        <v>931</v>
      </c>
      <c r="I443" s="219"/>
      <c r="J443" s="219" t="s">
        <v>839</v>
      </c>
      <c r="K443" s="73"/>
    </row>
    <row r="444" spans="1:11" x14ac:dyDescent="0.25">
      <c r="A444" s="219">
        <v>15420391</v>
      </c>
      <c r="B444" s="114" t="s">
        <v>435</v>
      </c>
      <c r="C444" s="114" t="s">
        <v>12</v>
      </c>
      <c r="D444" s="114" t="s">
        <v>580</v>
      </c>
      <c r="E444" s="120" t="s">
        <v>537</v>
      </c>
      <c r="F444" s="114" t="s">
        <v>752</v>
      </c>
      <c r="G444" s="121" t="s">
        <v>1427</v>
      </c>
      <c r="H444" s="265" t="s">
        <v>932</v>
      </c>
      <c r="I444" s="219"/>
      <c r="J444" s="219" t="s">
        <v>835</v>
      </c>
      <c r="K444" s="73"/>
    </row>
    <row r="445" spans="1:11" x14ac:dyDescent="0.25">
      <c r="A445" s="219">
        <v>15574216</v>
      </c>
      <c r="B445" s="114" t="s">
        <v>436</v>
      </c>
      <c r="C445" s="114" t="s">
        <v>12</v>
      </c>
      <c r="D445" s="114" t="s">
        <v>541</v>
      </c>
      <c r="E445" s="120" t="s">
        <v>537</v>
      </c>
      <c r="F445" s="114" t="s">
        <v>752</v>
      </c>
      <c r="G445" s="121" t="s">
        <v>1427</v>
      </c>
      <c r="H445" s="265" t="s">
        <v>932</v>
      </c>
      <c r="I445" s="219"/>
      <c r="J445" s="219" t="s">
        <v>837</v>
      </c>
    </row>
    <row r="446" spans="1:11" x14ac:dyDescent="0.25">
      <c r="A446" s="219">
        <v>15574517</v>
      </c>
      <c r="B446" s="114" t="s">
        <v>437</v>
      </c>
      <c r="C446" s="114" t="s">
        <v>12</v>
      </c>
      <c r="D446" s="114" t="s">
        <v>565</v>
      </c>
      <c r="E446" s="120" t="s">
        <v>537</v>
      </c>
      <c r="F446" s="114" t="s">
        <v>755</v>
      </c>
      <c r="G446" s="121" t="s">
        <v>1427</v>
      </c>
      <c r="H446" s="265" t="s">
        <v>932</v>
      </c>
      <c r="I446" s="219"/>
      <c r="J446" s="219"/>
    </row>
    <row r="447" spans="1:11" x14ac:dyDescent="0.25">
      <c r="A447" s="219">
        <v>15587177</v>
      </c>
      <c r="B447" s="114" t="s">
        <v>438</v>
      </c>
      <c r="C447" s="114" t="s">
        <v>12</v>
      </c>
      <c r="D447" s="114" t="s">
        <v>565</v>
      </c>
      <c r="E447" s="120" t="s">
        <v>537</v>
      </c>
      <c r="F447" s="114" t="s">
        <v>697</v>
      </c>
      <c r="G447" s="121" t="s">
        <v>1427</v>
      </c>
      <c r="H447" s="265" t="s">
        <v>932</v>
      </c>
      <c r="I447" s="219"/>
      <c r="J447" s="219"/>
    </row>
    <row r="448" spans="1:11" x14ac:dyDescent="0.25">
      <c r="A448" s="219">
        <v>16091842</v>
      </c>
      <c r="B448" s="114" t="s">
        <v>55</v>
      </c>
      <c r="C448" s="114" t="s">
        <v>12</v>
      </c>
      <c r="D448" s="114" t="s">
        <v>758</v>
      </c>
      <c r="E448" s="120" t="s">
        <v>537</v>
      </c>
      <c r="F448" s="114" t="s">
        <v>752</v>
      </c>
      <c r="G448" s="121" t="s">
        <v>1427</v>
      </c>
      <c r="H448" s="265" t="s">
        <v>931</v>
      </c>
      <c r="I448" s="219"/>
      <c r="J448" s="219" t="s">
        <v>839</v>
      </c>
    </row>
    <row r="449" spans="1:17" x14ac:dyDescent="0.25">
      <c r="A449" s="219">
        <v>16096799</v>
      </c>
      <c r="B449" s="114" t="s">
        <v>441</v>
      </c>
      <c r="C449" s="114" t="s">
        <v>12</v>
      </c>
      <c r="D449" s="114" t="s">
        <v>565</v>
      </c>
      <c r="E449" s="120" t="s">
        <v>537</v>
      </c>
      <c r="F449" s="114" t="s">
        <v>696</v>
      </c>
      <c r="G449" s="121" t="s">
        <v>1427</v>
      </c>
      <c r="H449" s="265" t="s">
        <v>932</v>
      </c>
      <c r="I449" s="219"/>
      <c r="J449" s="219" t="s">
        <v>836</v>
      </c>
    </row>
    <row r="450" spans="1:17" x14ac:dyDescent="0.25">
      <c r="A450" s="219">
        <v>16452265</v>
      </c>
      <c r="B450" s="114" t="s">
        <v>57</v>
      </c>
      <c r="C450" s="114" t="s">
        <v>12</v>
      </c>
      <c r="D450" s="114" t="s">
        <v>566</v>
      </c>
      <c r="E450" s="120" t="s">
        <v>537</v>
      </c>
      <c r="F450" s="114" t="s">
        <v>752</v>
      </c>
      <c r="G450" s="121" t="s">
        <v>1427</v>
      </c>
      <c r="H450" s="265" t="s">
        <v>932</v>
      </c>
      <c r="I450" s="219"/>
      <c r="J450" s="219"/>
    </row>
    <row r="451" spans="1:17" x14ac:dyDescent="0.25">
      <c r="A451" s="219">
        <v>16452687</v>
      </c>
      <c r="B451" s="114" t="s">
        <v>450</v>
      </c>
      <c r="C451" s="114" t="s">
        <v>12</v>
      </c>
      <c r="D451" s="114" t="s">
        <v>567</v>
      </c>
      <c r="E451" s="120" t="s">
        <v>537</v>
      </c>
      <c r="F451" s="114" t="s">
        <v>752</v>
      </c>
      <c r="G451" s="121" t="s">
        <v>1427</v>
      </c>
      <c r="H451" s="265" t="s">
        <v>932</v>
      </c>
      <c r="I451" s="219"/>
      <c r="J451" s="219" t="s">
        <v>835</v>
      </c>
    </row>
    <row r="452" spans="1:17" x14ac:dyDescent="0.25">
      <c r="A452" s="219">
        <v>16557897</v>
      </c>
      <c r="B452" s="114" t="s">
        <v>442</v>
      </c>
      <c r="C452" s="114" t="s">
        <v>12</v>
      </c>
      <c r="D452" s="114" t="s">
        <v>568</v>
      </c>
      <c r="E452" s="120" t="s">
        <v>537</v>
      </c>
      <c r="F452" s="114" t="s">
        <v>697</v>
      </c>
      <c r="G452" s="121" t="s">
        <v>1427</v>
      </c>
      <c r="H452" s="265" t="s">
        <v>932</v>
      </c>
      <c r="I452" s="219"/>
      <c r="J452" s="219" t="s">
        <v>837</v>
      </c>
    </row>
    <row r="453" spans="1:17" x14ac:dyDescent="0.25">
      <c r="A453" s="219">
        <v>16857724</v>
      </c>
      <c r="B453" s="114" t="s">
        <v>59</v>
      </c>
      <c r="C453" s="114" t="s">
        <v>12</v>
      </c>
      <c r="D453" s="114" t="s">
        <v>565</v>
      </c>
      <c r="E453" s="120" t="s">
        <v>537</v>
      </c>
      <c r="F453" s="114" t="s">
        <v>696</v>
      </c>
      <c r="G453" s="121" t="s">
        <v>1427</v>
      </c>
      <c r="H453" s="265" t="s">
        <v>931</v>
      </c>
      <c r="I453" s="219"/>
      <c r="J453" s="219" t="s">
        <v>835</v>
      </c>
    </row>
    <row r="454" spans="1:17" x14ac:dyDescent="0.25">
      <c r="A454" s="219">
        <v>17167810</v>
      </c>
      <c r="B454" s="114" t="s">
        <v>60</v>
      </c>
      <c r="C454" s="114" t="s">
        <v>12</v>
      </c>
      <c r="D454" s="114" t="s">
        <v>539</v>
      </c>
      <c r="E454" s="120" t="s">
        <v>537</v>
      </c>
      <c r="F454" s="114" t="s">
        <v>752</v>
      </c>
      <c r="G454" s="121" t="s">
        <v>1427</v>
      </c>
      <c r="H454" s="265" t="s">
        <v>932</v>
      </c>
      <c r="I454" s="219"/>
      <c r="J454" s="219"/>
    </row>
    <row r="455" spans="1:17" x14ac:dyDescent="0.25">
      <c r="A455" s="219">
        <v>17927965</v>
      </c>
      <c r="B455" s="114" t="s">
        <v>443</v>
      </c>
      <c r="C455" s="114" t="s">
        <v>12</v>
      </c>
      <c r="D455" s="114" t="s">
        <v>568</v>
      </c>
      <c r="E455" s="120" t="s">
        <v>537</v>
      </c>
      <c r="F455" s="114" t="s">
        <v>752</v>
      </c>
      <c r="G455" s="121" t="s">
        <v>1427</v>
      </c>
      <c r="H455" s="265" t="s">
        <v>932</v>
      </c>
      <c r="I455" s="219"/>
      <c r="J455" s="219" t="s">
        <v>839</v>
      </c>
    </row>
    <row r="456" spans="1:17" x14ac:dyDescent="0.25">
      <c r="A456" s="219">
        <v>18182112</v>
      </c>
      <c r="B456" s="114" t="s">
        <v>444</v>
      </c>
      <c r="C456" s="114" t="s">
        <v>12</v>
      </c>
      <c r="D456" s="114" t="s">
        <v>565</v>
      </c>
      <c r="E456" s="120" t="s">
        <v>537</v>
      </c>
      <c r="F456" s="114" t="s">
        <v>755</v>
      </c>
      <c r="G456" s="121" t="s">
        <v>1427</v>
      </c>
      <c r="H456" s="265" t="s">
        <v>932</v>
      </c>
      <c r="I456" s="219"/>
      <c r="J456" s="219" t="s">
        <v>835</v>
      </c>
    </row>
    <row r="457" spans="1:17" x14ac:dyDescent="0.25">
      <c r="A457" s="219">
        <v>18270489</v>
      </c>
      <c r="B457" s="114" t="s">
        <v>5</v>
      </c>
      <c r="C457" s="114" t="s">
        <v>12</v>
      </c>
      <c r="D457" s="114" t="s">
        <v>565</v>
      </c>
      <c r="E457" s="120" t="s">
        <v>537</v>
      </c>
      <c r="F457" s="114" t="s">
        <v>696</v>
      </c>
      <c r="G457" s="121" t="s">
        <v>1427</v>
      </c>
      <c r="H457" s="265" t="s">
        <v>932</v>
      </c>
      <c r="I457" s="219"/>
      <c r="J457" s="219"/>
    </row>
    <row r="458" spans="1:17" x14ac:dyDescent="0.25">
      <c r="A458" s="219">
        <v>18487296</v>
      </c>
      <c r="B458" s="114" t="s">
        <v>446</v>
      </c>
      <c r="C458" s="114" t="s">
        <v>12</v>
      </c>
      <c r="D458" s="114" t="s">
        <v>567</v>
      </c>
      <c r="E458" s="120" t="s">
        <v>537</v>
      </c>
      <c r="F458" s="114" t="s">
        <v>752</v>
      </c>
      <c r="G458" s="121" t="s">
        <v>1427</v>
      </c>
      <c r="H458" s="265" t="s">
        <v>932</v>
      </c>
      <c r="I458" s="219"/>
      <c r="J458" s="219" t="s">
        <v>835</v>
      </c>
    </row>
    <row r="459" spans="1:17" x14ac:dyDescent="0.25">
      <c r="A459" s="219">
        <v>18541368</v>
      </c>
      <c r="B459" s="114" t="s">
        <v>447</v>
      </c>
      <c r="C459" s="114" t="s">
        <v>12</v>
      </c>
      <c r="D459" s="114" t="s">
        <v>581</v>
      </c>
      <c r="E459" s="120" t="s">
        <v>537</v>
      </c>
      <c r="F459" s="114" t="s">
        <v>752</v>
      </c>
      <c r="G459" s="121" t="s">
        <v>1427</v>
      </c>
      <c r="H459" s="265" t="s">
        <v>932</v>
      </c>
      <c r="I459" s="219"/>
      <c r="J459" s="219" t="s">
        <v>839</v>
      </c>
    </row>
    <row r="460" spans="1:17" x14ac:dyDescent="0.25">
      <c r="A460" s="219">
        <v>18760583</v>
      </c>
      <c r="B460" s="114" t="s">
        <v>73</v>
      </c>
      <c r="C460" s="114" t="s">
        <v>12</v>
      </c>
      <c r="D460" s="114" t="s">
        <v>540</v>
      </c>
      <c r="E460" s="120" t="s">
        <v>537</v>
      </c>
      <c r="F460" s="114" t="s">
        <v>752</v>
      </c>
      <c r="G460" s="121" t="s">
        <v>1427</v>
      </c>
      <c r="H460" s="265" t="s">
        <v>932</v>
      </c>
      <c r="I460" s="219"/>
      <c r="J460" s="219"/>
    </row>
    <row r="461" spans="1:17" x14ac:dyDescent="0.25">
      <c r="A461" s="219">
        <v>19349783</v>
      </c>
      <c r="B461" s="114" t="s">
        <v>448</v>
      </c>
      <c r="C461" s="114" t="s">
        <v>12</v>
      </c>
      <c r="D461" s="114" t="s">
        <v>540</v>
      </c>
      <c r="E461" s="120" t="s">
        <v>537</v>
      </c>
      <c r="F461" s="114" t="s">
        <v>752</v>
      </c>
      <c r="G461" s="121" t="s">
        <v>1427</v>
      </c>
      <c r="H461" s="265" t="s">
        <v>932</v>
      </c>
      <c r="I461" s="219"/>
      <c r="J461" s="219" t="s">
        <v>836</v>
      </c>
      <c r="K461" s="74" t="s">
        <v>816</v>
      </c>
      <c r="L461" s="73" t="s">
        <v>816</v>
      </c>
      <c r="M461" s="73" t="s">
        <v>816</v>
      </c>
      <c r="N461" s="73" t="s">
        <v>816</v>
      </c>
      <c r="O461" s="73" t="s">
        <v>816</v>
      </c>
      <c r="P461" s="73" t="s">
        <v>816</v>
      </c>
      <c r="Q461" s="73" t="s">
        <v>816</v>
      </c>
    </row>
    <row r="462" spans="1:17" x14ac:dyDescent="0.25">
      <c r="A462" s="219">
        <v>19560257</v>
      </c>
      <c r="B462" s="114" t="s">
        <v>885</v>
      </c>
      <c r="C462" s="114" t="s">
        <v>12</v>
      </c>
      <c r="D462" s="114" t="s">
        <v>565</v>
      </c>
      <c r="E462" s="120" t="s">
        <v>537</v>
      </c>
      <c r="F462" s="114" t="s">
        <v>696</v>
      </c>
      <c r="G462" s="121" t="s">
        <v>1427</v>
      </c>
      <c r="H462" s="265" t="s">
        <v>932</v>
      </c>
      <c r="I462" s="219"/>
      <c r="J462" s="219" t="s">
        <v>836</v>
      </c>
      <c r="K462" s="74" t="s">
        <v>816</v>
      </c>
      <c r="L462" s="73" t="s">
        <v>816</v>
      </c>
      <c r="M462" s="73" t="s">
        <v>816</v>
      </c>
      <c r="N462" s="73" t="s">
        <v>816</v>
      </c>
      <c r="O462" s="73" t="s">
        <v>816</v>
      </c>
      <c r="P462" s="73" t="s">
        <v>816</v>
      </c>
      <c r="Q462" s="73" t="s">
        <v>816</v>
      </c>
    </row>
    <row r="463" spans="1:17" x14ac:dyDescent="0.25">
      <c r="A463" s="219">
        <v>19735201</v>
      </c>
      <c r="B463" s="114" t="s">
        <v>451</v>
      </c>
      <c r="C463" s="114" t="s">
        <v>12</v>
      </c>
      <c r="D463" s="114" t="s">
        <v>540</v>
      </c>
      <c r="E463" s="120" t="s">
        <v>537</v>
      </c>
      <c r="F463" s="114" t="s">
        <v>752</v>
      </c>
      <c r="G463" s="121" t="s">
        <v>1427</v>
      </c>
      <c r="H463" s="265" t="s">
        <v>932</v>
      </c>
      <c r="I463" s="219"/>
      <c r="J463" s="219" t="s">
        <v>835</v>
      </c>
      <c r="K463" s="74" t="s">
        <v>816</v>
      </c>
      <c r="L463" s="73" t="s">
        <v>816</v>
      </c>
      <c r="M463" s="73" t="s">
        <v>816</v>
      </c>
      <c r="N463" s="73" t="s">
        <v>816</v>
      </c>
      <c r="O463" s="73" t="s">
        <v>816</v>
      </c>
      <c r="P463" s="73" t="s">
        <v>816</v>
      </c>
      <c r="Q463" s="73" t="s">
        <v>816</v>
      </c>
    </row>
    <row r="464" spans="1:17" x14ac:dyDescent="0.25">
      <c r="A464" s="219">
        <v>22381833</v>
      </c>
      <c r="B464" s="114" t="s">
        <v>92</v>
      </c>
      <c r="C464" s="114" t="s">
        <v>12</v>
      </c>
      <c r="D464" s="114" t="s">
        <v>540</v>
      </c>
      <c r="E464" s="120" t="s">
        <v>537</v>
      </c>
      <c r="F464" s="114" t="s">
        <v>752</v>
      </c>
      <c r="G464" s="121" t="s">
        <v>1427</v>
      </c>
      <c r="H464" s="265" t="s">
        <v>931</v>
      </c>
      <c r="I464" s="219"/>
      <c r="J464" s="219" t="s">
        <v>836</v>
      </c>
      <c r="K464" s="74" t="s">
        <v>816</v>
      </c>
      <c r="L464" s="73" t="s">
        <v>816</v>
      </c>
      <c r="M464" s="73" t="s">
        <v>816</v>
      </c>
      <c r="N464" s="73" t="s">
        <v>816</v>
      </c>
      <c r="O464" s="73" t="s">
        <v>816</v>
      </c>
      <c r="P464" s="73" t="s">
        <v>816</v>
      </c>
      <c r="Q464" s="73" t="s">
        <v>816</v>
      </c>
    </row>
    <row r="465" spans="1:17" x14ac:dyDescent="0.25">
      <c r="A465" s="219">
        <v>23000253</v>
      </c>
      <c r="B465" s="114" t="s">
        <v>94</v>
      </c>
      <c r="C465" s="114" t="s">
        <v>12</v>
      </c>
      <c r="D465" s="114" t="s">
        <v>540</v>
      </c>
      <c r="E465" s="120" t="s">
        <v>537</v>
      </c>
      <c r="F465" s="114" t="s">
        <v>752</v>
      </c>
      <c r="G465" s="121" t="s">
        <v>1427</v>
      </c>
      <c r="H465" s="265" t="s">
        <v>932</v>
      </c>
      <c r="I465" s="219"/>
      <c r="J465" s="219" t="s">
        <v>837</v>
      </c>
      <c r="K465" s="74" t="s">
        <v>816</v>
      </c>
      <c r="L465" s="73" t="s">
        <v>816</v>
      </c>
      <c r="M465" s="73" t="s">
        <v>816</v>
      </c>
      <c r="N465" s="73" t="s">
        <v>816</v>
      </c>
      <c r="O465" s="73" t="s">
        <v>816</v>
      </c>
      <c r="P465" s="73" t="s">
        <v>816</v>
      </c>
      <c r="Q465" s="73" t="s">
        <v>816</v>
      </c>
    </row>
    <row r="466" spans="1:17" x14ac:dyDescent="0.25">
      <c r="A466" s="219">
        <v>23926058</v>
      </c>
      <c r="B466" s="114" t="s">
        <v>452</v>
      </c>
      <c r="C466" s="114" t="s">
        <v>12</v>
      </c>
      <c r="D466" s="114" t="s">
        <v>567</v>
      </c>
      <c r="E466" s="120" t="s">
        <v>537</v>
      </c>
      <c r="F466" s="114" t="s">
        <v>752</v>
      </c>
      <c r="G466" s="121" t="s">
        <v>1427</v>
      </c>
      <c r="H466" s="265" t="s">
        <v>932</v>
      </c>
      <c r="I466" s="219"/>
      <c r="J466" s="219"/>
      <c r="K466" s="74" t="s">
        <v>816</v>
      </c>
      <c r="L466" s="73" t="s">
        <v>816</v>
      </c>
      <c r="M466" s="73" t="s">
        <v>816</v>
      </c>
      <c r="N466" s="73" t="s">
        <v>816</v>
      </c>
      <c r="O466" s="73" t="s">
        <v>816</v>
      </c>
      <c r="P466" s="73" t="s">
        <v>816</v>
      </c>
      <c r="Q466" s="73" t="s">
        <v>816</v>
      </c>
    </row>
    <row r="467" spans="1:17" x14ac:dyDescent="0.25">
      <c r="A467" s="219">
        <v>25504461</v>
      </c>
      <c r="B467" s="114" t="s">
        <v>100</v>
      </c>
      <c r="C467" s="114" t="s">
        <v>12</v>
      </c>
      <c r="D467" s="114" t="s">
        <v>540</v>
      </c>
      <c r="E467" s="120" t="s">
        <v>537</v>
      </c>
      <c r="F467" s="114" t="s">
        <v>752</v>
      </c>
      <c r="G467" s="121" t="s">
        <v>1427</v>
      </c>
      <c r="H467" s="265" t="s">
        <v>932</v>
      </c>
      <c r="I467" s="219"/>
      <c r="J467" s="219" t="s">
        <v>836</v>
      </c>
      <c r="K467" s="74" t="s">
        <v>816</v>
      </c>
      <c r="L467" s="73" t="s">
        <v>816</v>
      </c>
      <c r="M467" s="73" t="s">
        <v>816</v>
      </c>
      <c r="N467" s="73" t="s">
        <v>816</v>
      </c>
      <c r="O467" s="73" t="s">
        <v>816</v>
      </c>
      <c r="P467" s="73" t="s">
        <v>816</v>
      </c>
      <c r="Q467" s="73" t="s">
        <v>816</v>
      </c>
    </row>
    <row r="468" spans="1:17" x14ac:dyDescent="0.25">
      <c r="A468" s="219">
        <v>26281689</v>
      </c>
      <c r="B468" s="114" t="s">
        <v>453</v>
      </c>
      <c r="C468" s="114" t="s">
        <v>12</v>
      </c>
      <c r="D468" s="114" t="s">
        <v>565</v>
      </c>
      <c r="E468" s="120" t="s">
        <v>537</v>
      </c>
      <c r="F468" s="114" t="s">
        <v>696</v>
      </c>
      <c r="G468" s="121" t="s">
        <v>1427</v>
      </c>
      <c r="H468" s="265" t="s">
        <v>931</v>
      </c>
      <c r="I468" s="219"/>
      <c r="J468" s="219"/>
      <c r="K468" s="74" t="s">
        <v>816</v>
      </c>
      <c r="L468" s="73" t="s">
        <v>816</v>
      </c>
      <c r="M468" s="73" t="s">
        <v>816</v>
      </c>
      <c r="N468" s="73" t="s">
        <v>816</v>
      </c>
      <c r="O468" s="73" t="s">
        <v>816</v>
      </c>
      <c r="P468" s="73" t="s">
        <v>816</v>
      </c>
      <c r="Q468" s="73" t="s">
        <v>816</v>
      </c>
    </row>
    <row r="469" spans="1:17" x14ac:dyDescent="0.25">
      <c r="A469" s="273">
        <v>17587487</v>
      </c>
      <c r="B469" s="115" t="s">
        <v>927</v>
      </c>
      <c r="C469" s="115" t="s">
        <v>470</v>
      </c>
      <c r="D469" s="115" t="s">
        <v>945</v>
      </c>
      <c r="E469" s="274" t="s">
        <v>537</v>
      </c>
      <c r="F469" s="115" t="s">
        <v>752</v>
      </c>
      <c r="G469" s="121" t="s">
        <v>1427</v>
      </c>
      <c r="H469" s="275" t="s">
        <v>932</v>
      </c>
      <c r="I469" s="273"/>
      <c r="J469" s="273" t="s">
        <v>837</v>
      </c>
      <c r="Q469" s="73"/>
    </row>
    <row r="470" spans="1:17" x14ac:dyDescent="0.25">
      <c r="A470" s="273">
        <v>17693199</v>
      </c>
      <c r="B470" s="115" t="s">
        <v>928</v>
      </c>
      <c r="C470" s="115" t="s">
        <v>470</v>
      </c>
      <c r="D470" s="115" t="s">
        <v>763</v>
      </c>
      <c r="E470" s="274" t="s">
        <v>935</v>
      </c>
      <c r="F470" s="115" t="s">
        <v>748</v>
      </c>
      <c r="G470" s="121" t="s">
        <v>1427</v>
      </c>
      <c r="H470" s="275" t="s">
        <v>932</v>
      </c>
      <c r="I470" s="273"/>
      <c r="J470" s="273" t="s">
        <v>835</v>
      </c>
      <c r="Q470" s="73"/>
    </row>
    <row r="471" spans="1:17" x14ac:dyDescent="0.25">
      <c r="A471" s="273">
        <v>18753686</v>
      </c>
      <c r="B471" s="115" t="s">
        <v>929</v>
      </c>
      <c r="C471" s="115" t="s">
        <v>524</v>
      </c>
      <c r="D471" s="115" t="s">
        <v>524</v>
      </c>
      <c r="E471" s="274" t="s">
        <v>769</v>
      </c>
      <c r="F471" s="115" t="s">
        <v>745</v>
      </c>
      <c r="G471" s="121" t="s">
        <v>1427</v>
      </c>
      <c r="H471" s="275" t="s">
        <v>932</v>
      </c>
      <c r="I471" s="273" t="s">
        <v>780</v>
      </c>
      <c r="J471" s="273"/>
      <c r="Q471" s="73"/>
    </row>
    <row r="472" spans="1:17" x14ac:dyDescent="0.25">
      <c r="A472" s="273">
        <v>13625658</v>
      </c>
      <c r="B472" s="115" t="s">
        <v>941</v>
      </c>
      <c r="C472" s="115" t="s">
        <v>470</v>
      </c>
      <c r="D472" s="115" t="s">
        <v>762</v>
      </c>
      <c r="E472" s="274" t="s">
        <v>536</v>
      </c>
      <c r="F472" s="115" t="s">
        <v>696</v>
      </c>
      <c r="G472" s="121" t="s">
        <v>1427</v>
      </c>
      <c r="H472" s="275" t="s">
        <v>932</v>
      </c>
      <c r="I472" s="273"/>
      <c r="J472" s="273"/>
      <c r="Q472" s="73"/>
    </row>
    <row r="473" spans="1:17" s="3" customFormat="1" x14ac:dyDescent="0.25">
      <c r="A473" s="273">
        <v>14744096</v>
      </c>
      <c r="B473" s="115" t="s">
        <v>944</v>
      </c>
      <c r="C473" s="115" t="s">
        <v>470</v>
      </c>
      <c r="D473" s="115" t="s">
        <v>947</v>
      </c>
      <c r="E473" s="274" t="s">
        <v>537</v>
      </c>
      <c r="F473" s="115" t="s">
        <v>752</v>
      </c>
      <c r="G473" s="121" t="s">
        <v>1427</v>
      </c>
      <c r="H473" s="275" t="s">
        <v>932</v>
      </c>
      <c r="I473" s="273"/>
      <c r="J473" s="273" t="s">
        <v>837</v>
      </c>
      <c r="K473" s="233"/>
      <c r="L473" s="124"/>
      <c r="M473" s="124"/>
      <c r="N473" s="124"/>
      <c r="O473" s="124"/>
      <c r="P473" s="124"/>
      <c r="Q473" s="124"/>
    </row>
    <row r="474" spans="1:17" s="3" customFormat="1" x14ac:dyDescent="0.25">
      <c r="A474" s="273">
        <v>24750318</v>
      </c>
      <c r="B474" s="115" t="s">
        <v>942</v>
      </c>
      <c r="C474" s="115" t="s">
        <v>470</v>
      </c>
      <c r="D474" s="115" t="s">
        <v>945</v>
      </c>
      <c r="E474" s="274" t="s">
        <v>537</v>
      </c>
      <c r="F474" s="115" t="s">
        <v>752</v>
      </c>
      <c r="G474" s="121" t="s">
        <v>1427</v>
      </c>
      <c r="H474" s="275" t="s">
        <v>932</v>
      </c>
      <c r="I474" s="273"/>
      <c r="J474" s="273" t="s">
        <v>838</v>
      </c>
      <c r="K474" s="233"/>
      <c r="L474" s="124"/>
      <c r="M474" s="124"/>
      <c r="N474" s="124"/>
      <c r="O474" s="124"/>
      <c r="P474" s="124"/>
      <c r="Q474" s="124"/>
    </row>
    <row r="475" spans="1:17" s="104" customFormat="1" x14ac:dyDescent="0.25">
      <c r="A475" s="273">
        <v>18088977</v>
      </c>
      <c r="B475" s="115" t="s">
        <v>943</v>
      </c>
      <c r="C475" s="115" t="s">
        <v>470</v>
      </c>
      <c r="D475" s="115" t="s">
        <v>762</v>
      </c>
      <c r="E475" s="274" t="s">
        <v>536</v>
      </c>
      <c r="F475" s="115" t="s">
        <v>697</v>
      </c>
      <c r="G475" s="121" t="s">
        <v>1427</v>
      </c>
      <c r="H475" s="275" t="s">
        <v>932</v>
      </c>
      <c r="I475" s="254"/>
      <c r="J475" s="273"/>
      <c r="M475" s="27"/>
    </row>
    <row r="476" spans="1:17" s="104" customFormat="1" x14ac:dyDescent="0.25">
      <c r="A476" s="273">
        <v>15148917</v>
      </c>
      <c r="B476" s="115" t="s">
        <v>949</v>
      </c>
      <c r="C476" s="115" t="s">
        <v>470</v>
      </c>
      <c r="D476" s="274" t="s">
        <v>763</v>
      </c>
      <c r="E476" s="274" t="s">
        <v>534</v>
      </c>
      <c r="F476" s="115" t="s">
        <v>697</v>
      </c>
      <c r="G476" s="121" t="s">
        <v>1427</v>
      </c>
      <c r="H476" s="275" t="s">
        <v>932</v>
      </c>
      <c r="I476" s="273"/>
      <c r="J476" s="273" t="s">
        <v>838</v>
      </c>
      <c r="M476" s="27"/>
    </row>
    <row r="477" spans="1:17" s="104" customFormat="1" x14ac:dyDescent="0.25">
      <c r="A477" s="273">
        <v>15700184</v>
      </c>
      <c r="B477" s="115" t="s">
        <v>950</v>
      </c>
      <c r="C477" s="115" t="s">
        <v>470</v>
      </c>
      <c r="D477" s="274" t="s">
        <v>762</v>
      </c>
      <c r="E477" s="274" t="s">
        <v>536</v>
      </c>
      <c r="F477" s="115" t="s">
        <v>697</v>
      </c>
      <c r="G477" s="121" t="s">
        <v>1427</v>
      </c>
      <c r="H477" s="275" t="s">
        <v>932</v>
      </c>
      <c r="I477" s="273"/>
      <c r="J477" s="273" t="s">
        <v>837</v>
      </c>
      <c r="M477" s="27"/>
    </row>
    <row r="478" spans="1:17" s="104" customFormat="1" x14ac:dyDescent="0.25">
      <c r="A478" s="273">
        <v>20755465</v>
      </c>
      <c r="B478" s="115" t="s">
        <v>951</v>
      </c>
      <c r="C478" s="115" t="s">
        <v>470</v>
      </c>
      <c r="D478" s="274" t="s">
        <v>946</v>
      </c>
      <c r="E478" s="274" t="s">
        <v>537</v>
      </c>
      <c r="F478" s="115" t="s">
        <v>752</v>
      </c>
      <c r="G478" s="121" t="s">
        <v>1427</v>
      </c>
      <c r="H478" s="275" t="s">
        <v>932</v>
      </c>
      <c r="I478" s="273"/>
      <c r="J478" s="273" t="s">
        <v>837</v>
      </c>
      <c r="M478" s="27"/>
    </row>
    <row r="479" spans="1:17" s="104" customFormat="1" x14ac:dyDescent="0.25">
      <c r="A479" s="273">
        <v>22492695</v>
      </c>
      <c r="B479" s="115" t="s">
        <v>952</v>
      </c>
      <c r="C479" s="115" t="s">
        <v>470</v>
      </c>
      <c r="D479" s="274" t="s">
        <v>946</v>
      </c>
      <c r="E479" s="274" t="s">
        <v>537</v>
      </c>
      <c r="F479" s="115" t="s">
        <v>752</v>
      </c>
      <c r="G479" s="121" t="s">
        <v>1427</v>
      </c>
      <c r="H479" s="275" t="s">
        <v>931</v>
      </c>
      <c r="I479" s="273"/>
      <c r="J479" s="273"/>
      <c r="M479" s="27"/>
    </row>
    <row r="480" spans="1:17" s="104" customFormat="1" x14ac:dyDescent="0.25">
      <c r="A480" s="273">
        <v>24773335</v>
      </c>
      <c r="B480" s="115" t="s">
        <v>953</v>
      </c>
      <c r="C480" s="115" t="s">
        <v>470</v>
      </c>
      <c r="D480" s="274" t="s">
        <v>948</v>
      </c>
      <c r="E480" s="274" t="s">
        <v>536</v>
      </c>
      <c r="F480" s="115" t="s">
        <v>697</v>
      </c>
      <c r="G480" s="121" t="s">
        <v>1427</v>
      </c>
      <c r="H480" s="275" t="s">
        <v>932</v>
      </c>
      <c r="I480" s="273"/>
      <c r="J480" s="273" t="s">
        <v>835</v>
      </c>
      <c r="M480" s="27"/>
    </row>
    <row r="481" spans="1:17" s="104" customFormat="1" x14ac:dyDescent="0.25">
      <c r="A481" s="290">
        <v>10803472</v>
      </c>
      <c r="B481" s="291" t="s">
        <v>954</v>
      </c>
      <c r="C481" s="291" t="s">
        <v>470</v>
      </c>
      <c r="D481" s="292" t="s">
        <v>762</v>
      </c>
      <c r="E481" s="292" t="s">
        <v>536</v>
      </c>
      <c r="F481" s="291" t="s">
        <v>752</v>
      </c>
      <c r="G481" s="121" t="s">
        <v>1427</v>
      </c>
      <c r="H481" s="293" t="s">
        <v>931</v>
      </c>
      <c r="I481" s="290"/>
      <c r="J481" s="290"/>
      <c r="M481" s="27"/>
    </row>
    <row r="482" spans="1:17" s="104" customFormat="1" x14ac:dyDescent="0.25">
      <c r="A482" s="290">
        <v>20027152</v>
      </c>
      <c r="B482" s="291" t="s">
        <v>955</v>
      </c>
      <c r="C482" s="291" t="s">
        <v>470</v>
      </c>
      <c r="D482" s="292" t="s">
        <v>690</v>
      </c>
      <c r="E482" s="292" t="s">
        <v>534</v>
      </c>
      <c r="F482" s="291" t="s">
        <v>745</v>
      </c>
      <c r="G482" s="121" t="s">
        <v>1427</v>
      </c>
      <c r="H482" s="293" t="s">
        <v>932</v>
      </c>
      <c r="I482" s="290"/>
      <c r="J482" s="290" t="s">
        <v>836</v>
      </c>
      <c r="M482" s="27"/>
    </row>
    <row r="483" spans="1:17" s="104" customFormat="1" x14ac:dyDescent="0.25">
      <c r="A483" s="290">
        <v>24664128</v>
      </c>
      <c r="B483" s="291" t="s">
        <v>957</v>
      </c>
      <c r="C483" s="291" t="s">
        <v>470</v>
      </c>
      <c r="D483" s="292" t="s">
        <v>690</v>
      </c>
      <c r="E483" s="292" t="s">
        <v>534</v>
      </c>
      <c r="F483" s="291" t="s">
        <v>748</v>
      </c>
      <c r="G483" s="121" t="s">
        <v>1427</v>
      </c>
      <c r="H483" s="293" t="s">
        <v>931</v>
      </c>
      <c r="I483" s="290"/>
      <c r="J483" s="290"/>
      <c r="M483" s="27"/>
    </row>
    <row r="484" spans="1:17" s="104" customFormat="1" x14ac:dyDescent="0.25">
      <c r="A484" s="290">
        <v>26911797</v>
      </c>
      <c r="B484" s="291" t="s">
        <v>958</v>
      </c>
      <c r="C484" s="291" t="s">
        <v>470</v>
      </c>
      <c r="D484" s="292" t="s">
        <v>762</v>
      </c>
      <c r="E484" s="292" t="s">
        <v>536</v>
      </c>
      <c r="F484" s="291" t="s">
        <v>755</v>
      </c>
      <c r="G484" s="121" t="s">
        <v>1427</v>
      </c>
      <c r="H484" s="293" t="s">
        <v>931</v>
      </c>
      <c r="I484" s="290"/>
      <c r="J484" s="290"/>
      <c r="M484" s="27"/>
    </row>
    <row r="485" spans="1:17" s="104" customFormat="1" x14ac:dyDescent="0.25">
      <c r="A485" s="290">
        <v>26796375</v>
      </c>
      <c r="B485" s="291" t="s">
        <v>959</v>
      </c>
      <c r="C485" s="291" t="s">
        <v>470</v>
      </c>
      <c r="D485" s="292" t="s">
        <v>762</v>
      </c>
      <c r="E485" s="292" t="s">
        <v>536</v>
      </c>
      <c r="F485" s="291" t="s">
        <v>755</v>
      </c>
      <c r="G485" s="121" t="s">
        <v>1427</v>
      </c>
      <c r="H485" s="293" t="s">
        <v>932</v>
      </c>
      <c r="I485" s="290"/>
      <c r="J485" s="290"/>
      <c r="M485" s="27"/>
    </row>
    <row r="486" spans="1:17" s="104" customFormat="1" x14ac:dyDescent="0.25">
      <c r="A486" s="226">
        <v>9098133</v>
      </c>
      <c r="B486" s="276" t="s">
        <v>1373</v>
      </c>
      <c r="C486" s="276" t="s">
        <v>7</v>
      </c>
      <c r="D486" s="277" t="s">
        <v>1374</v>
      </c>
      <c r="E486" s="277" t="s">
        <v>533</v>
      </c>
      <c r="F486" s="276" t="s">
        <v>751</v>
      </c>
      <c r="G486" s="121" t="s">
        <v>1427</v>
      </c>
      <c r="H486" s="328" t="s">
        <v>932</v>
      </c>
      <c r="I486" s="226"/>
      <c r="J486" s="226"/>
      <c r="M486" s="27"/>
    </row>
    <row r="487" spans="1:17" s="104" customFormat="1" x14ac:dyDescent="0.25">
      <c r="A487" s="412" t="s">
        <v>816</v>
      </c>
      <c r="B487" s="412">
        <f>SUBTOTAL(103,DATOS[APELLIDO Y NOMBRE])</f>
        <v>484</v>
      </c>
      <c r="C487" s="413" t="s">
        <v>816</v>
      </c>
      <c r="D487" s="413" t="s">
        <v>816</v>
      </c>
      <c r="E487" s="413" t="s">
        <v>816</v>
      </c>
      <c r="F487" s="414" t="s">
        <v>816</v>
      </c>
      <c r="G487" s="415" t="s">
        <v>816</v>
      </c>
      <c r="H487" s="416" t="s">
        <v>816</v>
      </c>
      <c r="I487" s="417" t="s">
        <v>816</v>
      </c>
      <c r="J487" s="417" t="s">
        <v>816</v>
      </c>
      <c r="M487" s="27"/>
    </row>
    <row r="488" spans="1:17" s="104" customFormat="1" x14ac:dyDescent="0.25">
      <c r="A488" s="73" t="s">
        <v>816</v>
      </c>
      <c r="B488" s="73" t="s">
        <v>816</v>
      </c>
      <c r="C488" s="73" t="s">
        <v>816</v>
      </c>
      <c r="D488" s="73" t="s">
        <v>816</v>
      </c>
      <c r="E488" s="118" t="s">
        <v>816</v>
      </c>
      <c r="F488" s="73" t="s">
        <v>816</v>
      </c>
      <c r="G488" s="116" t="s">
        <v>816</v>
      </c>
      <c r="H488" s="73" t="s">
        <v>816</v>
      </c>
      <c r="I488" s="73" t="s">
        <v>816</v>
      </c>
      <c r="J488" s="74" t="s">
        <v>816</v>
      </c>
      <c r="M488" s="27"/>
    </row>
    <row r="489" spans="1:17" s="3" customFormat="1" x14ac:dyDescent="0.25">
      <c r="A489" s="263" t="s">
        <v>930</v>
      </c>
      <c r="B489" s="264">
        <f>475-35</f>
        <v>440</v>
      </c>
      <c r="C489" s="73" t="s">
        <v>816</v>
      </c>
      <c r="D489" s="73" t="s">
        <v>816</v>
      </c>
      <c r="E489" s="118" t="s">
        <v>816</v>
      </c>
      <c r="F489" s="73" t="s">
        <v>816</v>
      </c>
      <c r="G489" s="116" t="s">
        <v>816</v>
      </c>
      <c r="H489" s="73" t="s">
        <v>816</v>
      </c>
      <c r="I489" s="73" t="s">
        <v>816</v>
      </c>
      <c r="J489" s="74" t="s">
        <v>816</v>
      </c>
      <c r="K489" s="233" t="s">
        <v>816</v>
      </c>
      <c r="L489" s="124" t="s">
        <v>816</v>
      </c>
      <c r="M489" s="124" t="s">
        <v>816</v>
      </c>
      <c r="N489" s="124" t="s">
        <v>816</v>
      </c>
      <c r="O489" s="124" t="s">
        <v>816</v>
      </c>
      <c r="P489" s="124" t="s">
        <v>816</v>
      </c>
      <c r="Q489" s="124" t="s">
        <v>816</v>
      </c>
    </row>
    <row r="490" spans="1:17" x14ac:dyDescent="0.25">
      <c r="A490" s="73" t="s">
        <v>816</v>
      </c>
      <c r="C490" s="73" t="s">
        <v>816</v>
      </c>
      <c r="D490" s="73" t="s">
        <v>816</v>
      </c>
      <c r="E490" s="118" t="s">
        <v>816</v>
      </c>
      <c r="F490" s="73" t="s">
        <v>816</v>
      </c>
      <c r="G490" s="116" t="s">
        <v>816</v>
      </c>
      <c r="H490" s="73" t="s">
        <v>816</v>
      </c>
      <c r="I490" s="73" t="s">
        <v>816</v>
      </c>
      <c r="J490" s="74" t="s">
        <v>816</v>
      </c>
      <c r="K490" s="74" t="s">
        <v>816</v>
      </c>
      <c r="L490" s="73" t="s">
        <v>816</v>
      </c>
      <c r="M490" s="73" t="s">
        <v>816</v>
      </c>
      <c r="N490" s="73" t="s">
        <v>816</v>
      </c>
      <c r="O490" s="73" t="s">
        <v>816</v>
      </c>
      <c r="P490" s="73" t="s">
        <v>816</v>
      </c>
      <c r="Q490" s="73" t="s">
        <v>816</v>
      </c>
    </row>
    <row r="491" spans="1:17" x14ac:dyDescent="0.25">
      <c r="A491" s="73" t="s">
        <v>816</v>
      </c>
      <c r="B491" s="73" t="s">
        <v>816</v>
      </c>
      <c r="C491" s="73" t="s">
        <v>816</v>
      </c>
      <c r="D491" s="73" t="s">
        <v>816</v>
      </c>
      <c r="E491" s="118" t="s">
        <v>816</v>
      </c>
      <c r="F491" s="73" t="s">
        <v>816</v>
      </c>
      <c r="G491" s="116" t="s">
        <v>816</v>
      </c>
      <c r="H491" s="73" t="s">
        <v>816</v>
      </c>
      <c r="I491" s="73" t="s">
        <v>816</v>
      </c>
      <c r="J491" s="74" t="s">
        <v>816</v>
      </c>
    </row>
    <row r="492" spans="1:17" x14ac:dyDescent="0.25">
      <c r="A492" s="73" t="s">
        <v>816</v>
      </c>
      <c r="B492" s="73" t="s">
        <v>816</v>
      </c>
      <c r="C492" s="73" t="s">
        <v>816</v>
      </c>
      <c r="D492" s="73" t="s">
        <v>816</v>
      </c>
      <c r="E492" s="118" t="s">
        <v>816</v>
      </c>
      <c r="F492" s="73" t="s">
        <v>816</v>
      </c>
      <c r="G492" s="116" t="s">
        <v>816</v>
      </c>
      <c r="H492" s="73" t="s">
        <v>816</v>
      </c>
      <c r="I492" s="73" t="s">
        <v>816</v>
      </c>
      <c r="J492" s="74" t="s">
        <v>816</v>
      </c>
    </row>
    <row r="493" spans="1:17" x14ac:dyDescent="0.25">
      <c r="A493" s="73" t="s">
        <v>816</v>
      </c>
      <c r="B493" s="73" t="s">
        <v>816</v>
      </c>
      <c r="C493" s="73" t="s">
        <v>816</v>
      </c>
      <c r="D493" s="73" t="s">
        <v>816</v>
      </c>
      <c r="E493" s="118" t="s">
        <v>816</v>
      </c>
      <c r="F493" s="73" t="s">
        <v>816</v>
      </c>
      <c r="G493" s="116" t="s">
        <v>816</v>
      </c>
      <c r="H493" s="73" t="s">
        <v>816</v>
      </c>
      <c r="I493" s="73" t="s">
        <v>816</v>
      </c>
      <c r="J493" s="74" t="s">
        <v>816</v>
      </c>
    </row>
    <row r="494" spans="1:17" x14ac:dyDescent="0.25">
      <c r="A494" s="73" t="s">
        <v>816</v>
      </c>
      <c r="B494" s="73" t="s">
        <v>816</v>
      </c>
      <c r="C494" s="73" t="s">
        <v>816</v>
      </c>
      <c r="D494" s="73" t="s">
        <v>816</v>
      </c>
      <c r="E494" s="118" t="s">
        <v>816</v>
      </c>
      <c r="F494" s="73" t="s">
        <v>816</v>
      </c>
      <c r="G494" s="116" t="s">
        <v>816</v>
      </c>
      <c r="H494" s="73" t="s">
        <v>816</v>
      </c>
      <c r="I494" s="73" t="s">
        <v>816</v>
      </c>
      <c r="J494" s="74" t="s">
        <v>816</v>
      </c>
    </row>
    <row r="495" spans="1:17" x14ac:dyDescent="0.25">
      <c r="A495" s="73" t="s">
        <v>816</v>
      </c>
    </row>
    <row r="496" spans="1:17" x14ac:dyDescent="0.25">
      <c r="A496" s="73" t="s">
        <v>816</v>
      </c>
    </row>
    <row r="497" spans="1:1" x14ac:dyDescent="0.25">
      <c r="A497" s="73" t="s">
        <v>816</v>
      </c>
    </row>
    <row r="498" spans="1:1" x14ac:dyDescent="0.25">
      <c r="A498" s="73" t="s">
        <v>816</v>
      </c>
    </row>
    <row r="499" spans="1:1" x14ac:dyDescent="0.25">
      <c r="A499" s="73" t="s">
        <v>816</v>
      </c>
    </row>
    <row r="500" spans="1:1" x14ac:dyDescent="0.25">
      <c r="A500" s="73" t="s">
        <v>816</v>
      </c>
    </row>
    <row r="501" spans="1:1" x14ac:dyDescent="0.25">
      <c r="A501" s="73" t="s">
        <v>816</v>
      </c>
    </row>
    <row r="502" spans="1:1" x14ac:dyDescent="0.25">
      <c r="A502" s="73" t="s">
        <v>816</v>
      </c>
    </row>
    <row r="503" spans="1:1" x14ac:dyDescent="0.25">
      <c r="A503" s="73" t="s">
        <v>816</v>
      </c>
    </row>
    <row r="504" spans="1:1" x14ac:dyDescent="0.25">
      <c r="A504" s="73" t="s">
        <v>816</v>
      </c>
    </row>
    <row r="505" spans="1:1" x14ac:dyDescent="0.25">
      <c r="A505" s="73" t="s">
        <v>816</v>
      </c>
    </row>
    <row r="506" spans="1:1" x14ac:dyDescent="0.25">
      <c r="A506" s="73" t="s">
        <v>816</v>
      </c>
    </row>
    <row r="507" spans="1:1" x14ac:dyDescent="0.25">
      <c r="A507" s="73" t="s">
        <v>816</v>
      </c>
    </row>
    <row r="508" spans="1:1" x14ac:dyDescent="0.25">
      <c r="A508" s="73" t="s">
        <v>816</v>
      </c>
    </row>
    <row r="509" spans="1:1" x14ac:dyDescent="0.25">
      <c r="A509" s="73" t="s">
        <v>816</v>
      </c>
    </row>
    <row r="510" spans="1:1" x14ac:dyDescent="0.25">
      <c r="A510" s="73" t="s">
        <v>816</v>
      </c>
    </row>
    <row r="511" spans="1:1" x14ac:dyDescent="0.25">
      <c r="A511" s="73" t="s">
        <v>816</v>
      </c>
    </row>
    <row r="512" spans="1:1" x14ac:dyDescent="0.25">
      <c r="A512" s="73" t="s">
        <v>816</v>
      </c>
    </row>
    <row r="513" spans="1:1" x14ac:dyDescent="0.25">
      <c r="A513" s="73" t="s">
        <v>816</v>
      </c>
    </row>
    <row r="514" spans="1:1" x14ac:dyDescent="0.25">
      <c r="A514" s="73" t="s">
        <v>816</v>
      </c>
    </row>
    <row r="515" spans="1:1" x14ac:dyDescent="0.25">
      <c r="A515" s="73" t="s">
        <v>816</v>
      </c>
    </row>
  </sheetData>
  <mergeCells count="1">
    <mergeCell ref="L15:N15"/>
  </mergeCells>
  <conditionalFormatting sqref="B436">
    <cfRule type="containsBlanks" dxfId="46" priority="12">
      <formula>LEN(TRIM(B436))=0</formula>
    </cfRule>
  </conditionalFormatting>
  <conditionalFormatting sqref="A487">
    <cfRule type="duplicateValues" dxfId="45" priority="428102"/>
  </conditionalFormatting>
  <conditionalFormatting sqref="A451:A463 A3:A449">
    <cfRule type="duplicateValues" dxfId="44" priority="428103"/>
  </conditionalFormatting>
  <conditionalFormatting sqref="A466:A468">
    <cfRule type="duplicateValues" dxfId="43" priority="428105"/>
  </conditionalFormatting>
  <conditionalFormatting sqref="A464:A465">
    <cfRule type="duplicateValues" dxfId="42" priority="428106"/>
  </conditionalFormatting>
  <conditionalFormatting sqref="A451:A468 A3:A449">
    <cfRule type="duplicateValues" dxfId="41" priority="428107"/>
  </conditionalFormatting>
  <conditionalFormatting sqref="A450">
    <cfRule type="duplicateValues" dxfId="40" priority="428109"/>
  </conditionalFormatting>
  <conditionalFormatting sqref="A469">
    <cfRule type="duplicateValues" dxfId="39" priority="428110"/>
  </conditionalFormatting>
  <conditionalFormatting sqref="A470">
    <cfRule type="duplicateValues" dxfId="38" priority="428112"/>
  </conditionalFormatting>
  <conditionalFormatting sqref="A471:A474">
    <cfRule type="duplicateValues" dxfId="37" priority="428114"/>
  </conditionalFormatting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-0.499984740745262"/>
  </sheetPr>
  <dimension ref="A1:AG511"/>
  <sheetViews>
    <sheetView showGridLines="0" showZeros="0" zoomScale="89" zoomScaleNormal="89" workbookViewId="0">
      <pane xSplit="2" ySplit="3" topLeftCell="E4" activePane="bottomRight" state="frozen"/>
      <selection pane="topRight" activeCell="C1" sqref="C1"/>
      <selection pane="bottomLeft" activeCell="A4" sqref="A4"/>
      <selection pane="bottomRight" activeCell="W17" sqref="W17"/>
    </sheetView>
  </sheetViews>
  <sheetFormatPr baseColWidth="10" defaultRowHeight="15" x14ac:dyDescent="0.25"/>
  <cols>
    <col min="1" max="1" width="10.140625" style="327" customWidth="1"/>
    <col min="2" max="2" width="44.42578125" style="24" bestFit="1" customWidth="1"/>
    <col min="3" max="3" width="14.5703125" style="361" customWidth="1"/>
    <col min="4" max="4" width="13.42578125" style="363" bestFit="1" customWidth="1"/>
    <col min="5" max="5" width="14.7109375" style="361" bestFit="1" customWidth="1"/>
    <col min="6" max="6" width="13.42578125" style="361" bestFit="1" customWidth="1"/>
    <col min="7" max="7" width="14.7109375" style="361" bestFit="1" customWidth="1"/>
    <col min="8" max="12" width="13" style="361" bestFit="1" customWidth="1"/>
    <col min="13" max="13" width="12.85546875" style="361" bestFit="1" customWidth="1"/>
    <col min="14" max="14" width="14.140625" style="361" bestFit="1" customWidth="1"/>
    <col min="15" max="16" width="12.85546875" style="361" bestFit="1" customWidth="1"/>
    <col min="17" max="17" width="34.7109375" bestFit="1" customWidth="1"/>
    <col min="18" max="18" width="1" style="139" customWidth="1"/>
    <col min="19" max="19" width="15.140625" hidden="1" customWidth="1"/>
    <col min="20" max="20" width="26.5703125" hidden="1" customWidth="1"/>
    <col min="22" max="22" width="2.85546875" customWidth="1"/>
    <col min="23" max="23" width="19.7109375" bestFit="1" customWidth="1"/>
    <col min="26" max="26" width="11.85546875" bestFit="1" customWidth="1"/>
  </cols>
  <sheetData>
    <row r="1" spans="1:33" s="26" customFormat="1" ht="15.75" thickBot="1" x14ac:dyDescent="0.3">
      <c r="A1" s="324"/>
      <c r="B1" s="84"/>
      <c r="C1" s="402" t="s">
        <v>649</v>
      </c>
      <c r="D1" s="403"/>
      <c r="E1" s="402" t="s">
        <v>650</v>
      </c>
      <c r="F1" s="403"/>
      <c r="G1" s="402" t="s">
        <v>651</v>
      </c>
      <c r="H1" s="403"/>
      <c r="I1" s="402" t="s">
        <v>652</v>
      </c>
      <c r="J1" s="403"/>
      <c r="K1" s="402" t="s">
        <v>653</v>
      </c>
      <c r="L1" s="403"/>
      <c r="M1" s="402" t="s">
        <v>654</v>
      </c>
      <c r="N1" s="403"/>
      <c r="O1" s="402" t="s">
        <v>655</v>
      </c>
      <c r="P1" s="403"/>
      <c r="Q1" s="136"/>
      <c r="R1" s="137"/>
      <c r="W1" s="147">
        <v>6.9444444444444441E-3</v>
      </c>
      <c r="X1" s="409" t="s">
        <v>649</v>
      </c>
      <c r="Y1" s="409"/>
      <c r="Z1" s="409" t="s">
        <v>650</v>
      </c>
      <c r="AA1" s="409"/>
      <c r="AB1" s="409" t="s">
        <v>705</v>
      </c>
      <c r="AC1" s="409"/>
      <c r="AD1" s="409" t="s">
        <v>652</v>
      </c>
      <c r="AE1" s="409"/>
      <c r="AF1" s="409" t="s">
        <v>653</v>
      </c>
      <c r="AG1" s="409"/>
    </row>
    <row r="2" spans="1:33" s="28" customFormat="1" ht="15.75" thickBot="1" x14ac:dyDescent="0.3">
      <c r="A2" s="325"/>
      <c r="C2" s="406">
        <v>45761</v>
      </c>
      <c r="D2" s="407"/>
      <c r="E2" s="404">
        <f>1+C2</f>
        <v>45762</v>
      </c>
      <c r="F2" s="405"/>
      <c r="G2" s="404">
        <f>1+E2</f>
        <v>45763</v>
      </c>
      <c r="H2" s="405"/>
      <c r="I2" s="404">
        <f>1+G2</f>
        <v>45764</v>
      </c>
      <c r="J2" s="405"/>
      <c r="K2" s="404">
        <f>1+I2</f>
        <v>45765</v>
      </c>
      <c r="L2" s="405"/>
      <c r="M2" s="404">
        <f>1+K2</f>
        <v>45766</v>
      </c>
      <c r="N2" s="405"/>
      <c r="O2" s="404">
        <f>1+M2</f>
        <v>45767</v>
      </c>
      <c r="P2" s="405"/>
      <c r="R2" s="138"/>
      <c r="S2" s="29">
        <v>0.30277777777777776</v>
      </c>
      <c r="T2" s="29">
        <v>0.69791666666666663</v>
      </c>
      <c r="W2" s="148"/>
      <c r="X2" s="408">
        <v>45761</v>
      </c>
      <c r="Y2" s="408"/>
      <c r="Z2" s="408">
        <f>X2+1</f>
        <v>45762</v>
      </c>
      <c r="AA2" s="408"/>
      <c r="AB2" s="408">
        <f>Z2+1</f>
        <v>45763</v>
      </c>
      <c r="AC2" s="408"/>
      <c r="AD2" s="408">
        <f>AB2+1</f>
        <v>45764</v>
      </c>
      <c r="AE2" s="408"/>
      <c r="AF2" s="408">
        <f>AD2+1</f>
        <v>45765</v>
      </c>
      <c r="AG2" s="408"/>
    </row>
    <row r="3" spans="1:33" ht="30" x14ac:dyDescent="0.25">
      <c r="A3" s="66" t="s">
        <v>0</v>
      </c>
      <c r="B3" s="67" t="s">
        <v>656</v>
      </c>
      <c r="C3" s="362" t="s">
        <v>657</v>
      </c>
      <c r="D3" s="358" t="s">
        <v>658</v>
      </c>
      <c r="E3" s="362" t="s">
        <v>843</v>
      </c>
      <c r="F3" s="358" t="s">
        <v>844</v>
      </c>
      <c r="G3" s="362" t="s">
        <v>845</v>
      </c>
      <c r="H3" s="358" t="s">
        <v>846</v>
      </c>
      <c r="I3" s="362" t="s">
        <v>847</v>
      </c>
      <c r="J3" s="358" t="s">
        <v>848</v>
      </c>
      <c r="K3" s="362" t="s">
        <v>849</v>
      </c>
      <c r="L3" s="358" t="s">
        <v>850</v>
      </c>
      <c r="M3" s="362" t="s">
        <v>851</v>
      </c>
      <c r="N3" s="358" t="s">
        <v>852</v>
      </c>
      <c r="O3" s="362" t="s">
        <v>853</v>
      </c>
      <c r="P3" s="358" t="s">
        <v>854</v>
      </c>
      <c r="Q3" s="151" t="s">
        <v>808</v>
      </c>
      <c r="S3" s="29">
        <v>0.30277777777777776</v>
      </c>
      <c r="T3" s="29">
        <v>0.55208333333333337</v>
      </c>
      <c r="W3" s="140" t="s">
        <v>830</v>
      </c>
      <c r="X3" s="141" t="s">
        <v>831</v>
      </c>
      <c r="Y3" s="142" t="s">
        <v>832</v>
      </c>
      <c r="Z3" s="141" t="s">
        <v>831</v>
      </c>
      <c r="AA3" s="142" t="s">
        <v>832</v>
      </c>
      <c r="AB3" s="141" t="s">
        <v>831</v>
      </c>
      <c r="AC3" s="142" t="s">
        <v>832</v>
      </c>
      <c r="AD3" s="141" t="s">
        <v>831</v>
      </c>
      <c r="AE3" s="142" t="s">
        <v>832</v>
      </c>
      <c r="AF3" s="141" t="s">
        <v>831</v>
      </c>
      <c r="AG3" s="142" t="s">
        <v>832</v>
      </c>
    </row>
    <row r="4" spans="1:33" x14ac:dyDescent="0.25">
      <c r="A4" s="357">
        <v>3235435</v>
      </c>
      <c r="B4" s="239" t="s">
        <v>987</v>
      </c>
      <c r="C4" s="359">
        <f>IFERROR(VLOOKUP([1]!Tabla9[[CEDULA ]],[1]!LUNES[#Data],5,0),"No registró")</f>
        <v>0.31472222222222224</v>
      </c>
      <c r="D4" s="359">
        <f>IFERROR(LOOKUP(2,1/([1]!LUNES[[CEDULA ]]=[1]!Tabla9[[#This Row],[CEDULA ]]),[1]!LUNES[HORA]),"No registró")</f>
        <v>0.48113425925925929</v>
      </c>
      <c r="E4" s="359" t="str">
        <f>IFERROR(VLOOKUP([1]!Tabla9[[CEDULA ]],[1]!MARTES[#Data],5,0),"No registró")</f>
        <v>No registró</v>
      </c>
      <c r="F4" s="359" t="str">
        <f>IFERROR(LOOKUP(2,1/([1]!MARTES[[CEDULA ]]=[1]!Tabla9[[#This Row],[CEDULA ]]),[1]!MARTES[HORA]),"No Registró")</f>
        <v>No Registró</v>
      </c>
      <c r="G4" s="359" t="str">
        <f>IFERROR(VLOOKUP([1]!Tabla9[[CEDULA ]],[1]!MIERCOLES[#Data],5,0),"No registró")</f>
        <v>No registró</v>
      </c>
      <c r="H4" s="359" t="str">
        <f>IFERROR(LOOKUP(2,1/([1]!MIERCOLES[[CEDULA ]]=[1]!Tabla9[[#This Row],[CEDULA ]]),[1]!MIERCOLES[HORA]),"No registró")</f>
        <v>No registró</v>
      </c>
      <c r="I4" s="359" t="str">
        <f>IFERROR(VLOOKUP([1]!Tabla9[[CEDULA ]],[1]!JUEVES[#Data],5,0),"No Registró")</f>
        <v>No Registró</v>
      </c>
      <c r="J4" s="359" t="str">
        <f>IFERROR(LOOKUP(2,1/([1]!JUEVES[[CEDULA ]]=[1]!Tabla9[[#This Row],[CEDULA ]]),[1]!JUEVES[HORA]),"No registró")</f>
        <v>No registró</v>
      </c>
      <c r="K4" s="359" t="str">
        <f>IFERROR(VLOOKUP([1]!Tabla9[[CEDULA ]],[1]!VIERNES[#Data],5,0),"No registró")</f>
        <v>No registró</v>
      </c>
      <c r="L4" s="359" t="str">
        <f>IFERROR(LOOKUP(2,1/([1]!VIERNES[[CEDULA ]]=[1]!Tabla9[[#This Row],[CEDULA ]]),[1]!VIERNES[HORA]),"No registró")</f>
        <v>No registró</v>
      </c>
      <c r="M4" s="359" t="str">
        <f>IFERROR(VLOOKUP([1]!Tabla9[[CEDULA ]],[1]!SABADO[#Data],5,0),"No registró")</f>
        <v>No registró</v>
      </c>
      <c r="N4" s="359" t="str">
        <f>IFERROR(LOOKUP(2,1/([1]!SABADO[[CEDULA ]]=[1]!Tabla9[[#This Row],[CEDULA ]]),[1]!SABADO[HORA]),"No registró")</f>
        <v>No registró</v>
      </c>
      <c r="O4" s="359" t="str">
        <f>IFERROR(VLOOKUP([1]!Tabla9[[CEDULA ]],[1]!DOMINGO[#Data],5,0),"No registró")</f>
        <v>No registró</v>
      </c>
      <c r="P4" s="359" t="str">
        <f>IFERROR(LOOKUP(2,1/([1]!DOMINGO[[CEDULA ]]=[1]!Tabla9[[#This Row],[CEDULA ]]),[1]!DOMINGO[HORA]),"No registró")</f>
        <v>No registró</v>
      </c>
      <c r="Q4" s="240">
        <f>IFERROR(VLOOKUP(A4,DATOS[],10,0),"")</f>
        <v>0</v>
      </c>
      <c r="S4" s="29">
        <v>0.30277777777777776</v>
      </c>
      <c r="T4" s="29">
        <v>0.6875</v>
      </c>
      <c r="V4" s="208">
        <v>1</v>
      </c>
      <c r="W4" s="143" t="s">
        <v>833</v>
      </c>
      <c r="X4" s="359">
        <v>0.27777777777777779</v>
      </c>
      <c r="Y4" s="266">
        <f>X4+$W$1</f>
        <v>0.28472222222222221</v>
      </c>
      <c r="Z4" s="359">
        <v>0.27430555555555552</v>
      </c>
      <c r="AA4" s="266">
        <f>$W$1+Z4</f>
        <v>0.28124999999999994</v>
      </c>
      <c r="AB4" s="255"/>
      <c r="AC4" s="266">
        <f>$W$1+AB4</f>
        <v>6.9444444444444441E-3</v>
      </c>
      <c r="AD4" s="255"/>
      <c r="AE4" s="266">
        <f>$W$1+AD4</f>
        <v>6.9444444444444441E-3</v>
      </c>
      <c r="AF4" s="255"/>
      <c r="AG4" s="266">
        <f>$W$1+AF4</f>
        <v>6.9444444444444441E-3</v>
      </c>
    </row>
    <row r="5" spans="1:33" x14ac:dyDescent="0.25">
      <c r="A5" s="239">
        <v>3415194</v>
      </c>
      <c r="B5" s="239" t="s">
        <v>990</v>
      </c>
      <c r="C5" s="359">
        <f>IFERROR(VLOOKUP([1]!Tabla9[[CEDULA ]],[1]!LUNES[#Data],5,0),"No registró")</f>
        <v>0.24280092592592592</v>
      </c>
      <c r="D5" s="359">
        <f>IFERROR(LOOKUP(2,1/([1]!LUNES[[CEDULA ]]=[1]!Tabla9[[#This Row],[CEDULA ]]),[1]!LUNES[HORA]),"No registró")</f>
        <v>0.54534722222222221</v>
      </c>
      <c r="E5" s="359" t="str">
        <f>IFERROR(VLOOKUP([1]!Tabla9[[CEDULA ]],[1]!MARTES[#Data],5,0),"No registró")</f>
        <v>No registró</v>
      </c>
      <c r="F5" s="359" t="str">
        <f>IFERROR(LOOKUP(2,1/([1]!MARTES[[CEDULA ]]=[1]!Tabla9[[#This Row],[CEDULA ]]),[1]!MARTES[HORA]),"No Registró")</f>
        <v>No Registró</v>
      </c>
      <c r="G5" s="359" t="str">
        <f>IFERROR(VLOOKUP([1]!Tabla9[[CEDULA ]],[1]!MIERCOLES[#Data],5,0),"No registró")</f>
        <v>No registró</v>
      </c>
      <c r="H5" s="359" t="str">
        <f>IFERROR(LOOKUP(2,1/([1]!MIERCOLES[[CEDULA ]]=[1]!Tabla9[[#This Row],[CEDULA ]]),[1]!MIERCOLES[HORA]),"No registró")</f>
        <v>No registró</v>
      </c>
      <c r="I5" s="359" t="str">
        <f>IFERROR(VLOOKUP([1]!Tabla9[[CEDULA ]],[1]!JUEVES[#Data],5,0),"No Registró")</f>
        <v>No Registró</v>
      </c>
      <c r="J5" s="359" t="str">
        <f>IFERROR(LOOKUP(2,1/([1]!JUEVES[[CEDULA ]]=[1]!Tabla9[[#This Row],[CEDULA ]]),[1]!JUEVES[HORA]),"No registró")</f>
        <v>No registró</v>
      </c>
      <c r="K5" s="359" t="str">
        <f>IFERROR(VLOOKUP([1]!Tabla9[[CEDULA ]],[1]!VIERNES[#Data],5,0),"No registró")</f>
        <v>No registró</v>
      </c>
      <c r="L5" s="359" t="str">
        <f>IFERROR(LOOKUP(2,1/([1]!VIERNES[[CEDULA ]]=[1]!Tabla9[[#This Row],[CEDULA ]]),[1]!VIERNES[HORA]),"No registró")</f>
        <v>No registró</v>
      </c>
      <c r="M5" s="359" t="str">
        <f>IFERROR(VLOOKUP([1]!Tabla9[[CEDULA ]],[1]!SABADO[#Data],5,0),"No registró")</f>
        <v>No registró</v>
      </c>
      <c r="N5" s="359" t="str">
        <f>IFERROR(LOOKUP(2,1/([1]!SABADO[[CEDULA ]]=[1]!Tabla9[[#This Row],[CEDULA ]]),[1]!SABADO[HORA]),"No registró")</f>
        <v>No registró</v>
      </c>
      <c r="O5" s="359" t="str">
        <f>IFERROR(VLOOKUP([1]!Tabla9[[CEDULA ]],[1]!DOMINGO[#Data],5,0),"No registró")</f>
        <v>No registró</v>
      </c>
      <c r="P5" s="359" t="str">
        <f>IFERROR(LOOKUP(2,1/([1]!DOMINGO[[CEDULA ]]=[1]!Tabla9[[#This Row],[CEDULA ]]),[1]!DOMINGO[HORA]),"No registró")</f>
        <v>No registró</v>
      </c>
      <c r="Q5" s="240" t="str">
        <f>IFERROR(VLOOKUP(A5,DATOS[],10,0),"")</f>
        <v>4. VALLES DEL TUY</v>
      </c>
      <c r="V5" s="208">
        <v>2</v>
      </c>
      <c r="W5" s="209" t="s">
        <v>813</v>
      </c>
      <c r="X5" s="359">
        <v>0.27916666666666667</v>
      </c>
      <c r="Y5" s="266">
        <f>X5+$W$1</f>
        <v>0.28611111111111109</v>
      </c>
      <c r="Z5" s="359">
        <v>0.28611111111111115</v>
      </c>
      <c r="AA5" s="266">
        <f t="shared" ref="AA5:AA8" si="0">$W$1+Z5</f>
        <v>0.29305555555555557</v>
      </c>
      <c r="AB5" s="255"/>
      <c r="AC5" s="266">
        <f t="shared" ref="AC5:AC8" si="1">$W$1+AB5</f>
        <v>6.9444444444444441E-3</v>
      </c>
      <c r="AD5" s="255"/>
      <c r="AE5" s="266">
        <f>$W$1+AD5</f>
        <v>6.9444444444444441E-3</v>
      </c>
      <c r="AF5" s="255"/>
      <c r="AG5" s="266">
        <f>$W$1+AF5</f>
        <v>6.9444444444444441E-3</v>
      </c>
    </row>
    <row r="6" spans="1:33" x14ac:dyDescent="0.25">
      <c r="A6" s="239">
        <v>3524735</v>
      </c>
      <c r="B6" s="239" t="s">
        <v>991</v>
      </c>
      <c r="C6" s="359">
        <f>IFERROR(VLOOKUP([1]!Tabla9[[CEDULA ]],[1]!LUNES[#Data],5,0),"No registró")</f>
        <v>0.28262731481481479</v>
      </c>
      <c r="D6" s="359">
        <f>IFERROR(LOOKUP(2,1/([1]!LUNES[[CEDULA ]]=[1]!Tabla9[[#This Row],[CEDULA ]]),[1]!LUNES[HORA]),"No registró")</f>
        <v>0.55399305555555556</v>
      </c>
      <c r="E6" s="359" t="str">
        <f>IFERROR(VLOOKUP([1]!Tabla9[[CEDULA ]],[1]!MARTES[#Data],5,0),"No registró")</f>
        <v>No registró</v>
      </c>
      <c r="F6" s="359" t="str">
        <f>IFERROR(LOOKUP(2,1/([1]!MARTES[[CEDULA ]]=[1]!Tabla9[[#This Row],[CEDULA ]]),[1]!MARTES[HORA]),"No Registró")</f>
        <v>No Registró</v>
      </c>
      <c r="G6" s="359" t="str">
        <f>IFERROR(VLOOKUP([1]!Tabla9[[CEDULA ]],[1]!MIERCOLES[#Data],5,0),"No registró")</f>
        <v>No registró</v>
      </c>
      <c r="H6" s="359" t="str">
        <f>IFERROR(LOOKUP(2,1/([1]!MIERCOLES[[CEDULA ]]=[1]!Tabla9[[#This Row],[CEDULA ]]),[1]!MIERCOLES[HORA]),"No registró")</f>
        <v>No registró</v>
      </c>
      <c r="I6" s="359" t="str">
        <f>IFERROR(VLOOKUP([1]!Tabla9[[CEDULA ]],[1]!JUEVES[#Data],5,0),"No Registró")</f>
        <v>No Registró</v>
      </c>
      <c r="J6" s="359" t="str">
        <f>IFERROR(LOOKUP(2,1/([1]!JUEVES[[CEDULA ]]=[1]!Tabla9[[#This Row],[CEDULA ]]),[1]!JUEVES[HORA]),"No registró")</f>
        <v>No registró</v>
      </c>
      <c r="K6" s="359" t="str">
        <f>IFERROR(VLOOKUP([1]!Tabla9[[CEDULA ]],[1]!VIERNES[#Data],5,0),"No registró")</f>
        <v>No registró</v>
      </c>
      <c r="L6" s="359" t="str">
        <f>IFERROR(LOOKUP(2,1/([1]!VIERNES[[CEDULA ]]=[1]!Tabla9[[#This Row],[CEDULA ]]),[1]!VIERNES[HORA]),"No registró")</f>
        <v>No registró</v>
      </c>
      <c r="M6" s="359" t="str">
        <f>IFERROR(VLOOKUP([1]!Tabla9[[CEDULA ]],[1]!SABADO[#Data],5,0),"No registró")</f>
        <v>No registró</v>
      </c>
      <c r="N6" s="359" t="str">
        <f>IFERROR(LOOKUP(2,1/([1]!SABADO[[CEDULA ]]=[1]!Tabla9[[#This Row],[CEDULA ]]),[1]!SABADO[HORA]),"No registró")</f>
        <v>No registró</v>
      </c>
      <c r="O6" s="359" t="str">
        <f>IFERROR(VLOOKUP([1]!Tabla9[[CEDULA ]],[1]!DOMINGO[#Data],5,0),"No registró")</f>
        <v>No registró</v>
      </c>
      <c r="P6" s="359" t="str">
        <f>IFERROR(LOOKUP(2,1/([1]!DOMINGO[[CEDULA ]]=[1]!Tabla9[[#This Row],[CEDULA ]]),[1]!DOMINGO[HORA]),"No registró")</f>
        <v>No registró</v>
      </c>
      <c r="Q6" s="240">
        <f>IFERROR(VLOOKUP(A6,DATOS[],10,0),"")</f>
        <v>0</v>
      </c>
      <c r="V6" s="208">
        <v>3</v>
      </c>
      <c r="W6" s="144" t="s">
        <v>812</v>
      </c>
      <c r="X6" s="359">
        <v>0.28472222222222221</v>
      </c>
      <c r="Y6" s="266">
        <f t="shared" ref="Y6:Y8" si="2">X6+$W$1</f>
        <v>0.29166666666666663</v>
      </c>
      <c r="Z6" s="359">
        <v>0.28125</v>
      </c>
      <c r="AA6" s="266">
        <f t="shared" si="0"/>
        <v>0.28819444444444442</v>
      </c>
      <c r="AB6" s="255"/>
      <c r="AC6" s="266">
        <f t="shared" si="1"/>
        <v>6.9444444444444441E-3</v>
      </c>
      <c r="AD6" s="255"/>
      <c r="AE6" s="266">
        <f>$W$1+AD6</f>
        <v>6.9444444444444441E-3</v>
      </c>
      <c r="AF6" s="255"/>
      <c r="AG6" s="266">
        <f t="shared" ref="AG6:AG8" si="3">$W$1+AF6</f>
        <v>6.9444444444444441E-3</v>
      </c>
    </row>
    <row r="7" spans="1:33" x14ac:dyDescent="0.25">
      <c r="A7" s="239">
        <v>3660053</v>
      </c>
      <c r="B7" s="239" t="s">
        <v>992</v>
      </c>
      <c r="C7" s="359" t="str">
        <f>IFERROR(VLOOKUP([1]!Tabla9[[CEDULA ]],[1]!LUNES[#Data],5,0),"No registró")</f>
        <v>No registró</v>
      </c>
      <c r="D7" s="359" t="str">
        <f>IFERROR(LOOKUP(2,1/([1]!LUNES[[CEDULA ]]=[1]!Tabla9[[#This Row],[CEDULA ]]),[1]!LUNES[HORA]),"No registró")</f>
        <v>No registró</v>
      </c>
      <c r="E7" s="359">
        <f>IFERROR(VLOOKUP([1]!Tabla9[[CEDULA ]],[1]!MARTES[#Data],5,0),"No registró")</f>
        <v>0.30775462962962963</v>
      </c>
      <c r="F7" s="359">
        <f>IFERROR(LOOKUP(2,1/([1]!MARTES[[CEDULA ]]=[1]!Tabla9[[#This Row],[CEDULA ]]),[1]!MARTES[HORA]),"No Registró")</f>
        <v>0.55329861111111112</v>
      </c>
      <c r="G7" s="359" t="str">
        <f>IFERROR(VLOOKUP([1]!Tabla9[[CEDULA ]],[1]!MIERCOLES[#Data],5,0),"No registró")</f>
        <v>No registró</v>
      </c>
      <c r="H7" s="359" t="str">
        <f>IFERROR(LOOKUP(2,1/([1]!MIERCOLES[[CEDULA ]]=[1]!Tabla9[[#This Row],[CEDULA ]]),[1]!MIERCOLES[HORA]),"No registró")</f>
        <v>No registró</v>
      </c>
      <c r="I7" s="359" t="str">
        <f>IFERROR(VLOOKUP([1]!Tabla9[[CEDULA ]],[1]!JUEVES[#Data],5,0),"No Registró")</f>
        <v>No Registró</v>
      </c>
      <c r="J7" s="359" t="str">
        <f>IFERROR(LOOKUP(2,1/([1]!JUEVES[[CEDULA ]]=[1]!Tabla9[[#This Row],[CEDULA ]]),[1]!JUEVES[HORA]),"No registró")</f>
        <v>No registró</v>
      </c>
      <c r="K7" s="359" t="str">
        <f>IFERROR(VLOOKUP([1]!Tabla9[[CEDULA ]],[1]!VIERNES[#Data],5,0),"No registró")</f>
        <v>No registró</v>
      </c>
      <c r="L7" s="359" t="str">
        <f>IFERROR(LOOKUP(2,1/([1]!VIERNES[[CEDULA ]]=[1]!Tabla9[[#This Row],[CEDULA ]]),[1]!VIERNES[HORA]),"No registró")</f>
        <v>No registró</v>
      </c>
      <c r="M7" s="359" t="str">
        <f>IFERROR(VLOOKUP([1]!Tabla9[[CEDULA ]],[1]!SABADO[#Data],5,0),"No registró")</f>
        <v>No registró</v>
      </c>
      <c r="N7" s="359" t="str">
        <f>IFERROR(LOOKUP(2,1/([1]!SABADO[[CEDULA ]]=[1]!Tabla9[[#This Row],[CEDULA ]]),[1]!SABADO[HORA]),"No registró")</f>
        <v>No registró</v>
      </c>
      <c r="O7" s="359" t="str">
        <f>IFERROR(VLOOKUP([1]!Tabla9[[CEDULA ]],[1]!DOMINGO[#Data],5,0),"No registró")</f>
        <v>No registró</v>
      </c>
      <c r="P7" s="359" t="str">
        <f>IFERROR(LOOKUP(2,1/([1]!DOMINGO[[CEDULA ]]=[1]!Tabla9[[#This Row],[CEDULA ]]),[1]!DOMINGO[HORA]),"No registró")</f>
        <v>No registró</v>
      </c>
      <c r="Q7" s="240">
        <f>IFERROR(VLOOKUP(A7,DATOS[],10,0),"")</f>
        <v>0</v>
      </c>
      <c r="V7" s="208">
        <v>5</v>
      </c>
      <c r="W7" s="145" t="s">
        <v>834</v>
      </c>
      <c r="X7" s="359">
        <v>0.28819444444444448</v>
      </c>
      <c r="Y7" s="266">
        <f t="shared" si="2"/>
        <v>0.2951388888888889</v>
      </c>
      <c r="Z7" s="359">
        <v>0.28125</v>
      </c>
      <c r="AA7" s="266">
        <f t="shared" si="0"/>
        <v>0.28819444444444442</v>
      </c>
      <c r="AB7" s="255"/>
      <c r="AC7" s="266">
        <f t="shared" si="1"/>
        <v>6.9444444444444441E-3</v>
      </c>
      <c r="AD7" s="255"/>
      <c r="AE7" s="266">
        <f>$W$1+AD7</f>
        <v>6.9444444444444441E-3</v>
      </c>
      <c r="AF7" s="255"/>
      <c r="AG7" s="266">
        <f t="shared" si="3"/>
        <v>6.9444444444444441E-3</v>
      </c>
    </row>
    <row r="8" spans="1:33" x14ac:dyDescent="0.25">
      <c r="A8" s="239">
        <v>3752064</v>
      </c>
      <c r="B8" s="239" t="s">
        <v>993</v>
      </c>
      <c r="C8" s="359">
        <f>IFERROR(VLOOKUP([1]!Tabla9[[CEDULA ]],[1]!LUNES[#Data],5,0),"No registró")</f>
        <v>0.27859953703703705</v>
      </c>
      <c r="D8" s="359">
        <f>IFERROR(LOOKUP(2,1/([1]!LUNES[[CEDULA ]]=[1]!Tabla9[[#This Row],[CEDULA ]]),[1]!LUNES[HORA]),"No registró")</f>
        <v>0.5533217592592593</v>
      </c>
      <c r="E8" s="359" t="str">
        <f>IFERROR(VLOOKUP([1]!Tabla9[[CEDULA ]],[1]!MARTES[#Data],5,0),"No registró")</f>
        <v>No registró</v>
      </c>
      <c r="F8" s="359" t="str">
        <f>IFERROR(LOOKUP(2,1/([1]!MARTES[[CEDULA ]]=[1]!Tabla9[[#This Row],[CEDULA ]]),[1]!MARTES[HORA]),"No Registró")</f>
        <v>No Registró</v>
      </c>
      <c r="G8" s="359" t="str">
        <f>IFERROR(VLOOKUP([1]!Tabla9[[CEDULA ]],[1]!MIERCOLES[#Data],5,0),"No registró")</f>
        <v>No registró</v>
      </c>
      <c r="H8" s="359" t="str">
        <f>IFERROR(LOOKUP(2,1/([1]!MIERCOLES[[CEDULA ]]=[1]!Tabla9[[#This Row],[CEDULA ]]),[1]!MIERCOLES[HORA]),"No registró")</f>
        <v>No registró</v>
      </c>
      <c r="I8" s="359" t="str">
        <f>IFERROR(VLOOKUP([1]!Tabla9[[CEDULA ]],[1]!JUEVES[#Data],5,0),"No Registró")</f>
        <v>No Registró</v>
      </c>
      <c r="J8" s="359" t="str">
        <f>IFERROR(LOOKUP(2,1/([1]!JUEVES[[CEDULA ]]=[1]!Tabla9[[#This Row],[CEDULA ]]),[1]!JUEVES[HORA]),"No registró")</f>
        <v>No registró</v>
      </c>
      <c r="K8" s="359" t="str">
        <f>IFERROR(VLOOKUP([1]!Tabla9[[CEDULA ]],[1]!VIERNES[#Data],5,0),"No registró")</f>
        <v>No registró</v>
      </c>
      <c r="L8" s="359" t="str">
        <f>IFERROR(LOOKUP(2,1/([1]!VIERNES[[CEDULA ]]=[1]!Tabla9[[#This Row],[CEDULA ]]),[1]!VIERNES[HORA]),"No registró")</f>
        <v>No registró</v>
      </c>
      <c r="M8" s="359" t="str">
        <f>IFERROR(VLOOKUP([1]!Tabla9[[CEDULA ]],[1]!SABADO[#Data],5,0),"No registró")</f>
        <v>No registró</v>
      </c>
      <c r="N8" s="359" t="str">
        <f>IFERROR(LOOKUP(2,1/([1]!SABADO[[CEDULA ]]=[1]!Tabla9[[#This Row],[CEDULA ]]),[1]!SABADO[HORA]),"No registró")</f>
        <v>No registró</v>
      </c>
      <c r="O8" s="359" t="str">
        <f>IFERROR(VLOOKUP([1]!Tabla9[[CEDULA ]],[1]!DOMINGO[#Data],5,0),"No registró")</f>
        <v>No registró</v>
      </c>
      <c r="P8" s="359" t="str">
        <f>IFERROR(LOOKUP(2,1/([1]!DOMINGO[[CEDULA ]]=[1]!Tabla9[[#This Row],[CEDULA ]]),[1]!DOMINGO[HORA]),"No registró")</f>
        <v>No registró</v>
      </c>
      <c r="Q8" s="240" t="str">
        <f>IFERROR(VLOOKUP(A8,DATOS[],10,0),"")</f>
        <v xml:space="preserve"> </v>
      </c>
      <c r="V8" s="208">
        <v>4</v>
      </c>
      <c r="W8" s="146" t="s">
        <v>815</v>
      </c>
      <c r="X8" s="359">
        <v>0.30833333333333335</v>
      </c>
      <c r="Y8" s="266">
        <f t="shared" si="2"/>
        <v>0.31527777777777777</v>
      </c>
      <c r="Z8" s="378">
        <v>0.33680555555555558</v>
      </c>
      <c r="AA8" s="266">
        <f t="shared" si="0"/>
        <v>0.34375</v>
      </c>
      <c r="AB8" s="256"/>
      <c r="AC8" s="266">
        <f t="shared" si="1"/>
        <v>6.9444444444444441E-3</v>
      </c>
      <c r="AD8" s="255"/>
      <c r="AE8" s="266">
        <f>$W$1+AD8</f>
        <v>6.9444444444444441E-3</v>
      </c>
      <c r="AF8" s="255"/>
      <c r="AG8" s="266">
        <f t="shared" si="3"/>
        <v>6.9444444444444441E-3</v>
      </c>
    </row>
    <row r="9" spans="1:33" x14ac:dyDescent="0.25">
      <c r="A9" s="239">
        <v>3759325</v>
      </c>
      <c r="B9" s="239" t="s">
        <v>994</v>
      </c>
      <c r="C9" s="359">
        <f>IFERROR(VLOOKUP([1]!Tabla9[[CEDULA ]],[1]!LUNES[#Data],5,0),"No registró")</f>
        <v>0.27813657407407405</v>
      </c>
      <c r="D9" s="359">
        <f>IFERROR(LOOKUP(2,1/([1]!LUNES[[CEDULA ]]=[1]!Tabla9[[#This Row],[CEDULA ]]),[1]!LUNES[HORA]),"No registró")</f>
        <v>0.34241898148148148</v>
      </c>
      <c r="E9" s="359">
        <f>IFERROR(VLOOKUP([1]!Tabla9[[CEDULA ]],[1]!MARTES[#Data],5,0),"No registró")</f>
        <v>0.27774305555555556</v>
      </c>
      <c r="F9" s="359">
        <f>IFERROR(LOOKUP(2,1/([1]!MARTES[[CEDULA ]]=[1]!Tabla9[[#This Row],[CEDULA ]]),[1]!MARTES[HORA]),"No Registró")</f>
        <v>0.44096064814814812</v>
      </c>
      <c r="G9" s="359" t="str">
        <f>IFERROR(VLOOKUP([1]!Tabla9[[CEDULA ]],[1]!MIERCOLES[#Data],5,0),"No registró")</f>
        <v>No registró</v>
      </c>
      <c r="H9" s="359" t="str">
        <f>IFERROR(LOOKUP(2,1/([1]!MIERCOLES[[CEDULA ]]=[1]!Tabla9[[#This Row],[CEDULA ]]),[1]!MIERCOLES[HORA]),"No registró")</f>
        <v>No registró</v>
      </c>
      <c r="I9" s="359" t="str">
        <f>IFERROR(VLOOKUP([1]!Tabla9[[CEDULA ]],[1]!JUEVES[#Data],5,0),"No Registró")</f>
        <v>No Registró</v>
      </c>
      <c r="J9" s="359" t="str">
        <f>IFERROR(LOOKUP(2,1/([1]!JUEVES[[CEDULA ]]=[1]!Tabla9[[#This Row],[CEDULA ]]),[1]!JUEVES[HORA]),"No registró")</f>
        <v>No registró</v>
      </c>
      <c r="K9" s="359" t="str">
        <f>IFERROR(VLOOKUP([1]!Tabla9[[CEDULA ]],[1]!VIERNES[#Data],5,0),"No registró")</f>
        <v>No registró</v>
      </c>
      <c r="L9" s="359" t="str">
        <f>IFERROR(LOOKUP(2,1/([1]!VIERNES[[CEDULA ]]=[1]!Tabla9[[#This Row],[CEDULA ]]),[1]!VIERNES[HORA]),"No registró")</f>
        <v>No registró</v>
      </c>
      <c r="M9" s="359">
        <f>IFERROR(VLOOKUP([1]!Tabla9[[CEDULA ]],[1]!SABADO[#Data],5,0),"No registró")</f>
        <v>0.30667824074074074</v>
      </c>
      <c r="N9" s="359">
        <f>IFERROR(LOOKUP(2,1/([1]!SABADO[[CEDULA ]]=[1]!Tabla9[[#This Row],[CEDULA ]]),[1]!SABADO[HORA]),"No registró")</f>
        <v>0.54038194444444443</v>
      </c>
      <c r="O9" s="359" t="str">
        <f>IFERROR(VLOOKUP([1]!Tabla9[[CEDULA ]],[1]!DOMINGO[#Data],5,0),"No registró")</f>
        <v>No registró</v>
      </c>
      <c r="P9" s="359" t="str">
        <f>IFERROR(LOOKUP(2,1/([1]!DOMINGO[[CEDULA ]]=[1]!Tabla9[[#This Row],[CEDULA ]]),[1]!DOMINGO[HORA]),"No registró")</f>
        <v>No registró</v>
      </c>
      <c r="Q9" s="240" t="str">
        <f>IFERROR(VLOOKUP(A9,DATOS[],10,0),"")</f>
        <v>1. COCHE</v>
      </c>
    </row>
    <row r="10" spans="1:33" x14ac:dyDescent="0.25">
      <c r="A10" s="239">
        <v>3884398</v>
      </c>
      <c r="B10" s="239" t="s">
        <v>995</v>
      </c>
      <c r="C10" s="359">
        <f>IFERROR(VLOOKUP([1]!Tabla9[[CEDULA ]],[1]!LUNES[#Data],5,0),"No registró")</f>
        <v>0.28787037037037039</v>
      </c>
      <c r="D10" s="359">
        <f>IFERROR(LOOKUP(2,1/([1]!LUNES[[CEDULA ]]=[1]!Tabla9[[#This Row],[CEDULA ]]),[1]!LUNES[HORA]),"No registró")</f>
        <v>0.55548611111111112</v>
      </c>
      <c r="E10" s="359">
        <f>IFERROR(VLOOKUP([1]!Tabla9[[CEDULA ]],[1]!MARTES[#Data],5,0),"No registró")</f>
        <v>0.28310185185185183</v>
      </c>
      <c r="F10" s="359">
        <f>IFERROR(LOOKUP(2,1/([1]!MARTES[[CEDULA ]]=[1]!Tabla9[[#This Row],[CEDULA ]]),[1]!MARTES[HORA]),"No Registró")</f>
        <v>0.55365740740740743</v>
      </c>
      <c r="G10" s="359" t="str">
        <f>IFERROR(VLOOKUP([1]!Tabla9[[CEDULA ]],[1]!MIERCOLES[#Data],5,0),"No registró")</f>
        <v>No registró</v>
      </c>
      <c r="H10" s="359" t="str">
        <f>IFERROR(LOOKUP(2,1/([1]!MIERCOLES[[CEDULA ]]=[1]!Tabla9[[#This Row],[CEDULA ]]),[1]!MIERCOLES[HORA]),"No registró")</f>
        <v>No registró</v>
      </c>
      <c r="I10" s="359" t="str">
        <f>IFERROR(VLOOKUP([1]!Tabla9[[CEDULA ]],[1]!JUEVES[#Data],5,0),"No Registró")</f>
        <v>No Registró</v>
      </c>
      <c r="J10" s="359" t="str">
        <f>IFERROR(LOOKUP(2,1/([1]!JUEVES[[CEDULA ]]=[1]!Tabla9[[#This Row],[CEDULA ]]),[1]!JUEVES[HORA]),"No registró")</f>
        <v>No registró</v>
      </c>
      <c r="K10" s="359" t="str">
        <f>IFERROR(VLOOKUP([1]!Tabla9[[CEDULA ]],[1]!VIERNES[#Data],5,0),"No registró")</f>
        <v>No registró</v>
      </c>
      <c r="L10" s="359" t="str">
        <f>IFERROR(LOOKUP(2,1/([1]!VIERNES[[CEDULA ]]=[1]!Tabla9[[#This Row],[CEDULA ]]),[1]!VIERNES[HORA]),"No registró")</f>
        <v>No registró</v>
      </c>
      <c r="M10" s="359" t="str">
        <f>IFERROR(VLOOKUP([1]!Tabla9[[CEDULA ]],[1]!SABADO[#Data],5,0),"No registró")</f>
        <v>No registró</v>
      </c>
      <c r="N10" s="359" t="str">
        <f>IFERROR(LOOKUP(2,1/([1]!SABADO[[CEDULA ]]=[1]!Tabla9[[#This Row],[CEDULA ]]),[1]!SABADO[HORA]),"No registró")</f>
        <v>No registró</v>
      </c>
      <c r="O10" s="359" t="str">
        <f>IFERROR(VLOOKUP([1]!Tabla9[[CEDULA ]],[1]!DOMINGO[#Data],5,0),"No registró")</f>
        <v>No registró</v>
      </c>
      <c r="P10" s="359" t="str">
        <f>IFERROR(LOOKUP(2,1/([1]!DOMINGO[[CEDULA ]]=[1]!Tabla9[[#This Row],[CEDULA ]]),[1]!DOMINGO[HORA]),"No registró")</f>
        <v>No registró</v>
      </c>
      <c r="Q10" s="240" t="str">
        <f>IFERROR(VLOOKUP(A10,DATOS[],10,0),"")</f>
        <v>5. GUARENAS</v>
      </c>
      <c r="X10" s="2"/>
      <c r="Z10" s="165"/>
      <c r="AA10" s="166"/>
    </row>
    <row r="11" spans="1:33" x14ac:dyDescent="0.25">
      <c r="A11" s="239">
        <v>4081782</v>
      </c>
      <c r="B11" s="239" t="s">
        <v>996</v>
      </c>
      <c r="C11" s="359">
        <f>IFERROR(VLOOKUP([1]!Tabla9[[CEDULA ]],[1]!LUNES[#Data],5,0),"No registró")</f>
        <v>0.37379629629629635</v>
      </c>
      <c r="D11" s="359">
        <f>IFERROR(LOOKUP(2,1/([1]!LUNES[[CEDULA ]]=[1]!Tabla9[[#This Row],[CEDULA ]]),[1]!LUNES[HORA]),"No registró")</f>
        <v>0.68347222222222215</v>
      </c>
      <c r="E11" s="359">
        <f>IFERROR(VLOOKUP([1]!Tabla9[[CEDULA ]],[1]!MARTES[#Data],5,0),"No registró")</f>
        <v>0.36170138888888892</v>
      </c>
      <c r="F11" s="359">
        <f>IFERROR(LOOKUP(2,1/([1]!MARTES[[CEDULA ]]=[1]!Tabla9[[#This Row],[CEDULA ]]),[1]!MARTES[HORA]),"No Registró")</f>
        <v>0.63898148148148148</v>
      </c>
      <c r="G11" s="359" t="str">
        <f>IFERROR(VLOOKUP([1]!Tabla9[[CEDULA ]],[1]!MIERCOLES[#Data],5,0),"No registró")</f>
        <v>No registró</v>
      </c>
      <c r="H11" s="359" t="str">
        <f>IFERROR(LOOKUP(2,1/([1]!MIERCOLES[[CEDULA ]]=[1]!Tabla9[[#This Row],[CEDULA ]]),[1]!MIERCOLES[HORA]),"No registró")</f>
        <v>No registró</v>
      </c>
      <c r="I11" s="359" t="str">
        <f>IFERROR(VLOOKUP([1]!Tabla9[[CEDULA ]],[1]!JUEVES[#Data],5,0),"No Registró")</f>
        <v>No Registró</v>
      </c>
      <c r="J11" s="359" t="str">
        <f>IFERROR(LOOKUP(2,1/([1]!JUEVES[[CEDULA ]]=[1]!Tabla9[[#This Row],[CEDULA ]]),[1]!JUEVES[HORA]),"No registró")</f>
        <v>No registró</v>
      </c>
      <c r="K11" s="359" t="str">
        <f>IFERROR(VLOOKUP([1]!Tabla9[[CEDULA ]],[1]!VIERNES[#Data],5,0),"No registró")</f>
        <v>No registró</v>
      </c>
      <c r="L11" s="359" t="str">
        <f>IFERROR(LOOKUP(2,1/([1]!VIERNES[[CEDULA ]]=[1]!Tabla9[[#This Row],[CEDULA ]]),[1]!VIERNES[HORA]),"No registró")</f>
        <v>No registró</v>
      </c>
      <c r="M11" s="359" t="str">
        <f>IFERROR(VLOOKUP([1]!Tabla9[[CEDULA ]],[1]!SABADO[#Data],5,0),"No registró")</f>
        <v>No registró</v>
      </c>
      <c r="N11" s="359" t="str">
        <f>IFERROR(LOOKUP(2,1/([1]!SABADO[[CEDULA ]]=[1]!Tabla9[[#This Row],[CEDULA ]]),[1]!SABADO[HORA]),"No registró")</f>
        <v>No registró</v>
      </c>
      <c r="O11" s="359" t="str">
        <f>IFERROR(VLOOKUP([1]!Tabla9[[CEDULA ]],[1]!DOMINGO[#Data],5,0),"No registró")</f>
        <v>No registró</v>
      </c>
      <c r="P11" s="359" t="str">
        <f>IFERROR(LOOKUP(2,1/([1]!DOMINGO[[CEDULA ]]=[1]!Tabla9[[#This Row],[CEDULA ]]),[1]!DOMINGO[HORA]),"No registró")</f>
        <v>No registró</v>
      </c>
      <c r="Q11" s="240">
        <f>IFERROR(VLOOKUP(A11,DATOS[],10,0),"")</f>
        <v>0</v>
      </c>
      <c r="Z11" s="165"/>
    </row>
    <row r="12" spans="1:33" x14ac:dyDescent="0.25">
      <c r="A12" s="239">
        <v>4165987</v>
      </c>
      <c r="B12" s="239" t="s">
        <v>997</v>
      </c>
      <c r="C12" s="359">
        <f>IFERROR(VLOOKUP([1]!Tabla9[[CEDULA ]],[1]!LUNES[#Data],5,0),"No registró")</f>
        <v>0.34392361111111108</v>
      </c>
      <c r="D12" s="359">
        <f>IFERROR(LOOKUP(2,1/([1]!LUNES[[CEDULA ]]=[1]!Tabla9[[#This Row],[CEDULA ]]),[1]!LUNES[HORA]),"No registró")</f>
        <v>0.55115740740740737</v>
      </c>
      <c r="E12" s="359">
        <f>IFERROR(VLOOKUP([1]!Tabla9[[CEDULA ]],[1]!MARTES[#Data],5,0),"No registró")</f>
        <v>0.36068287037037039</v>
      </c>
      <c r="F12" s="359">
        <f>IFERROR(LOOKUP(2,1/([1]!MARTES[[CEDULA ]]=[1]!Tabla9[[#This Row],[CEDULA ]]),[1]!MARTES[HORA]),"No Registró")</f>
        <v>0.55027777777777775</v>
      </c>
      <c r="G12" s="359" t="str">
        <f>IFERROR(VLOOKUP([1]!Tabla9[[CEDULA ]],[1]!MIERCOLES[#Data],5,0),"No registró")</f>
        <v>No registró</v>
      </c>
      <c r="H12" s="359" t="str">
        <f>IFERROR(LOOKUP(2,1/([1]!MIERCOLES[[CEDULA ]]=[1]!Tabla9[[#This Row],[CEDULA ]]),[1]!MIERCOLES[HORA]),"No registró")</f>
        <v>No registró</v>
      </c>
      <c r="I12" s="359" t="str">
        <f>IFERROR(VLOOKUP([1]!Tabla9[[CEDULA ]],[1]!JUEVES[#Data],5,0),"No Registró")</f>
        <v>No Registró</v>
      </c>
      <c r="J12" s="359" t="str">
        <f>IFERROR(LOOKUP(2,1/([1]!JUEVES[[CEDULA ]]=[1]!Tabla9[[#This Row],[CEDULA ]]),[1]!JUEVES[HORA]),"No registró")</f>
        <v>No registró</v>
      </c>
      <c r="K12" s="359" t="str">
        <f>IFERROR(VLOOKUP([1]!Tabla9[[CEDULA ]],[1]!VIERNES[#Data],5,0),"No registró")</f>
        <v>No registró</v>
      </c>
      <c r="L12" s="359" t="str">
        <f>IFERROR(LOOKUP(2,1/([1]!VIERNES[[CEDULA ]]=[1]!Tabla9[[#This Row],[CEDULA ]]),[1]!VIERNES[HORA]),"No registró")</f>
        <v>No registró</v>
      </c>
      <c r="M12" s="359" t="str">
        <f>IFERROR(VLOOKUP([1]!Tabla9[[CEDULA ]],[1]!SABADO[#Data],5,0),"No registró")</f>
        <v>No registró</v>
      </c>
      <c r="N12" s="359" t="str">
        <f>IFERROR(LOOKUP(2,1/([1]!SABADO[[CEDULA ]]=[1]!Tabla9[[#This Row],[CEDULA ]]),[1]!SABADO[HORA]),"No registró")</f>
        <v>No registró</v>
      </c>
      <c r="O12" s="359" t="str">
        <f>IFERROR(VLOOKUP([1]!Tabla9[[CEDULA ]],[1]!DOMINGO[#Data],5,0),"No registró")</f>
        <v>No registró</v>
      </c>
      <c r="P12" s="359" t="str">
        <f>IFERROR(LOOKUP(2,1/([1]!DOMINGO[[CEDULA ]]=[1]!Tabla9[[#This Row],[CEDULA ]]),[1]!DOMINGO[HORA]),"No registró")</f>
        <v>No registró</v>
      </c>
      <c r="Q12" s="240">
        <f>IFERROR(VLOOKUP(A12,DATOS[],10,0),"")</f>
        <v>0</v>
      </c>
      <c r="W12" s="411" t="s">
        <v>1426</v>
      </c>
      <c r="Z12" s="165"/>
    </row>
    <row r="13" spans="1:33" x14ac:dyDescent="0.25">
      <c r="A13" s="239">
        <v>4338078</v>
      </c>
      <c r="B13" s="239" t="s">
        <v>998</v>
      </c>
      <c r="C13" s="359">
        <f>IFERROR(VLOOKUP([1]!Tabla9[[CEDULA ]],[1]!LUNES[#Data],5,0),"No registró")</f>
        <v>0.30975694444444446</v>
      </c>
      <c r="D13" s="359">
        <f>IFERROR(LOOKUP(2,1/([1]!LUNES[[CEDULA ]]=[1]!Tabla9[[#This Row],[CEDULA ]]),[1]!LUNES[HORA]),"No registró")</f>
        <v>0.55578703703703702</v>
      </c>
      <c r="E13" s="359" t="str">
        <f>IFERROR(VLOOKUP([1]!Tabla9[[CEDULA ]],[1]!MARTES[#Data],5,0),"No registró")</f>
        <v>No registró</v>
      </c>
      <c r="F13" s="359" t="str">
        <f>IFERROR(LOOKUP(2,1/([1]!MARTES[[CEDULA ]]=[1]!Tabla9[[#This Row],[CEDULA ]]),[1]!MARTES[HORA]),"No Registró")</f>
        <v>No Registró</v>
      </c>
      <c r="G13" s="359" t="str">
        <f>IFERROR(VLOOKUP([1]!Tabla9[[CEDULA ]],[1]!MIERCOLES[#Data],5,0),"No registró")</f>
        <v>No registró</v>
      </c>
      <c r="H13" s="359" t="str">
        <f>IFERROR(LOOKUP(2,1/([1]!MIERCOLES[[CEDULA ]]=[1]!Tabla9[[#This Row],[CEDULA ]]),[1]!MIERCOLES[HORA]),"No registró")</f>
        <v>No registró</v>
      </c>
      <c r="I13" s="359" t="str">
        <f>IFERROR(VLOOKUP([1]!Tabla9[[CEDULA ]],[1]!JUEVES[#Data],5,0),"No Registró")</f>
        <v>No Registró</v>
      </c>
      <c r="J13" s="359" t="str">
        <f>IFERROR(LOOKUP(2,1/([1]!JUEVES[[CEDULA ]]=[1]!Tabla9[[#This Row],[CEDULA ]]),[1]!JUEVES[HORA]),"No registró")</f>
        <v>No registró</v>
      </c>
      <c r="K13" s="359" t="str">
        <f>IFERROR(VLOOKUP([1]!Tabla9[[CEDULA ]],[1]!VIERNES[#Data],5,0),"No registró")</f>
        <v>No registró</v>
      </c>
      <c r="L13" s="359" t="str">
        <f>IFERROR(LOOKUP(2,1/([1]!VIERNES[[CEDULA ]]=[1]!Tabla9[[#This Row],[CEDULA ]]),[1]!VIERNES[HORA]),"No registró")</f>
        <v>No registró</v>
      </c>
      <c r="M13" s="359" t="str">
        <f>IFERROR(VLOOKUP([1]!Tabla9[[CEDULA ]],[1]!SABADO[#Data],5,0),"No registró")</f>
        <v>No registró</v>
      </c>
      <c r="N13" s="359" t="str">
        <f>IFERROR(LOOKUP(2,1/([1]!SABADO[[CEDULA ]]=[1]!Tabla9[[#This Row],[CEDULA ]]),[1]!SABADO[HORA]),"No registró")</f>
        <v>No registró</v>
      </c>
      <c r="O13" s="359" t="str">
        <f>IFERROR(VLOOKUP([1]!Tabla9[[CEDULA ]],[1]!DOMINGO[#Data],5,0),"No registró")</f>
        <v>No registró</v>
      </c>
      <c r="P13" s="359" t="str">
        <f>IFERROR(LOOKUP(2,1/([1]!DOMINGO[[CEDULA ]]=[1]!Tabla9[[#This Row],[CEDULA ]]),[1]!DOMINGO[HORA]),"No registró")</f>
        <v>No registró</v>
      </c>
      <c r="Q13" s="240">
        <f>IFERROR(VLOOKUP(A13,DATOS[],10,0),"")</f>
        <v>0</v>
      </c>
      <c r="Z13" s="165"/>
    </row>
    <row r="14" spans="1:33" x14ac:dyDescent="0.25">
      <c r="A14" s="239">
        <v>4352901</v>
      </c>
      <c r="B14" s="239" t="s">
        <v>999</v>
      </c>
      <c r="C14" s="359">
        <f>IFERROR(VLOOKUP([1]!Tabla9[[CEDULA ]],[1]!LUNES[#Data],5,0),"No registró")</f>
        <v>0.32082175925925926</v>
      </c>
      <c r="D14" s="359">
        <f>IFERROR(LOOKUP(2,1/([1]!LUNES[[CEDULA ]]=[1]!Tabla9[[#This Row],[CEDULA ]]),[1]!LUNES[HORA]),"No registró")</f>
        <v>0.58434027777777775</v>
      </c>
      <c r="E14" s="359">
        <f>IFERROR(VLOOKUP([1]!Tabla9[[CEDULA ]],[1]!MARTES[#Data],5,0),"No registró")</f>
        <v>0.31660879629629629</v>
      </c>
      <c r="F14" s="359">
        <f>IFERROR(LOOKUP(2,1/([1]!MARTES[[CEDULA ]]=[1]!Tabla9[[#This Row],[CEDULA ]]),[1]!MARTES[HORA]),"No Registró")</f>
        <v>0.56265046296296295</v>
      </c>
      <c r="G14" s="359" t="str">
        <f>IFERROR(VLOOKUP([1]!Tabla9[[CEDULA ]],[1]!MIERCOLES[#Data],5,0),"No registró")</f>
        <v>No registró</v>
      </c>
      <c r="H14" s="359" t="str">
        <f>IFERROR(LOOKUP(2,1/([1]!MIERCOLES[[CEDULA ]]=[1]!Tabla9[[#This Row],[CEDULA ]]),[1]!MIERCOLES[HORA]),"No registró")</f>
        <v>No registró</v>
      </c>
      <c r="I14" s="359" t="str">
        <f>IFERROR(VLOOKUP([1]!Tabla9[[CEDULA ]],[1]!JUEVES[#Data],5,0),"No Registró")</f>
        <v>No Registró</v>
      </c>
      <c r="J14" s="359" t="str">
        <f>IFERROR(LOOKUP(2,1/([1]!JUEVES[[CEDULA ]]=[1]!Tabla9[[#This Row],[CEDULA ]]),[1]!JUEVES[HORA]),"No registró")</f>
        <v>No registró</v>
      </c>
      <c r="K14" s="359" t="str">
        <f>IFERROR(VLOOKUP([1]!Tabla9[[CEDULA ]],[1]!VIERNES[#Data],5,0),"No registró")</f>
        <v>No registró</v>
      </c>
      <c r="L14" s="359" t="str">
        <f>IFERROR(LOOKUP(2,1/([1]!VIERNES[[CEDULA ]]=[1]!Tabla9[[#This Row],[CEDULA ]]),[1]!VIERNES[HORA]),"No registró")</f>
        <v>No registró</v>
      </c>
      <c r="M14" s="359" t="str">
        <f>IFERROR(VLOOKUP([1]!Tabla9[[CEDULA ]],[1]!SABADO[#Data],5,0),"No registró")</f>
        <v>No registró</v>
      </c>
      <c r="N14" s="359" t="str">
        <f>IFERROR(LOOKUP(2,1/([1]!SABADO[[CEDULA ]]=[1]!Tabla9[[#This Row],[CEDULA ]]),[1]!SABADO[HORA]),"No registró")</f>
        <v>No registró</v>
      </c>
      <c r="O14" s="359" t="str">
        <f>IFERROR(VLOOKUP([1]!Tabla9[[CEDULA ]],[1]!DOMINGO[#Data],5,0),"No registró")</f>
        <v>No registró</v>
      </c>
      <c r="P14" s="359" t="str">
        <f>IFERROR(LOOKUP(2,1/([1]!DOMINGO[[CEDULA ]]=[1]!Tabla9[[#This Row],[CEDULA ]]),[1]!DOMINGO[HORA]),"No registró")</f>
        <v>No registró</v>
      </c>
      <c r="Q14" s="240" t="str">
        <f>IFERROR(VLOOKUP(A14,DATOS[],10,0),"")</f>
        <v>0. ALTO NIVEL</v>
      </c>
      <c r="Z14" s="165"/>
    </row>
    <row r="15" spans="1:33" x14ac:dyDescent="0.25">
      <c r="A15" s="239">
        <v>4357745</v>
      </c>
      <c r="B15" s="239" t="s">
        <v>1000</v>
      </c>
      <c r="C15" s="359">
        <f>IFERROR(VLOOKUP([1]!Tabla9[[CEDULA ]],[1]!LUNES[#Data],5,0),"No registró")</f>
        <v>0.33369212962962963</v>
      </c>
      <c r="D15" s="359">
        <f>IFERROR(LOOKUP(2,1/([1]!LUNES[[CEDULA ]]=[1]!Tabla9[[#This Row],[CEDULA ]]),[1]!LUNES[HORA]),"No registró")</f>
        <v>0.5564351851851852</v>
      </c>
      <c r="E15" s="359">
        <f>IFERROR(VLOOKUP([1]!Tabla9[[CEDULA ]],[1]!MARTES[#Data],5,0),"No registró")</f>
        <v>0.32685185185185184</v>
      </c>
      <c r="F15" s="359">
        <f>IFERROR(LOOKUP(2,1/([1]!MARTES[[CEDULA ]]=[1]!Tabla9[[#This Row],[CEDULA ]]),[1]!MARTES[HORA]),"No Registró")</f>
        <v>0.55363425925925924</v>
      </c>
      <c r="G15" s="359" t="str">
        <f>IFERROR(VLOOKUP([1]!Tabla9[[CEDULA ]],[1]!MIERCOLES[#Data],5,0),"No registró")</f>
        <v>No registró</v>
      </c>
      <c r="H15" s="359" t="str">
        <f>IFERROR(LOOKUP(2,1/([1]!MIERCOLES[[CEDULA ]]=[1]!Tabla9[[#This Row],[CEDULA ]]),[1]!MIERCOLES[HORA]),"No registró")</f>
        <v>No registró</v>
      </c>
      <c r="I15" s="359" t="str">
        <f>IFERROR(VLOOKUP([1]!Tabla9[[CEDULA ]],[1]!JUEVES[#Data],5,0),"No Registró")</f>
        <v>No Registró</v>
      </c>
      <c r="J15" s="359" t="str">
        <f>IFERROR(LOOKUP(2,1/([1]!JUEVES[[CEDULA ]]=[1]!Tabla9[[#This Row],[CEDULA ]]),[1]!JUEVES[HORA]),"No registró")</f>
        <v>No registró</v>
      </c>
      <c r="K15" s="359" t="str">
        <f>IFERROR(VLOOKUP([1]!Tabla9[[CEDULA ]],[1]!VIERNES[#Data],5,0),"No registró")</f>
        <v>No registró</v>
      </c>
      <c r="L15" s="359" t="str">
        <f>IFERROR(LOOKUP(2,1/([1]!VIERNES[[CEDULA ]]=[1]!Tabla9[[#This Row],[CEDULA ]]),[1]!VIERNES[HORA]),"No registró")</f>
        <v>No registró</v>
      </c>
      <c r="M15" s="359" t="str">
        <f>IFERROR(VLOOKUP([1]!Tabla9[[CEDULA ]],[1]!SABADO[#Data],5,0),"No registró")</f>
        <v>No registró</v>
      </c>
      <c r="N15" s="359" t="str">
        <f>IFERROR(LOOKUP(2,1/([1]!SABADO[[CEDULA ]]=[1]!Tabla9[[#This Row],[CEDULA ]]),[1]!SABADO[HORA]),"No registró")</f>
        <v>No registró</v>
      </c>
      <c r="O15" s="359" t="str">
        <f>IFERROR(VLOOKUP([1]!Tabla9[[CEDULA ]],[1]!DOMINGO[#Data],5,0),"No registró")</f>
        <v>No registró</v>
      </c>
      <c r="P15" s="359" t="str">
        <f>IFERROR(LOOKUP(2,1/([1]!DOMINGO[[CEDULA ]]=[1]!Tabla9[[#This Row],[CEDULA ]]),[1]!DOMINGO[HORA]),"No registró")</f>
        <v>No registró</v>
      </c>
      <c r="Q15" s="240">
        <f>IFERROR(VLOOKUP(A15,DATOS[],10,0),"")</f>
        <v>0</v>
      </c>
    </row>
    <row r="16" spans="1:33" x14ac:dyDescent="0.25">
      <c r="A16" s="239">
        <v>4416260</v>
      </c>
      <c r="B16" s="239" t="s">
        <v>1001</v>
      </c>
      <c r="C16" s="359" t="str">
        <f>IFERROR(VLOOKUP([1]!Tabla9[[CEDULA ]],[1]!LUNES[#Data],5,0),"No registró")</f>
        <v>No registró</v>
      </c>
      <c r="D16" s="359" t="str">
        <f>IFERROR(LOOKUP(2,1/([1]!LUNES[[CEDULA ]]=[1]!Tabla9[[#This Row],[CEDULA ]]),[1]!LUNES[HORA]),"No registró")</f>
        <v>No registró</v>
      </c>
      <c r="E16" s="359">
        <f>IFERROR(VLOOKUP([1]!Tabla9[[CEDULA ]],[1]!MARTES[#Data],5,0),"No registró")</f>
        <v>0.2918634259259259</v>
      </c>
      <c r="F16" s="359">
        <f>IFERROR(LOOKUP(2,1/([1]!MARTES[[CEDULA ]]=[1]!Tabla9[[#This Row],[CEDULA ]]),[1]!MARTES[HORA]),"No Registró")</f>
        <v>0.55815972222222221</v>
      </c>
      <c r="G16" s="359" t="str">
        <f>IFERROR(VLOOKUP([1]!Tabla9[[CEDULA ]],[1]!MIERCOLES[#Data],5,0),"No registró")</f>
        <v>No registró</v>
      </c>
      <c r="H16" s="359" t="str">
        <f>IFERROR(LOOKUP(2,1/([1]!MIERCOLES[[CEDULA ]]=[1]!Tabla9[[#This Row],[CEDULA ]]),[1]!MIERCOLES[HORA]),"No registró")</f>
        <v>No registró</v>
      </c>
      <c r="I16" s="359" t="str">
        <f>IFERROR(VLOOKUP([1]!Tabla9[[CEDULA ]],[1]!JUEVES[#Data],5,0),"No Registró")</f>
        <v>No Registró</v>
      </c>
      <c r="J16" s="359" t="str">
        <f>IFERROR(LOOKUP(2,1/([1]!JUEVES[[CEDULA ]]=[1]!Tabla9[[#This Row],[CEDULA ]]),[1]!JUEVES[HORA]),"No registró")</f>
        <v>No registró</v>
      </c>
      <c r="K16" s="359" t="str">
        <f>IFERROR(VLOOKUP([1]!Tabla9[[CEDULA ]],[1]!VIERNES[#Data],5,0),"No registró")</f>
        <v>No registró</v>
      </c>
      <c r="L16" s="359" t="str">
        <f>IFERROR(LOOKUP(2,1/([1]!VIERNES[[CEDULA ]]=[1]!Tabla9[[#This Row],[CEDULA ]]),[1]!VIERNES[HORA]),"No registró")</f>
        <v>No registró</v>
      </c>
      <c r="M16" s="359" t="str">
        <f>IFERROR(VLOOKUP([1]!Tabla9[[CEDULA ]],[1]!SABADO[#Data],5,0),"No registró")</f>
        <v>No registró</v>
      </c>
      <c r="N16" s="359" t="str">
        <f>IFERROR(LOOKUP(2,1/([1]!SABADO[[CEDULA ]]=[1]!Tabla9[[#This Row],[CEDULA ]]),[1]!SABADO[HORA]),"No registró")</f>
        <v>No registró</v>
      </c>
      <c r="O16" s="359" t="str">
        <f>IFERROR(VLOOKUP([1]!Tabla9[[CEDULA ]],[1]!DOMINGO[#Data],5,0),"No registró")</f>
        <v>No registró</v>
      </c>
      <c r="P16" s="359" t="str">
        <f>IFERROR(LOOKUP(2,1/([1]!DOMINGO[[CEDULA ]]=[1]!Tabla9[[#This Row],[CEDULA ]]),[1]!DOMINGO[HORA]),"No registró")</f>
        <v>No registró</v>
      </c>
      <c r="Q16" s="240">
        <f>IFERROR(VLOOKUP(A16,DATOS[],10,0),"")</f>
        <v>0</v>
      </c>
    </row>
    <row r="17" spans="1:17" x14ac:dyDescent="0.25">
      <c r="A17" s="239">
        <v>4681253</v>
      </c>
      <c r="B17" s="239" t="s">
        <v>1002</v>
      </c>
      <c r="C17" s="359">
        <f>IFERROR(VLOOKUP([1]!Tabla9[[CEDULA ]],[1]!LUNES[#Data],5,0),"No registró")</f>
        <v>0.35101851851851856</v>
      </c>
      <c r="D17" s="359">
        <f>IFERROR(LOOKUP(2,1/([1]!LUNES[[CEDULA ]]=[1]!Tabla9[[#This Row],[CEDULA ]]),[1]!LUNES[HORA]),"No registró")</f>
        <v>0.55483796296296295</v>
      </c>
      <c r="E17" s="359">
        <f>IFERROR(VLOOKUP([1]!Tabla9[[CEDULA ]],[1]!MARTES[#Data],5,0),"No registró")</f>
        <v>0.28700231481481481</v>
      </c>
      <c r="F17" s="359">
        <f>IFERROR(LOOKUP(2,1/([1]!MARTES[[CEDULA ]]=[1]!Tabla9[[#This Row],[CEDULA ]]),[1]!MARTES[HORA]),"No Registró")</f>
        <v>0.60579861111111111</v>
      </c>
      <c r="G17" s="359" t="str">
        <f>IFERROR(VLOOKUP([1]!Tabla9[[CEDULA ]],[1]!MIERCOLES[#Data],5,0),"No registró")</f>
        <v>No registró</v>
      </c>
      <c r="H17" s="359" t="str">
        <f>IFERROR(LOOKUP(2,1/([1]!MIERCOLES[[CEDULA ]]=[1]!Tabla9[[#This Row],[CEDULA ]]),[1]!MIERCOLES[HORA]),"No registró")</f>
        <v>No registró</v>
      </c>
      <c r="I17" s="359" t="str">
        <f>IFERROR(VLOOKUP([1]!Tabla9[[CEDULA ]],[1]!JUEVES[#Data],5,0),"No Registró")</f>
        <v>No Registró</v>
      </c>
      <c r="J17" s="359" t="str">
        <f>IFERROR(LOOKUP(2,1/([1]!JUEVES[[CEDULA ]]=[1]!Tabla9[[#This Row],[CEDULA ]]),[1]!JUEVES[HORA]),"No registró")</f>
        <v>No registró</v>
      </c>
      <c r="K17" s="359" t="str">
        <f>IFERROR(VLOOKUP([1]!Tabla9[[CEDULA ]],[1]!VIERNES[#Data],5,0),"No registró")</f>
        <v>No registró</v>
      </c>
      <c r="L17" s="359" t="str">
        <f>IFERROR(LOOKUP(2,1/([1]!VIERNES[[CEDULA ]]=[1]!Tabla9[[#This Row],[CEDULA ]]),[1]!VIERNES[HORA]),"No registró")</f>
        <v>No registró</v>
      </c>
      <c r="M17" s="359" t="str">
        <f>IFERROR(VLOOKUP([1]!Tabla9[[CEDULA ]],[1]!SABADO[#Data],5,0),"No registró")</f>
        <v>No registró</v>
      </c>
      <c r="N17" s="359" t="str">
        <f>IFERROR(LOOKUP(2,1/([1]!SABADO[[CEDULA ]]=[1]!Tabla9[[#This Row],[CEDULA ]]),[1]!SABADO[HORA]),"No registró")</f>
        <v>No registró</v>
      </c>
      <c r="O17" s="359" t="str">
        <f>IFERROR(VLOOKUP([1]!Tabla9[[CEDULA ]],[1]!DOMINGO[#Data],5,0),"No registró")</f>
        <v>No registró</v>
      </c>
      <c r="P17" s="359" t="str">
        <f>IFERROR(LOOKUP(2,1/([1]!DOMINGO[[CEDULA ]]=[1]!Tabla9[[#This Row],[CEDULA ]]),[1]!DOMINGO[HORA]),"No registró")</f>
        <v>No registró</v>
      </c>
      <c r="Q17" s="240" t="str">
        <f>IFERROR(VLOOKUP(A17,DATOS[],10,0),"")</f>
        <v>0. ALTO NIVEL</v>
      </c>
    </row>
    <row r="18" spans="1:17" x14ac:dyDescent="0.25">
      <c r="A18" s="239">
        <v>4834250</v>
      </c>
      <c r="B18" s="239" t="s">
        <v>1003</v>
      </c>
      <c r="C18" s="359" t="str">
        <f>IFERROR(VLOOKUP([1]!Tabla9[[CEDULA ]],[1]!LUNES[#Data],5,0),"No registró")</f>
        <v>No registró</v>
      </c>
      <c r="D18" s="359" t="str">
        <f>IFERROR(LOOKUP(2,1/([1]!LUNES[[CEDULA ]]=[1]!Tabla9[[#This Row],[CEDULA ]]),[1]!LUNES[HORA]),"No registró")</f>
        <v>No registró</v>
      </c>
      <c r="E18" s="359">
        <f>IFERROR(VLOOKUP([1]!Tabla9[[CEDULA ]],[1]!MARTES[#Data],5,0),"No registró")</f>
        <v>0.67126157407407405</v>
      </c>
      <c r="F18" s="359">
        <f>IFERROR(LOOKUP(2,1/([1]!MARTES[[CEDULA ]]=[1]!Tabla9[[#This Row],[CEDULA ]]),[1]!MARTES[HORA]),"No Registró")</f>
        <v>0.73199074074074078</v>
      </c>
      <c r="G18" s="359" t="str">
        <f>IFERROR(VLOOKUP([1]!Tabla9[[CEDULA ]],[1]!MIERCOLES[#Data],5,0),"No registró")</f>
        <v>No registró</v>
      </c>
      <c r="H18" s="359" t="str">
        <f>IFERROR(LOOKUP(2,1/([1]!MIERCOLES[[CEDULA ]]=[1]!Tabla9[[#This Row],[CEDULA ]]),[1]!MIERCOLES[HORA]),"No registró")</f>
        <v>No registró</v>
      </c>
      <c r="I18" s="359" t="str">
        <f>IFERROR(VLOOKUP([1]!Tabla9[[CEDULA ]],[1]!JUEVES[#Data],5,0),"No Registró")</f>
        <v>No Registró</v>
      </c>
      <c r="J18" s="359" t="str">
        <f>IFERROR(LOOKUP(2,1/([1]!JUEVES[[CEDULA ]]=[1]!Tabla9[[#This Row],[CEDULA ]]),[1]!JUEVES[HORA]),"No registró")</f>
        <v>No registró</v>
      </c>
      <c r="K18" s="359" t="str">
        <f>IFERROR(VLOOKUP([1]!Tabla9[[CEDULA ]],[1]!VIERNES[#Data],5,0),"No registró")</f>
        <v>No registró</v>
      </c>
      <c r="L18" s="359" t="str">
        <f>IFERROR(LOOKUP(2,1/([1]!VIERNES[[CEDULA ]]=[1]!Tabla9[[#This Row],[CEDULA ]]),[1]!VIERNES[HORA]),"No registró")</f>
        <v>No registró</v>
      </c>
      <c r="M18" s="359" t="str">
        <f>IFERROR(VLOOKUP([1]!Tabla9[[CEDULA ]],[1]!SABADO[#Data],5,0),"No registró")</f>
        <v>No registró</v>
      </c>
      <c r="N18" s="359" t="str">
        <f>IFERROR(LOOKUP(2,1/([1]!SABADO[[CEDULA ]]=[1]!Tabla9[[#This Row],[CEDULA ]]),[1]!SABADO[HORA]),"No registró")</f>
        <v>No registró</v>
      </c>
      <c r="O18" s="359" t="str">
        <f>IFERROR(VLOOKUP([1]!Tabla9[[CEDULA ]],[1]!DOMINGO[#Data],5,0),"No registró")</f>
        <v>No registró</v>
      </c>
      <c r="P18" s="359" t="str">
        <f>IFERROR(LOOKUP(2,1/([1]!DOMINGO[[CEDULA ]]=[1]!Tabla9[[#This Row],[CEDULA ]]),[1]!DOMINGO[HORA]),"No registró")</f>
        <v>No registró</v>
      </c>
      <c r="Q18" s="240">
        <f>IFERROR(VLOOKUP(A18,DATOS[],10,0),"")</f>
        <v>0</v>
      </c>
    </row>
    <row r="19" spans="1:17" x14ac:dyDescent="0.25">
      <c r="A19" s="239">
        <v>4835012</v>
      </c>
      <c r="B19" s="239" t="s">
        <v>1004</v>
      </c>
      <c r="C19" s="359">
        <f>IFERROR(VLOOKUP([1]!Tabla9[[CEDULA ]],[1]!LUNES[#Data],5,0),"No registró")</f>
        <v>0.28093750000000001</v>
      </c>
      <c r="D19" s="359">
        <f>IFERROR(LOOKUP(2,1/([1]!LUNES[[CEDULA ]]=[1]!Tabla9[[#This Row],[CEDULA ]]),[1]!LUNES[HORA]),"No registró")</f>
        <v>0.55935185185185188</v>
      </c>
      <c r="E19" s="359">
        <f>IFERROR(VLOOKUP([1]!Tabla9[[CEDULA ]],[1]!MARTES[#Data],5,0),"No registró")</f>
        <v>0.28718749999999998</v>
      </c>
      <c r="F19" s="359">
        <f>IFERROR(LOOKUP(2,1/([1]!MARTES[[CEDULA ]]=[1]!Tabla9[[#This Row],[CEDULA ]]),[1]!MARTES[HORA]),"No Registró")</f>
        <v>0.55831018518518516</v>
      </c>
      <c r="G19" s="359" t="str">
        <f>IFERROR(VLOOKUP([1]!Tabla9[[CEDULA ]],[1]!MIERCOLES[#Data],5,0),"No registró")</f>
        <v>No registró</v>
      </c>
      <c r="H19" s="359" t="str">
        <f>IFERROR(LOOKUP(2,1/([1]!MIERCOLES[[CEDULA ]]=[1]!Tabla9[[#This Row],[CEDULA ]]),[1]!MIERCOLES[HORA]),"No registró")</f>
        <v>No registró</v>
      </c>
      <c r="I19" s="359" t="str">
        <f>IFERROR(VLOOKUP([1]!Tabla9[[CEDULA ]],[1]!JUEVES[#Data],5,0),"No Registró")</f>
        <v>No Registró</v>
      </c>
      <c r="J19" s="359" t="str">
        <f>IFERROR(LOOKUP(2,1/([1]!JUEVES[[CEDULA ]]=[1]!Tabla9[[#This Row],[CEDULA ]]),[1]!JUEVES[HORA]),"No registró")</f>
        <v>No registró</v>
      </c>
      <c r="K19" s="359" t="str">
        <f>IFERROR(VLOOKUP([1]!Tabla9[[CEDULA ]],[1]!VIERNES[#Data],5,0),"No registró")</f>
        <v>No registró</v>
      </c>
      <c r="L19" s="359" t="str">
        <f>IFERROR(LOOKUP(2,1/([1]!VIERNES[[CEDULA ]]=[1]!Tabla9[[#This Row],[CEDULA ]]),[1]!VIERNES[HORA]),"No registró")</f>
        <v>No registró</v>
      </c>
      <c r="M19" s="359" t="str">
        <f>IFERROR(VLOOKUP([1]!Tabla9[[CEDULA ]],[1]!SABADO[#Data],5,0),"No registró")</f>
        <v>No registró</v>
      </c>
      <c r="N19" s="359" t="str">
        <f>IFERROR(LOOKUP(2,1/([1]!SABADO[[CEDULA ]]=[1]!Tabla9[[#This Row],[CEDULA ]]),[1]!SABADO[HORA]),"No registró")</f>
        <v>No registró</v>
      </c>
      <c r="O19" s="359" t="str">
        <f>IFERROR(VLOOKUP([1]!Tabla9[[CEDULA ]],[1]!DOMINGO[#Data],5,0),"No registró")</f>
        <v>No registró</v>
      </c>
      <c r="P19" s="359" t="str">
        <f>IFERROR(LOOKUP(2,1/([1]!DOMINGO[[CEDULA ]]=[1]!Tabla9[[#This Row],[CEDULA ]]),[1]!DOMINGO[HORA]),"No registró")</f>
        <v>No registró</v>
      </c>
      <c r="Q19" s="240">
        <f>IFERROR(VLOOKUP(A19,DATOS[],10,0),"")</f>
        <v>0</v>
      </c>
    </row>
    <row r="20" spans="1:17" x14ac:dyDescent="0.25">
      <c r="A20" s="239">
        <v>4852936</v>
      </c>
      <c r="B20" s="239" t="s">
        <v>1005</v>
      </c>
      <c r="C20" s="359">
        <f>IFERROR(VLOOKUP([1]!Tabla9[[CEDULA ]],[1]!LUNES[#Data],5,0),"No registró")</f>
        <v>0.32402777777777775</v>
      </c>
      <c r="D20" s="359">
        <f>IFERROR(LOOKUP(2,1/([1]!LUNES[[CEDULA ]]=[1]!Tabla9[[#This Row],[CEDULA ]]),[1]!LUNES[HORA]),"No registró")</f>
        <v>0.32490740740740742</v>
      </c>
      <c r="E20" s="359">
        <f>IFERROR(VLOOKUP([1]!Tabla9[[CEDULA ]],[1]!MARTES[#Data],5,0),"No registró")</f>
        <v>0.32730324074074074</v>
      </c>
      <c r="F20" s="359">
        <f>IFERROR(LOOKUP(2,1/([1]!MARTES[[CEDULA ]]=[1]!Tabla9[[#This Row],[CEDULA ]]),[1]!MARTES[HORA]),"No Registró")</f>
        <v>0.53714120370370366</v>
      </c>
      <c r="G20" s="359" t="str">
        <f>IFERROR(VLOOKUP([1]!Tabla9[[CEDULA ]],[1]!MIERCOLES[#Data],5,0),"No registró")</f>
        <v>No registró</v>
      </c>
      <c r="H20" s="359" t="str">
        <f>IFERROR(LOOKUP(2,1/([1]!MIERCOLES[[CEDULA ]]=[1]!Tabla9[[#This Row],[CEDULA ]]),[1]!MIERCOLES[HORA]),"No registró")</f>
        <v>No registró</v>
      </c>
      <c r="I20" s="359" t="str">
        <f>IFERROR(VLOOKUP([1]!Tabla9[[CEDULA ]],[1]!JUEVES[#Data],5,0),"No Registró")</f>
        <v>No Registró</v>
      </c>
      <c r="J20" s="359" t="str">
        <f>IFERROR(LOOKUP(2,1/([1]!JUEVES[[CEDULA ]]=[1]!Tabla9[[#This Row],[CEDULA ]]),[1]!JUEVES[HORA]),"No registró")</f>
        <v>No registró</v>
      </c>
      <c r="K20" s="359" t="str">
        <f>IFERROR(VLOOKUP([1]!Tabla9[[CEDULA ]],[1]!VIERNES[#Data],5,0),"No registró")</f>
        <v>No registró</v>
      </c>
      <c r="L20" s="359" t="str">
        <f>IFERROR(LOOKUP(2,1/([1]!VIERNES[[CEDULA ]]=[1]!Tabla9[[#This Row],[CEDULA ]]),[1]!VIERNES[HORA]),"No registró")</f>
        <v>No registró</v>
      </c>
      <c r="M20" s="359" t="str">
        <f>IFERROR(VLOOKUP([1]!Tabla9[[CEDULA ]],[1]!SABADO[#Data],5,0),"No registró")</f>
        <v>No registró</v>
      </c>
      <c r="N20" s="359" t="str">
        <f>IFERROR(LOOKUP(2,1/([1]!SABADO[[CEDULA ]]=[1]!Tabla9[[#This Row],[CEDULA ]]),[1]!SABADO[HORA]),"No registró")</f>
        <v>No registró</v>
      </c>
      <c r="O20" s="359" t="str">
        <f>IFERROR(VLOOKUP([1]!Tabla9[[CEDULA ]],[1]!DOMINGO[#Data],5,0),"No registró")</f>
        <v>No registró</v>
      </c>
      <c r="P20" s="359" t="str">
        <f>IFERROR(LOOKUP(2,1/([1]!DOMINGO[[CEDULA ]]=[1]!Tabla9[[#This Row],[CEDULA ]]),[1]!DOMINGO[HORA]),"No registró")</f>
        <v>No registró</v>
      </c>
      <c r="Q20" s="240">
        <f>IFERROR(VLOOKUP(A20,DATOS[],10,0),"")</f>
        <v>0</v>
      </c>
    </row>
    <row r="21" spans="1:17" x14ac:dyDescent="0.25">
      <c r="A21" s="239">
        <v>4854896</v>
      </c>
      <c r="B21" s="239" t="s">
        <v>1006</v>
      </c>
      <c r="C21" s="359" t="str">
        <f>IFERROR(VLOOKUP([1]!Tabla9[[CEDULA ]],[1]!LUNES[#Data],5,0),"No registró")</f>
        <v>No registró</v>
      </c>
      <c r="D21" s="359" t="str">
        <f>IFERROR(LOOKUP(2,1/([1]!LUNES[[CEDULA ]]=[1]!Tabla9[[#This Row],[CEDULA ]]),[1]!LUNES[HORA]),"No registró")</f>
        <v>No registró</v>
      </c>
      <c r="E21" s="359" t="str">
        <f>IFERROR(VLOOKUP([1]!Tabla9[[CEDULA ]],[1]!MARTES[#Data],5,0),"No registró")</f>
        <v>No registró</v>
      </c>
      <c r="F21" s="359" t="str">
        <f>IFERROR(LOOKUP(2,1/([1]!MARTES[[CEDULA ]]=[1]!Tabla9[[#This Row],[CEDULA ]]),[1]!MARTES[HORA]),"No Registró")</f>
        <v>No Registró</v>
      </c>
      <c r="G21" s="359">
        <f>IFERROR(VLOOKUP([1]!Tabla9[[CEDULA ]],[1]!MIERCOLES[#Data],5,0),"No registró")</f>
        <v>0.29689814814814813</v>
      </c>
      <c r="H21" s="360" t="s">
        <v>989</v>
      </c>
      <c r="I21" s="359">
        <f>IFERROR(VLOOKUP([1]!Tabla9[[CEDULA ]],[1]!JUEVES[#Data],5,0),"No Registró")</f>
        <v>0.29982638888888891</v>
      </c>
      <c r="J21" s="359">
        <f>IFERROR(LOOKUP(2,1/([1]!JUEVES[[CEDULA ]]=[1]!Tabla9[[#This Row],[CEDULA ]]),[1]!JUEVES[HORA]),"No registró")</f>
        <v>0.30180555555555555</v>
      </c>
      <c r="K21" s="359" t="str">
        <f>IFERROR(VLOOKUP([1]!Tabla9[[CEDULA ]],[1]!VIERNES[#Data],5,0),"No registró")</f>
        <v>No registró</v>
      </c>
      <c r="L21" s="359" t="str">
        <f>IFERROR(LOOKUP(2,1/([1]!VIERNES[[CEDULA ]]=[1]!Tabla9[[#This Row],[CEDULA ]]),[1]!VIERNES[HORA]),"No registró")</f>
        <v>No registró</v>
      </c>
      <c r="M21" s="359" t="str">
        <f>IFERROR(VLOOKUP([1]!Tabla9[[CEDULA ]],[1]!SABADO[#Data],5,0),"No registró")</f>
        <v>No registró</v>
      </c>
      <c r="N21" s="359" t="str">
        <f>IFERROR(LOOKUP(2,1/([1]!SABADO[[CEDULA ]]=[1]!Tabla9[[#This Row],[CEDULA ]]),[1]!SABADO[HORA]),"No registró")</f>
        <v>No registró</v>
      </c>
      <c r="O21" s="359">
        <f>IFERROR(VLOOKUP([1]!Tabla9[[CEDULA ]],[1]!DOMINGO[#Data],5,0),"No registró")</f>
        <v>0.29421296296296295</v>
      </c>
      <c r="P21" s="360" t="s">
        <v>989</v>
      </c>
      <c r="Q21" s="240" t="str">
        <f>IFERROR(VLOOKUP(A21,DATOS[],10,0),"")</f>
        <v>3. CARICUAO</v>
      </c>
    </row>
    <row r="22" spans="1:17" x14ac:dyDescent="0.25">
      <c r="A22" s="239">
        <v>4884263</v>
      </c>
      <c r="B22" s="239" t="s">
        <v>1007</v>
      </c>
      <c r="C22" s="359">
        <f>IFERROR(VLOOKUP([1]!Tabla9[[CEDULA ]],[1]!LUNES[#Data],5,0),"No registró")</f>
        <v>0.28260416666666666</v>
      </c>
      <c r="D22" s="359">
        <f>IFERROR(LOOKUP(2,1/([1]!LUNES[[CEDULA ]]=[1]!Tabla9[[#This Row],[CEDULA ]]),[1]!LUNES[HORA]),"No registró")</f>
        <v>0.55616898148148153</v>
      </c>
      <c r="E22" s="359">
        <f>IFERROR(VLOOKUP([1]!Tabla9[[CEDULA ]],[1]!MARTES[#Data],5,0),"No registró")</f>
        <v>0.28706018518518522</v>
      </c>
      <c r="F22" s="359">
        <f>IFERROR(LOOKUP(2,1/([1]!MARTES[[CEDULA ]]=[1]!Tabla9[[#This Row],[CEDULA ]]),[1]!MARTES[HORA]),"No Registró")</f>
        <v>0.55766203703703698</v>
      </c>
      <c r="G22" s="359" t="str">
        <f>IFERROR(VLOOKUP([1]!Tabla9[[CEDULA ]],[1]!MIERCOLES[#Data],5,0),"No registró")</f>
        <v>No registró</v>
      </c>
      <c r="H22" s="359" t="str">
        <f>IFERROR(LOOKUP(2,1/([1]!MIERCOLES[[CEDULA ]]=[1]!Tabla9[[#This Row],[CEDULA ]]),[1]!MIERCOLES[HORA]),"No registró")</f>
        <v>No registró</v>
      </c>
      <c r="I22" s="359" t="str">
        <f>IFERROR(VLOOKUP([1]!Tabla9[[CEDULA ]],[1]!JUEVES[#Data],5,0),"No Registró")</f>
        <v>No Registró</v>
      </c>
      <c r="J22" s="359" t="str">
        <f>IFERROR(LOOKUP(2,1/([1]!JUEVES[[CEDULA ]]=[1]!Tabla9[[#This Row],[CEDULA ]]),[1]!JUEVES[HORA]),"No registró")</f>
        <v>No registró</v>
      </c>
      <c r="K22" s="359" t="str">
        <f>IFERROR(VLOOKUP([1]!Tabla9[[CEDULA ]],[1]!VIERNES[#Data],5,0),"No registró")</f>
        <v>No registró</v>
      </c>
      <c r="L22" s="359" t="str">
        <f>IFERROR(LOOKUP(2,1/([1]!VIERNES[[CEDULA ]]=[1]!Tabla9[[#This Row],[CEDULA ]]),[1]!VIERNES[HORA]),"No registró")</f>
        <v>No registró</v>
      </c>
      <c r="M22" s="359" t="str">
        <f>IFERROR(VLOOKUP([1]!Tabla9[[CEDULA ]],[1]!SABADO[#Data],5,0),"No registró")</f>
        <v>No registró</v>
      </c>
      <c r="N22" s="359" t="str">
        <f>IFERROR(LOOKUP(2,1/([1]!SABADO[[CEDULA ]]=[1]!Tabla9[[#This Row],[CEDULA ]]),[1]!SABADO[HORA]),"No registró")</f>
        <v>No registró</v>
      </c>
      <c r="O22" s="359" t="str">
        <f>IFERROR(VLOOKUP([1]!Tabla9[[CEDULA ]],[1]!DOMINGO[#Data],5,0),"No registró")</f>
        <v>No registró</v>
      </c>
      <c r="P22" s="359" t="str">
        <f>IFERROR(LOOKUP(2,1/([1]!DOMINGO[[CEDULA ]]=[1]!Tabla9[[#This Row],[CEDULA ]]),[1]!DOMINGO[HORA]),"No registró")</f>
        <v>No registró</v>
      </c>
      <c r="Q22" s="240">
        <f>IFERROR(VLOOKUP(A22,DATOS[],10,0),"")</f>
        <v>0</v>
      </c>
    </row>
    <row r="23" spans="1:17" x14ac:dyDescent="0.25">
      <c r="A23" s="239">
        <v>4884311</v>
      </c>
      <c r="B23" s="239" t="s">
        <v>1008</v>
      </c>
      <c r="C23" s="359">
        <f>IFERROR(VLOOKUP([1]!Tabla9[[CEDULA ]],[1]!LUNES[#Data],5,0),"No registró")</f>
        <v>0.29734953703703704</v>
      </c>
      <c r="D23" s="359">
        <f>IFERROR(LOOKUP(2,1/([1]!LUNES[[CEDULA ]]=[1]!Tabla9[[#This Row],[CEDULA ]]),[1]!LUNES[HORA]),"No registró")</f>
        <v>0.29873842592592592</v>
      </c>
      <c r="E23" s="359">
        <f>IFERROR(VLOOKUP([1]!Tabla9[[CEDULA ]],[1]!MARTES[#Data],5,0),"No registró")</f>
        <v>0.29835648148148147</v>
      </c>
      <c r="F23" s="359">
        <f>IFERROR(LOOKUP(2,1/([1]!MARTES[[CEDULA ]]=[1]!Tabla9[[#This Row],[CEDULA ]]),[1]!MARTES[HORA]),"No Registró")</f>
        <v>0.56518518518518512</v>
      </c>
      <c r="G23" s="359" t="str">
        <f>IFERROR(VLOOKUP([1]!Tabla9[[CEDULA ]],[1]!MIERCOLES[#Data],5,0),"No registró")</f>
        <v>No registró</v>
      </c>
      <c r="H23" s="359" t="str">
        <f>IFERROR(LOOKUP(2,1/([1]!MIERCOLES[[CEDULA ]]=[1]!Tabla9[[#This Row],[CEDULA ]]),[1]!MIERCOLES[HORA]),"No registró")</f>
        <v>No registró</v>
      </c>
      <c r="I23" s="359" t="str">
        <f>IFERROR(VLOOKUP([1]!Tabla9[[CEDULA ]],[1]!JUEVES[#Data],5,0),"No Registró")</f>
        <v>No Registró</v>
      </c>
      <c r="J23" s="359" t="str">
        <f>IFERROR(LOOKUP(2,1/([1]!JUEVES[[CEDULA ]]=[1]!Tabla9[[#This Row],[CEDULA ]]),[1]!JUEVES[HORA]),"No registró")</f>
        <v>No registró</v>
      </c>
      <c r="K23" s="359" t="str">
        <f>IFERROR(VLOOKUP([1]!Tabla9[[CEDULA ]],[1]!VIERNES[#Data],5,0),"No registró")</f>
        <v>No registró</v>
      </c>
      <c r="L23" s="359" t="str">
        <f>IFERROR(LOOKUP(2,1/([1]!VIERNES[[CEDULA ]]=[1]!Tabla9[[#This Row],[CEDULA ]]),[1]!VIERNES[HORA]),"No registró")</f>
        <v>No registró</v>
      </c>
      <c r="M23" s="359" t="str">
        <f>IFERROR(VLOOKUP([1]!Tabla9[[CEDULA ]],[1]!SABADO[#Data],5,0),"No registró")</f>
        <v>No registró</v>
      </c>
      <c r="N23" s="359" t="str">
        <f>IFERROR(LOOKUP(2,1/([1]!SABADO[[CEDULA ]]=[1]!Tabla9[[#This Row],[CEDULA ]]),[1]!SABADO[HORA]),"No registró")</f>
        <v>No registró</v>
      </c>
      <c r="O23" s="359" t="str">
        <f>IFERROR(VLOOKUP([1]!Tabla9[[CEDULA ]],[1]!DOMINGO[#Data],5,0),"No registró")</f>
        <v>No registró</v>
      </c>
      <c r="P23" s="359" t="str">
        <f>IFERROR(LOOKUP(2,1/([1]!DOMINGO[[CEDULA ]]=[1]!Tabla9[[#This Row],[CEDULA ]]),[1]!DOMINGO[HORA]),"No registró")</f>
        <v>No registró</v>
      </c>
      <c r="Q23" s="240">
        <f>IFERROR(VLOOKUP(A23,DATOS[],10,0),"")</f>
        <v>0</v>
      </c>
    </row>
    <row r="24" spans="1:17" x14ac:dyDescent="0.25">
      <c r="A24" s="239">
        <v>5215887</v>
      </c>
      <c r="B24" s="239" t="s">
        <v>1009</v>
      </c>
      <c r="C24" s="359">
        <f>IFERROR(VLOOKUP([1]!Tabla9[[CEDULA ]],[1]!LUNES[#Data],5,0),"No registró")</f>
        <v>0.28810185185185183</v>
      </c>
      <c r="D24" s="359">
        <f>IFERROR(LOOKUP(2,1/([1]!LUNES[[CEDULA ]]=[1]!Tabla9[[#This Row],[CEDULA ]]),[1]!LUNES[HORA]),"No registró")</f>
        <v>0.55175925925925928</v>
      </c>
      <c r="E24" s="359">
        <f>IFERROR(VLOOKUP([1]!Tabla9[[CEDULA ]],[1]!MARTES[#Data],5,0),"No registró")</f>
        <v>0.28837962962962965</v>
      </c>
      <c r="F24" s="359">
        <f>IFERROR(LOOKUP(2,1/([1]!MARTES[[CEDULA ]]=[1]!Tabla9[[#This Row],[CEDULA ]]),[1]!MARTES[HORA]),"No Registró")</f>
        <v>0.55496527777777771</v>
      </c>
      <c r="G24" s="359" t="str">
        <f>IFERROR(VLOOKUP([1]!Tabla9[[CEDULA ]],[1]!MIERCOLES[#Data],5,0),"No registró")</f>
        <v>No registró</v>
      </c>
      <c r="H24" s="359" t="str">
        <f>IFERROR(LOOKUP(2,1/([1]!MIERCOLES[[CEDULA ]]=[1]!Tabla9[[#This Row],[CEDULA ]]),[1]!MIERCOLES[HORA]),"No registró")</f>
        <v>No registró</v>
      </c>
      <c r="I24" s="359" t="str">
        <f>IFERROR(VLOOKUP([1]!Tabla9[[CEDULA ]],[1]!JUEVES[#Data],5,0),"No Registró")</f>
        <v>No Registró</v>
      </c>
      <c r="J24" s="359" t="str">
        <f>IFERROR(LOOKUP(2,1/([1]!JUEVES[[CEDULA ]]=[1]!Tabla9[[#This Row],[CEDULA ]]),[1]!JUEVES[HORA]),"No registró")</f>
        <v>No registró</v>
      </c>
      <c r="K24" s="359" t="str">
        <f>IFERROR(VLOOKUP([1]!Tabla9[[CEDULA ]],[1]!VIERNES[#Data],5,0),"No registró")</f>
        <v>No registró</v>
      </c>
      <c r="L24" s="359" t="str">
        <f>IFERROR(LOOKUP(2,1/([1]!VIERNES[[CEDULA ]]=[1]!Tabla9[[#This Row],[CEDULA ]]),[1]!VIERNES[HORA]),"No registró")</f>
        <v>No registró</v>
      </c>
      <c r="M24" s="359" t="str">
        <f>IFERROR(VLOOKUP([1]!Tabla9[[CEDULA ]],[1]!SABADO[#Data],5,0),"No registró")</f>
        <v>No registró</v>
      </c>
      <c r="N24" s="359" t="str">
        <f>IFERROR(LOOKUP(2,1/([1]!SABADO[[CEDULA ]]=[1]!Tabla9[[#This Row],[CEDULA ]]),[1]!SABADO[HORA]),"No registró")</f>
        <v>No registró</v>
      </c>
      <c r="O24" s="359" t="str">
        <f>IFERROR(VLOOKUP([1]!Tabla9[[CEDULA ]],[1]!DOMINGO[#Data],5,0),"No registró")</f>
        <v>No registró</v>
      </c>
      <c r="P24" s="359" t="str">
        <f>IFERROR(LOOKUP(2,1/([1]!DOMINGO[[CEDULA ]]=[1]!Tabla9[[#This Row],[CEDULA ]]),[1]!DOMINGO[HORA]),"No registró")</f>
        <v>No registró</v>
      </c>
      <c r="Q24" s="240">
        <f>IFERROR(VLOOKUP(A24,DATOS[],10,0),"")</f>
        <v>0</v>
      </c>
    </row>
    <row r="25" spans="1:17" x14ac:dyDescent="0.25">
      <c r="A25" s="239">
        <v>5220166</v>
      </c>
      <c r="B25" s="239" t="s">
        <v>1010</v>
      </c>
      <c r="C25" s="359">
        <f>IFERROR(VLOOKUP([1]!Tabla9[[CEDULA ]],[1]!LUNES[#Data],5,0),"No registró")</f>
        <v>0.2820023148148148</v>
      </c>
      <c r="D25" s="359">
        <f>IFERROR(LOOKUP(2,1/([1]!LUNES[[CEDULA ]]=[1]!Tabla9[[#This Row],[CEDULA ]]),[1]!LUNES[HORA]),"No registró")</f>
        <v>0.55603009259259262</v>
      </c>
      <c r="E25" s="359">
        <f>IFERROR(VLOOKUP([1]!Tabla9[[CEDULA ]],[1]!MARTES[#Data],5,0),"No registró")</f>
        <v>0.2878472222222222</v>
      </c>
      <c r="F25" s="359">
        <f>IFERROR(LOOKUP(2,1/([1]!MARTES[[CEDULA ]]=[1]!Tabla9[[#This Row],[CEDULA ]]),[1]!MARTES[HORA]),"No Registró")</f>
        <v>0.55106481481481484</v>
      </c>
      <c r="G25" s="359" t="str">
        <f>IFERROR(VLOOKUP([1]!Tabla9[[CEDULA ]],[1]!MIERCOLES[#Data],5,0),"No registró")</f>
        <v>No registró</v>
      </c>
      <c r="H25" s="359" t="str">
        <f>IFERROR(LOOKUP(2,1/([1]!MIERCOLES[[CEDULA ]]=[1]!Tabla9[[#This Row],[CEDULA ]]),[1]!MIERCOLES[HORA]),"No registró")</f>
        <v>No registró</v>
      </c>
      <c r="I25" s="359" t="str">
        <f>IFERROR(VLOOKUP([1]!Tabla9[[CEDULA ]],[1]!JUEVES[#Data],5,0),"No Registró")</f>
        <v>No Registró</v>
      </c>
      <c r="J25" s="359" t="str">
        <f>IFERROR(LOOKUP(2,1/([1]!JUEVES[[CEDULA ]]=[1]!Tabla9[[#This Row],[CEDULA ]]),[1]!JUEVES[HORA]),"No registró")</f>
        <v>No registró</v>
      </c>
      <c r="K25" s="359" t="str">
        <f>IFERROR(VLOOKUP([1]!Tabla9[[CEDULA ]],[1]!VIERNES[#Data],5,0),"No registró")</f>
        <v>No registró</v>
      </c>
      <c r="L25" s="359" t="str">
        <f>IFERROR(LOOKUP(2,1/([1]!VIERNES[[CEDULA ]]=[1]!Tabla9[[#This Row],[CEDULA ]]),[1]!VIERNES[HORA]),"No registró")</f>
        <v>No registró</v>
      </c>
      <c r="M25" s="359" t="str">
        <f>IFERROR(VLOOKUP([1]!Tabla9[[CEDULA ]],[1]!SABADO[#Data],5,0),"No registró")</f>
        <v>No registró</v>
      </c>
      <c r="N25" s="359" t="str">
        <f>IFERROR(LOOKUP(2,1/([1]!SABADO[[CEDULA ]]=[1]!Tabla9[[#This Row],[CEDULA ]]),[1]!SABADO[HORA]),"No registró")</f>
        <v>No registró</v>
      </c>
      <c r="O25" s="359" t="str">
        <f>IFERROR(VLOOKUP([1]!Tabla9[[CEDULA ]],[1]!DOMINGO[#Data],5,0),"No registró")</f>
        <v>No registró</v>
      </c>
      <c r="P25" s="359" t="str">
        <f>IFERROR(LOOKUP(2,1/([1]!DOMINGO[[CEDULA ]]=[1]!Tabla9[[#This Row],[CEDULA ]]),[1]!DOMINGO[HORA]),"No registró")</f>
        <v>No registró</v>
      </c>
      <c r="Q25" s="240" t="str">
        <f>IFERROR(VLOOKUP(A25,DATOS[],10,0),"")</f>
        <v>2. CATIA</v>
      </c>
    </row>
    <row r="26" spans="1:17" x14ac:dyDescent="0.25">
      <c r="A26" s="239">
        <v>5320227</v>
      </c>
      <c r="B26" s="239" t="s">
        <v>1011</v>
      </c>
      <c r="C26" s="359">
        <f>IFERROR(VLOOKUP([1]!Tabla9[[CEDULA ]],[1]!LUNES[#Data],5,0),"No registró")</f>
        <v>0.30075231481481485</v>
      </c>
      <c r="D26" s="359">
        <f>IFERROR(LOOKUP(2,1/([1]!LUNES[[CEDULA ]]=[1]!Tabla9[[#This Row],[CEDULA ]]),[1]!LUNES[HORA]),"No registró")</f>
        <v>0.55138888888888882</v>
      </c>
      <c r="E26" s="359">
        <f>IFERROR(VLOOKUP([1]!Tabla9[[CEDULA ]],[1]!MARTES[#Data],5,0),"No registró")</f>
        <v>0.29675925925925922</v>
      </c>
      <c r="F26" s="359">
        <f>IFERROR(LOOKUP(2,1/([1]!MARTES[[CEDULA ]]=[1]!Tabla9[[#This Row],[CEDULA ]]),[1]!MARTES[HORA]),"No Registró")</f>
        <v>0.5503703703703704</v>
      </c>
      <c r="G26" s="359" t="str">
        <f>IFERROR(VLOOKUP([1]!Tabla9[[CEDULA ]],[1]!MIERCOLES[#Data],5,0),"No registró")</f>
        <v>No registró</v>
      </c>
      <c r="H26" s="359" t="str">
        <f>IFERROR(LOOKUP(2,1/([1]!MIERCOLES[[CEDULA ]]=[1]!Tabla9[[#This Row],[CEDULA ]]),[1]!MIERCOLES[HORA]),"No registró")</f>
        <v>No registró</v>
      </c>
      <c r="I26" s="359" t="str">
        <f>IFERROR(VLOOKUP([1]!Tabla9[[CEDULA ]],[1]!JUEVES[#Data],5,0),"No Registró")</f>
        <v>No Registró</v>
      </c>
      <c r="J26" s="359" t="str">
        <f>IFERROR(LOOKUP(2,1/([1]!JUEVES[[CEDULA ]]=[1]!Tabla9[[#This Row],[CEDULA ]]),[1]!JUEVES[HORA]),"No registró")</f>
        <v>No registró</v>
      </c>
      <c r="K26" s="359" t="str">
        <f>IFERROR(VLOOKUP([1]!Tabla9[[CEDULA ]],[1]!VIERNES[#Data],5,0),"No registró")</f>
        <v>No registró</v>
      </c>
      <c r="L26" s="359" t="str">
        <f>IFERROR(LOOKUP(2,1/([1]!VIERNES[[CEDULA ]]=[1]!Tabla9[[#This Row],[CEDULA ]]),[1]!VIERNES[HORA]),"No registró")</f>
        <v>No registró</v>
      </c>
      <c r="M26" s="359" t="str">
        <f>IFERROR(VLOOKUP([1]!Tabla9[[CEDULA ]],[1]!SABADO[#Data],5,0),"No registró")</f>
        <v>No registró</v>
      </c>
      <c r="N26" s="359" t="str">
        <f>IFERROR(LOOKUP(2,1/([1]!SABADO[[CEDULA ]]=[1]!Tabla9[[#This Row],[CEDULA ]]),[1]!SABADO[HORA]),"No registró")</f>
        <v>No registró</v>
      </c>
      <c r="O26" s="359" t="str">
        <f>IFERROR(VLOOKUP([1]!Tabla9[[CEDULA ]],[1]!DOMINGO[#Data],5,0),"No registró")</f>
        <v>No registró</v>
      </c>
      <c r="P26" s="359" t="str">
        <f>IFERROR(LOOKUP(2,1/([1]!DOMINGO[[CEDULA ]]=[1]!Tabla9[[#This Row],[CEDULA ]]),[1]!DOMINGO[HORA]),"No registró")</f>
        <v>No registró</v>
      </c>
      <c r="Q26" s="240">
        <f>IFERROR(VLOOKUP(A26,DATOS[],10,0),"")</f>
        <v>0</v>
      </c>
    </row>
    <row r="27" spans="1:17" x14ac:dyDescent="0.25">
      <c r="A27" s="239">
        <v>5466538</v>
      </c>
      <c r="B27" s="239" t="s">
        <v>1012</v>
      </c>
      <c r="C27" s="359">
        <f>IFERROR(VLOOKUP([1]!Tabla9[[CEDULA ]],[1]!LUNES[#Data],5,0),"No registró")</f>
        <v>0.30231481481481481</v>
      </c>
      <c r="D27" s="359">
        <f>IFERROR(LOOKUP(2,1/([1]!LUNES[[CEDULA ]]=[1]!Tabla9[[#This Row],[CEDULA ]]),[1]!LUNES[HORA]),"No registró")</f>
        <v>0.62452546296296296</v>
      </c>
      <c r="E27" s="359">
        <f>IFERROR(VLOOKUP([1]!Tabla9[[CEDULA ]],[1]!MARTES[#Data],5,0),"No registró")</f>
        <v>0.29531250000000003</v>
      </c>
      <c r="F27" s="359">
        <f>IFERROR(LOOKUP(2,1/([1]!MARTES[[CEDULA ]]=[1]!Tabla9[[#This Row],[CEDULA ]]),[1]!MARTES[HORA]),"No Registró")</f>
        <v>0.64206018518518515</v>
      </c>
      <c r="G27" s="359" t="str">
        <f>IFERROR(VLOOKUP([1]!Tabla9[[CEDULA ]],[1]!MIERCOLES[#Data],5,0),"No registró")</f>
        <v>No registró</v>
      </c>
      <c r="H27" s="359" t="str">
        <f>IFERROR(LOOKUP(2,1/([1]!MIERCOLES[[CEDULA ]]=[1]!Tabla9[[#This Row],[CEDULA ]]),[1]!MIERCOLES[HORA]),"No registró")</f>
        <v>No registró</v>
      </c>
      <c r="I27" s="359" t="str">
        <f>IFERROR(VLOOKUP([1]!Tabla9[[CEDULA ]],[1]!JUEVES[#Data],5,0),"No Registró")</f>
        <v>No Registró</v>
      </c>
      <c r="J27" s="359" t="str">
        <f>IFERROR(LOOKUP(2,1/([1]!JUEVES[[CEDULA ]]=[1]!Tabla9[[#This Row],[CEDULA ]]),[1]!JUEVES[HORA]),"No registró")</f>
        <v>No registró</v>
      </c>
      <c r="K27" s="359">
        <f>IFERROR(VLOOKUP([1]!Tabla9[[CEDULA ]],[1]!VIERNES[#Data],5,0),"No registró")</f>
        <v>0.31086805555555558</v>
      </c>
      <c r="L27" s="359">
        <f>IFERROR(LOOKUP(2,1/([1]!VIERNES[[CEDULA ]]=[1]!Tabla9[[#This Row],[CEDULA ]]),[1]!VIERNES[HORA]),"No registró")</f>
        <v>0.56767361111111114</v>
      </c>
      <c r="M27" s="359" t="str">
        <f>IFERROR(VLOOKUP([1]!Tabla9[[CEDULA ]],[1]!SABADO[#Data],5,0),"No registró")</f>
        <v>No registró</v>
      </c>
      <c r="N27" s="359" t="str">
        <f>IFERROR(LOOKUP(2,1/([1]!SABADO[[CEDULA ]]=[1]!Tabla9[[#This Row],[CEDULA ]]),[1]!SABADO[HORA]),"No registró")</f>
        <v>No registró</v>
      </c>
      <c r="O27" s="359" t="str">
        <f>IFERROR(VLOOKUP([1]!Tabla9[[CEDULA ]],[1]!DOMINGO[#Data],5,0),"No registró")</f>
        <v>No registró</v>
      </c>
      <c r="P27" s="359" t="str">
        <f>IFERROR(LOOKUP(2,1/([1]!DOMINGO[[CEDULA ]]=[1]!Tabla9[[#This Row],[CEDULA ]]),[1]!DOMINGO[HORA]),"No registró")</f>
        <v>No registró</v>
      </c>
      <c r="Q27" s="240">
        <f>IFERROR(VLOOKUP(A27,DATOS[],10,0),"")</f>
        <v>0</v>
      </c>
    </row>
    <row r="28" spans="1:17" x14ac:dyDescent="0.25">
      <c r="A28" s="239">
        <v>5568106</v>
      </c>
      <c r="B28" s="239" t="s">
        <v>1013</v>
      </c>
      <c r="C28" s="359">
        <f>IFERROR(VLOOKUP([1]!Tabla9[[CEDULA ]],[1]!LUNES[#Data],5,0),"No registró")</f>
        <v>0.29616898148148146</v>
      </c>
      <c r="D28" s="359">
        <f>IFERROR(LOOKUP(2,1/([1]!LUNES[[CEDULA ]]=[1]!Tabla9[[#This Row],[CEDULA ]]),[1]!LUNES[HORA]),"No registró")</f>
        <v>0.57177083333333334</v>
      </c>
      <c r="E28" s="359">
        <f>IFERROR(VLOOKUP([1]!Tabla9[[CEDULA ]],[1]!MARTES[#Data],5,0),"No registró")</f>
        <v>0.29734953703703704</v>
      </c>
      <c r="F28" s="359">
        <f>IFERROR(LOOKUP(2,1/([1]!MARTES[[CEDULA ]]=[1]!Tabla9[[#This Row],[CEDULA ]]),[1]!MARTES[HORA]),"No Registró")</f>
        <v>0.51069444444444445</v>
      </c>
      <c r="G28" s="359" t="str">
        <f>IFERROR(VLOOKUP([1]!Tabla9[[CEDULA ]],[1]!MIERCOLES[#Data],5,0),"No registró")</f>
        <v>No registró</v>
      </c>
      <c r="H28" s="359" t="str">
        <f>IFERROR(LOOKUP(2,1/([1]!MIERCOLES[[CEDULA ]]=[1]!Tabla9[[#This Row],[CEDULA ]]),[1]!MIERCOLES[HORA]),"No registró")</f>
        <v>No registró</v>
      </c>
      <c r="I28" s="359" t="str">
        <f>IFERROR(VLOOKUP([1]!Tabla9[[CEDULA ]],[1]!JUEVES[#Data],5,0),"No Registró")</f>
        <v>No Registró</v>
      </c>
      <c r="J28" s="359" t="str">
        <f>IFERROR(LOOKUP(2,1/([1]!JUEVES[[CEDULA ]]=[1]!Tabla9[[#This Row],[CEDULA ]]),[1]!JUEVES[HORA]),"No registró")</f>
        <v>No registró</v>
      </c>
      <c r="K28" s="359" t="str">
        <f>IFERROR(VLOOKUP([1]!Tabla9[[CEDULA ]],[1]!VIERNES[#Data],5,0),"No registró")</f>
        <v>No registró</v>
      </c>
      <c r="L28" s="359" t="str">
        <f>IFERROR(LOOKUP(2,1/([1]!VIERNES[[CEDULA ]]=[1]!Tabla9[[#This Row],[CEDULA ]]),[1]!VIERNES[HORA]),"No registró")</f>
        <v>No registró</v>
      </c>
      <c r="M28" s="359" t="str">
        <f>IFERROR(VLOOKUP([1]!Tabla9[[CEDULA ]],[1]!SABADO[#Data],5,0),"No registró")</f>
        <v>No registró</v>
      </c>
      <c r="N28" s="359" t="str">
        <f>IFERROR(LOOKUP(2,1/([1]!SABADO[[CEDULA ]]=[1]!Tabla9[[#This Row],[CEDULA ]]),[1]!SABADO[HORA]),"No registró")</f>
        <v>No registró</v>
      </c>
      <c r="O28" s="359" t="str">
        <f>IFERROR(VLOOKUP([1]!Tabla9[[CEDULA ]],[1]!DOMINGO[#Data],5,0),"No registró")</f>
        <v>No registró</v>
      </c>
      <c r="P28" s="359" t="str">
        <f>IFERROR(LOOKUP(2,1/([1]!DOMINGO[[CEDULA ]]=[1]!Tabla9[[#This Row],[CEDULA ]]),[1]!DOMINGO[HORA]),"No registró")</f>
        <v>No registró</v>
      </c>
      <c r="Q28" s="240">
        <f>IFERROR(VLOOKUP(A28,DATOS[],10,0),"")</f>
        <v>0</v>
      </c>
    </row>
    <row r="29" spans="1:17" x14ac:dyDescent="0.25">
      <c r="A29" s="239">
        <v>5605299</v>
      </c>
      <c r="B29" s="239" t="s">
        <v>1014</v>
      </c>
      <c r="C29" s="359">
        <f>IFERROR(VLOOKUP([1]!Tabla9[[CEDULA ]],[1]!LUNES[#Data],5,0),"No registró")</f>
        <v>0.21905092592592593</v>
      </c>
      <c r="D29" s="359">
        <f>IFERROR(LOOKUP(2,1/([1]!LUNES[[CEDULA ]]=[1]!Tabla9[[#This Row],[CEDULA ]]),[1]!LUNES[HORA]),"No registró")</f>
        <v>0.70612268518518517</v>
      </c>
      <c r="E29" s="359">
        <f>IFERROR(VLOOKUP([1]!Tabla9[[CEDULA ]],[1]!MARTES[#Data],5,0),"No registró")</f>
        <v>0.23332175925925927</v>
      </c>
      <c r="F29" s="359">
        <f>IFERROR(LOOKUP(2,1/([1]!MARTES[[CEDULA ]]=[1]!Tabla9[[#This Row],[CEDULA ]]),[1]!MARTES[HORA]),"No Registró")</f>
        <v>0.56824074074074071</v>
      </c>
      <c r="G29" s="359" t="str">
        <f>IFERROR(VLOOKUP([1]!Tabla9[[CEDULA ]],[1]!MIERCOLES[#Data],5,0),"No registró")</f>
        <v>No registró</v>
      </c>
      <c r="H29" s="359" t="str">
        <f>IFERROR(LOOKUP(2,1/([1]!MIERCOLES[[CEDULA ]]=[1]!Tabla9[[#This Row],[CEDULA ]]),[1]!MIERCOLES[HORA]),"No registró")</f>
        <v>No registró</v>
      </c>
      <c r="I29" s="359" t="str">
        <f>IFERROR(VLOOKUP([1]!Tabla9[[CEDULA ]],[1]!JUEVES[#Data],5,0),"No Registró")</f>
        <v>No Registró</v>
      </c>
      <c r="J29" s="359" t="str">
        <f>IFERROR(LOOKUP(2,1/([1]!JUEVES[[CEDULA ]]=[1]!Tabla9[[#This Row],[CEDULA ]]),[1]!JUEVES[HORA]),"No registró")</f>
        <v>No registró</v>
      </c>
      <c r="K29" s="359" t="str">
        <f>IFERROR(VLOOKUP([1]!Tabla9[[CEDULA ]],[1]!VIERNES[#Data],5,0),"No registró")</f>
        <v>No registró</v>
      </c>
      <c r="L29" s="359" t="str">
        <f>IFERROR(LOOKUP(2,1/([1]!VIERNES[[CEDULA ]]=[1]!Tabla9[[#This Row],[CEDULA ]]),[1]!VIERNES[HORA]),"No registró")</f>
        <v>No registró</v>
      </c>
      <c r="M29" s="359" t="str">
        <f>IFERROR(VLOOKUP([1]!Tabla9[[CEDULA ]],[1]!SABADO[#Data],5,0),"No registró")</f>
        <v>No registró</v>
      </c>
      <c r="N29" s="359" t="str">
        <f>IFERROR(LOOKUP(2,1/([1]!SABADO[[CEDULA ]]=[1]!Tabla9[[#This Row],[CEDULA ]]),[1]!SABADO[HORA]),"No registró")</f>
        <v>No registró</v>
      </c>
      <c r="O29" s="359" t="str">
        <f>IFERROR(VLOOKUP([1]!Tabla9[[CEDULA ]],[1]!DOMINGO[#Data],5,0),"No registró")</f>
        <v>No registró</v>
      </c>
      <c r="P29" s="359" t="str">
        <f>IFERROR(LOOKUP(2,1/([1]!DOMINGO[[CEDULA ]]=[1]!Tabla9[[#This Row],[CEDULA ]]),[1]!DOMINGO[HORA]),"No registró")</f>
        <v>No registró</v>
      </c>
      <c r="Q29" s="240">
        <f>IFERROR(VLOOKUP(A29,DATOS[],10,0),"")</f>
        <v>0</v>
      </c>
    </row>
    <row r="30" spans="1:17" x14ac:dyDescent="0.25">
      <c r="A30" s="239">
        <v>5608315</v>
      </c>
      <c r="B30" s="239" t="s">
        <v>1015</v>
      </c>
      <c r="C30" s="360" t="s">
        <v>989</v>
      </c>
      <c r="D30" s="359">
        <f>IFERROR(LOOKUP(2,1/([1]!LUNES[[CEDULA ]]=[1]!Tabla9[[#This Row],[CEDULA ]]),[1]!LUNES[HORA]),"No registró")</f>
        <v>0.55570601851851853</v>
      </c>
      <c r="E30" s="360" t="s">
        <v>989</v>
      </c>
      <c r="F30" s="359">
        <f>IFERROR(LOOKUP(2,1/([1]!MARTES[[CEDULA ]]=[1]!Tabla9[[#This Row],[CEDULA ]]),[1]!MARTES[HORA]),"No Registró")</f>
        <v>0.55535879629629636</v>
      </c>
      <c r="G30" s="359" t="str">
        <f>IFERROR(VLOOKUP([1]!Tabla9[[CEDULA ]],[1]!MIERCOLES[#Data],5,0),"No registró")</f>
        <v>No registró</v>
      </c>
      <c r="H30" s="359" t="str">
        <f>IFERROR(LOOKUP(2,1/([1]!MIERCOLES[[CEDULA ]]=[1]!Tabla9[[#This Row],[CEDULA ]]),[1]!MIERCOLES[HORA]),"No registró")</f>
        <v>No registró</v>
      </c>
      <c r="I30" s="359" t="str">
        <f>IFERROR(VLOOKUP([1]!Tabla9[[CEDULA ]],[1]!JUEVES[#Data],5,0),"No Registró")</f>
        <v>No Registró</v>
      </c>
      <c r="J30" s="359" t="str">
        <f>IFERROR(LOOKUP(2,1/([1]!JUEVES[[CEDULA ]]=[1]!Tabla9[[#This Row],[CEDULA ]]),[1]!JUEVES[HORA]),"No registró")</f>
        <v>No registró</v>
      </c>
      <c r="K30" s="359" t="str">
        <f>IFERROR(VLOOKUP([1]!Tabla9[[CEDULA ]],[1]!VIERNES[#Data],5,0),"No registró")</f>
        <v>No registró</v>
      </c>
      <c r="L30" s="359" t="str">
        <f>IFERROR(LOOKUP(2,1/([1]!VIERNES[[CEDULA ]]=[1]!Tabla9[[#This Row],[CEDULA ]]),[1]!VIERNES[HORA]),"No registró")</f>
        <v>No registró</v>
      </c>
      <c r="M30" s="359" t="str">
        <f>IFERROR(VLOOKUP([1]!Tabla9[[CEDULA ]],[1]!SABADO[#Data],5,0),"No registró")</f>
        <v>No registró</v>
      </c>
      <c r="N30" s="359" t="str">
        <f>IFERROR(LOOKUP(2,1/([1]!SABADO[[CEDULA ]]=[1]!Tabla9[[#This Row],[CEDULA ]]),[1]!SABADO[HORA]),"No registró")</f>
        <v>No registró</v>
      </c>
      <c r="O30" s="359" t="str">
        <f>IFERROR(VLOOKUP([1]!Tabla9[[CEDULA ]],[1]!DOMINGO[#Data],5,0),"No registró")</f>
        <v>No registró</v>
      </c>
      <c r="P30" s="359" t="str">
        <f>IFERROR(LOOKUP(2,1/([1]!DOMINGO[[CEDULA ]]=[1]!Tabla9[[#This Row],[CEDULA ]]),[1]!DOMINGO[HORA]),"No registró")</f>
        <v>No registró</v>
      </c>
      <c r="Q30" s="240" t="str">
        <f>IFERROR(VLOOKUP(A30,DATOS[],10,0),"")</f>
        <v>4. VALLES DEL TUY</v>
      </c>
    </row>
    <row r="31" spans="1:17" x14ac:dyDescent="0.25">
      <c r="A31" s="239">
        <v>5890191</v>
      </c>
      <c r="B31" s="239" t="s">
        <v>1016</v>
      </c>
      <c r="C31" s="359">
        <f>IFERROR(VLOOKUP([1]!Tabla9[[CEDULA ]],[1]!LUNES[#Data],5,0),"No registró")</f>
        <v>0.31923611111111111</v>
      </c>
      <c r="D31" s="359">
        <f>IFERROR(LOOKUP(2,1/([1]!LUNES[[CEDULA ]]=[1]!Tabla9[[#This Row],[CEDULA ]]),[1]!LUNES[HORA]),"No registró")</f>
        <v>0.5605324074074074</v>
      </c>
      <c r="E31" s="359">
        <f>IFERROR(VLOOKUP([1]!Tabla9[[CEDULA ]],[1]!MARTES[#Data],5,0),"No registró")</f>
        <v>0.34667824074074072</v>
      </c>
      <c r="F31" s="359">
        <f>IFERROR(LOOKUP(2,1/([1]!MARTES[[CEDULA ]]=[1]!Tabla9[[#This Row],[CEDULA ]]),[1]!MARTES[HORA]),"No Registró")</f>
        <v>0.55708333333333326</v>
      </c>
      <c r="G31" s="359" t="str">
        <f>IFERROR(VLOOKUP([1]!Tabla9[[CEDULA ]],[1]!MIERCOLES[#Data],5,0),"No registró")</f>
        <v>No registró</v>
      </c>
      <c r="H31" s="359" t="str">
        <f>IFERROR(LOOKUP(2,1/([1]!MIERCOLES[[CEDULA ]]=[1]!Tabla9[[#This Row],[CEDULA ]]),[1]!MIERCOLES[HORA]),"No registró")</f>
        <v>No registró</v>
      </c>
      <c r="I31" s="359" t="str">
        <f>IFERROR(VLOOKUP([1]!Tabla9[[CEDULA ]],[1]!JUEVES[#Data],5,0),"No Registró")</f>
        <v>No Registró</v>
      </c>
      <c r="J31" s="359" t="str">
        <f>IFERROR(LOOKUP(2,1/([1]!JUEVES[[CEDULA ]]=[1]!Tabla9[[#This Row],[CEDULA ]]),[1]!JUEVES[HORA]),"No registró")</f>
        <v>No registró</v>
      </c>
      <c r="K31" s="359" t="str">
        <f>IFERROR(VLOOKUP([1]!Tabla9[[CEDULA ]],[1]!VIERNES[#Data],5,0),"No registró")</f>
        <v>No registró</v>
      </c>
      <c r="L31" s="359" t="str">
        <f>IFERROR(LOOKUP(2,1/([1]!VIERNES[[CEDULA ]]=[1]!Tabla9[[#This Row],[CEDULA ]]),[1]!VIERNES[HORA]),"No registró")</f>
        <v>No registró</v>
      </c>
      <c r="M31" s="359" t="str">
        <f>IFERROR(VLOOKUP([1]!Tabla9[[CEDULA ]],[1]!SABADO[#Data],5,0),"No registró")</f>
        <v>No registró</v>
      </c>
      <c r="N31" s="359" t="str">
        <f>IFERROR(LOOKUP(2,1/([1]!SABADO[[CEDULA ]]=[1]!Tabla9[[#This Row],[CEDULA ]]),[1]!SABADO[HORA]),"No registró")</f>
        <v>No registró</v>
      </c>
      <c r="O31" s="359" t="str">
        <f>IFERROR(VLOOKUP([1]!Tabla9[[CEDULA ]],[1]!DOMINGO[#Data],5,0),"No registró")</f>
        <v>No registró</v>
      </c>
      <c r="P31" s="359" t="str">
        <f>IFERROR(LOOKUP(2,1/([1]!DOMINGO[[CEDULA ]]=[1]!Tabla9[[#This Row],[CEDULA ]]),[1]!DOMINGO[HORA]),"No registró")</f>
        <v>No registró</v>
      </c>
      <c r="Q31" s="240" t="str">
        <f>IFERROR(VLOOKUP(A31,DATOS[],10,0),"")</f>
        <v>5. GUARENAS</v>
      </c>
    </row>
    <row r="32" spans="1:17" x14ac:dyDescent="0.25">
      <c r="A32" s="239">
        <v>5994165</v>
      </c>
      <c r="B32" s="239" t="s">
        <v>1017</v>
      </c>
      <c r="C32" s="359">
        <f>IFERROR(VLOOKUP([1]!Tabla9[[CEDULA ]],[1]!LUNES[#Data],5,0),"No registró")</f>
        <v>0.28846064814814815</v>
      </c>
      <c r="D32" s="359">
        <f>IFERROR(LOOKUP(2,1/([1]!LUNES[[CEDULA ]]=[1]!Tabla9[[#This Row],[CEDULA ]]),[1]!LUNES[HORA]),"No registró")</f>
        <v>0.55379629629629623</v>
      </c>
      <c r="E32" s="359">
        <f>IFERROR(VLOOKUP([1]!Tabla9[[CEDULA ]],[1]!MARTES[#Data],5,0),"No registró")</f>
        <v>0.34276620370370375</v>
      </c>
      <c r="F32" s="359">
        <f>IFERROR(LOOKUP(2,1/([1]!MARTES[[CEDULA ]]=[1]!Tabla9[[#This Row],[CEDULA ]]),[1]!MARTES[HORA]),"No Registró")</f>
        <v>0.5588657407407408</v>
      </c>
      <c r="G32" s="359" t="str">
        <f>IFERROR(VLOOKUP([1]!Tabla9[[CEDULA ]],[1]!MIERCOLES[#Data],5,0),"No registró")</f>
        <v>No registró</v>
      </c>
      <c r="H32" s="359" t="str">
        <f>IFERROR(LOOKUP(2,1/([1]!MIERCOLES[[CEDULA ]]=[1]!Tabla9[[#This Row],[CEDULA ]]),[1]!MIERCOLES[HORA]),"No registró")</f>
        <v>No registró</v>
      </c>
      <c r="I32" s="359" t="str">
        <f>IFERROR(VLOOKUP([1]!Tabla9[[CEDULA ]],[1]!JUEVES[#Data],5,0),"No Registró")</f>
        <v>No Registró</v>
      </c>
      <c r="J32" s="359" t="str">
        <f>IFERROR(LOOKUP(2,1/([1]!JUEVES[[CEDULA ]]=[1]!Tabla9[[#This Row],[CEDULA ]]),[1]!JUEVES[HORA]),"No registró")</f>
        <v>No registró</v>
      </c>
      <c r="K32" s="359" t="str">
        <f>IFERROR(VLOOKUP([1]!Tabla9[[CEDULA ]],[1]!VIERNES[#Data],5,0),"No registró")</f>
        <v>No registró</v>
      </c>
      <c r="L32" s="359" t="str">
        <f>IFERROR(LOOKUP(2,1/([1]!VIERNES[[CEDULA ]]=[1]!Tabla9[[#This Row],[CEDULA ]]),[1]!VIERNES[HORA]),"No registró")</f>
        <v>No registró</v>
      </c>
      <c r="M32" s="359" t="str">
        <f>IFERROR(VLOOKUP([1]!Tabla9[[CEDULA ]],[1]!SABADO[#Data],5,0),"No registró")</f>
        <v>No registró</v>
      </c>
      <c r="N32" s="359" t="str">
        <f>IFERROR(LOOKUP(2,1/([1]!SABADO[[CEDULA ]]=[1]!Tabla9[[#This Row],[CEDULA ]]),[1]!SABADO[HORA]),"No registró")</f>
        <v>No registró</v>
      </c>
      <c r="O32" s="359" t="str">
        <f>IFERROR(VLOOKUP([1]!Tabla9[[CEDULA ]],[1]!DOMINGO[#Data],5,0),"No registró")</f>
        <v>No registró</v>
      </c>
      <c r="P32" s="359" t="str">
        <f>IFERROR(LOOKUP(2,1/([1]!DOMINGO[[CEDULA ]]=[1]!Tabla9[[#This Row],[CEDULA ]]),[1]!DOMINGO[HORA]),"No registró")</f>
        <v>No registró</v>
      </c>
      <c r="Q32" s="240" t="str">
        <f>IFERROR(VLOOKUP(A32,DATOS[],10,0),"")</f>
        <v>3. CARICUAO</v>
      </c>
    </row>
    <row r="33" spans="1:17" x14ac:dyDescent="0.25">
      <c r="A33" s="239">
        <v>6020230</v>
      </c>
      <c r="B33" s="239" t="s">
        <v>1018</v>
      </c>
      <c r="C33" s="359">
        <f>IFERROR(VLOOKUP([1]!Tabla9[[CEDULA ]],[1]!LUNES[#Data],5,0),"No registró")</f>
        <v>0.29796296296296293</v>
      </c>
      <c r="D33" s="359">
        <f>IFERROR(LOOKUP(2,1/([1]!LUNES[[CEDULA ]]=[1]!Tabla9[[#This Row],[CEDULA ]]),[1]!LUNES[HORA]),"No registró")</f>
        <v>0.55461805555555554</v>
      </c>
      <c r="E33" s="359">
        <f>IFERROR(VLOOKUP([1]!Tabla9[[CEDULA ]],[1]!MARTES[#Data],5,0),"No registró")</f>
        <v>0.2872453703703704</v>
      </c>
      <c r="F33" s="359">
        <f>IFERROR(LOOKUP(2,1/([1]!MARTES[[CEDULA ]]=[1]!Tabla9[[#This Row],[CEDULA ]]),[1]!MARTES[HORA]),"No Registró")</f>
        <v>0.55581018518518521</v>
      </c>
      <c r="G33" s="359" t="str">
        <f>IFERROR(VLOOKUP([1]!Tabla9[[CEDULA ]],[1]!MIERCOLES[#Data],5,0),"No registró")</f>
        <v>No registró</v>
      </c>
      <c r="H33" s="359" t="str">
        <f>IFERROR(LOOKUP(2,1/([1]!MIERCOLES[[CEDULA ]]=[1]!Tabla9[[#This Row],[CEDULA ]]),[1]!MIERCOLES[HORA]),"No registró")</f>
        <v>No registró</v>
      </c>
      <c r="I33" s="359" t="str">
        <f>IFERROR(VLOOKUP([1]!Tabla9[[CEDULA ]],[1]!JUEVES[#Data],5,0),"No Registró")</f>
        <v>No Registró</v>
      </c>
      <c r="J33" s="359" t="str">
        <f>IFERROR(LOOKUP(2,1/([1]!JUEVES[[CEDULA ]]=[1]!Tabla9[[#This Row],[CEDULA ]]),[1]!JUEVES[HORA]),"No registró")</f>
        <v>No registró</v>
      </c>
      <c r="K33" s="359" t="str">
        <f>IFERROR(VLOOKUP([1]!Tabla9[[CEDULA ]],[1]!VIERNES[#Data],5,0),"No registró")</f>
        <v>No registró</v>
      </c>
      <c r="L33" s="359" t="str">
        <f>IFERROR(LOOKUP(2,1/([1]!VIERNES[[CEDULA ]]=[1]!Tabla9[[#This Row],[CEDULA ]]),[1]!VIERNES[HORA]),"No registró")</f>
        <v>No registró</v>
      </c>
      <c r="M33" s="359" t="str">
        <f>IFERROR(VLOOKUP([1]!Tabla9[[CEDULA ]],[1]!SABADO[#Data],5,0),"No registró")</f>
        <v>No registró</v>
      </c>
      <c r="N33" s="359" t="str">
        <f>IFERROR(LOOKUP(2,1/([1]!SABADO[[CEDULA ]]=[1]!Tabla9[[#This Row],[CEDULA ]]),[1]!SABADO[HORA]),"No registró")</f>
        <v>No registró</v>
      </c>
      <c r="O33" s="359" t="str">
        <f>IFERROR(VLOOKUP([1]!Tabla9[[CEDULA ]],[1]!DOMINGO[#Data],5,0),"No registró")</f>
        <v>No registró</v>
      </c>
      <c r="P33" s="359" t="str">
        <f>IFERROR(LOOKUP(2,1/([1]!DOMINGO[[CEDULA ]]=[1]!Tabla9[[#This Row],[CEDULA ]]),[1]!DOMINGO[HORA]),"No registró")</f>
        <v>No registró</v>
      </c>
      <c r="Q33" s="240">
        <f>IFERROR(VLOOKUP(A33,DATOS[],10,0),"")</f>
        <v>0</v>
      </c>
    </row>
    <row r="34" spans="1:17" x14ac:dyDescent="0.25">
      <c r="A34" s="239">
        <v>6040404</v>
      </c>
      <c r="B34" s="239" t="s">
        <v>1019</v>
      </c>
      <c r="C34" s="359">
        <f>IFERROR(VLOOKUP([1]!Tabla9[[CEDULA ]],[1]!LUNES[#Data],5,0),"No registró")</f>
        <v>0.26258101851851851</v>
      </c>
      <c r="D34" s="359">
        <f>IFERROR(LOOKUP(2,1/([1]!LUNES[[CEDULA ]]=[1]!Tabla9[[#This Row],[CEDULA ]]),[1]!LUNES[HORA]),"No registró")</f>
        <v>0.54831018518518515</v>
      </c>
      <c r="E34" s="359">
        <f>IFERROR(VLOOKUP([1]!Tabla9[[CEDULA ]],[1]!MARTES[#Data],5,0),"No registró")</f>
        <v>0.24618055555555554</v>
      </c>
      <c r="F34" s="359">
        <f>IFERROR(LOOKUP(2,1/([1]!MARTES[[CEDULA ]]=[1]!Tabla9[[#This Row],[CEDULA ]]),[1]!MARTES[HORA]),"No Registró")</f>
        <v>0.54537037037037039</v>
      </c>
      <c r="G34" s="359">
        <f>IFERROR(VLOOKUP([1]!Tabla9[[CEDULA ]],[1]!MIERCOLES[#Data],5,0),"No registró")</f>
        <v>0.26461805555555556</v>
      </c>
      <c r="H34" s="359">
        <f>IFERROR(LOOKUP(2,1/([1]!MIERCOLES[[CEDULA ]]=[1]!Tabla9[[#This Row],[CEDULA ]]),[1]!MIERCOLES[HORA]),"No registró")</f>
        <v>0.60621527777777773</v>
      </c>
      <c r="I34" s="359" t="str">
        <f>IFERROR(VLOOKUP([1]!Tabla9[[CEDULA ]],[1]!JUEVES[#Data],5,0),"No Registró")</f>
        <v>No Registró</v>
      </c>
      <c r="J34" s="359" t="str">
        <f>IFERROR(LOOKUP(2,1/([1]!JUEVES[[CEDULA ]]=[1]!Tabla9[[#This Row],[CEDULA ]]),[1]!JUEVES[HORA]),"No registró")</f>
        <v>No registró</v>
      </c>
      <c r="K34" s="359" t="str">
        <f>IFERROR(VLOOKUP([1]!Tabla9[[CEDULA ]],[1]!VIERNES[#Data],5,0),"No registró")</f>
        <v>No registró</v>
      </c>
      <c r="L34" s="359" t="str">
        <f>IFERROR(LOOKUP(2,1/([1]!VIERNES[[CEDULA ]]=[1]!Tabla9[[#This Row],[CEDULA ]]),[1]!VIERNES[HORA]),"No registró")</f>
        <v>No registró</v>
      </c>
      <c r="M34" s="359" t="str">
        <f>IFERROR(VLOOKUP([1]!Tabla9[[CEDULA ]],[1]!SABADO[#Data],5,0),"No registró")</f>
        <v>No registró</v>
      </c>
      <c r="N34" s="359" t="str">
        <f>IFERROR(LOOKUP(2,1/([1]!SABADO[[CEDULA ]]=[1]!Tabla9[[#This Row],[CEDULA ]]),[1]!SABADO[HORA]),"No registró")</f>
        <v>No registró</v>
      </c>
      <c r="O34" s="359" t="str">
        <f>IFERROR(VLOOKUP([1]!Tabla9[[CEDULA ]],[1]!DOMINGO[#Data],5,0),"No registró")</f>
        <v>No registró</v>
      </c>
      <c r="P34" s="359" t="str">
        <f>IFERROR(LOOKUP(2,1/([1]!DOMINGO[[CEDULA ]]=[1]!Tabla9[[#This Row],[CEDULA ]]),[1]!DOMINGO[HORA]),"No registró")</f>
        <v>No registró</v>
      </c>
      <c r="Q34" s="240" t="str">
        <f>IFERROR(VLOOKUP(A34,DATOS[],10,0),"")</f>
        <v>2. CATIA</v>
      </c>
    </row>
    <row r="35" spans="1:17" x14ac:dyDescent="0.25">
      <c r="A35" s="239">
        <v>6092741</v>
      </c>
      <c r="B35" s="239" t="s">
        <v>1020</v>
      </c>
      <c r="C35" s="359">
        <f>IFERROR(VLOOKUP([1]!Tabla9[[CEDULA ]],[1]!LUNES[#Data],5,0),"No registró")</f>
        <v>0.27914351851851854</v>
      </c>
      <c r="D35" s="359">
        <f>IFERROR(LOOKUP(2,1/([1]!LUNES[[CEDULA ]]=[1]!Tabla9[[#This Row],[CEDULA ]]),[1]!LUNES[HORA]),"No registró")</f>
        <v>0.5549074074074074</v>
      </c>
      <c r="E35" s="359">
        <f>IFERROR(VLOOKUP([1]!Tabla9[[CEDULA ]],[1]!MARTES[#Data],5,0),"No registró")</f>
        <v>0.27909722222222222</v>
      </c>
      <c r="F35" s="359">
        <f>IFERROR(LOOKUP(2,1/([1]!MARTES[[CEDULA ]]=[1]!Tabla9[[#This Row],[CEDULA ]]),[1]!MARTES[HORA]),"No Registró")</f>
        <v>0.55315972222222221</v>
      </c>
      <c r="G35" s="359" t="str">
        <f>IFERROR(VLOOKUP([1]!Tabla9[[CEDULA ]],[1]!MIERCOLES[#Data],5,0),"No registró")</f>
        <v>No registró</v>
      </c>
      <c r="H35" s="359" t="str">
        <f>IFERROR(LOOKUP(2,1/([1]!MIERCOLES[[CEDULA ]]=[1]!Tabla9[[#This Row],[CEDULA ]]),[1]!MIERCOLES[HORA]),"No registró")</f>
        <v>No registró</v>
      </c>
      <c r="I35" s="359" t="str">
        <f>IFERROR(VLOOKUP([1]!Tabla9[[CEDULA ]],[1]!JUEVES[#Data],5,0),"No Registró")</f>
        <v>No Registró</v>
      </c>
      <c r="J35" s="359" t="str">
        <f>IFERROR(LOOKUP(2,1/([1]!JUEVES[[CEDULA ]]=[1]!Tabla9[[#This Row],[CEDULA ]]),[1]!JUEVES[HORA]),"No registró")</f>
        <v>No registró</v>
      </c>
      <c r="K35" s="359" t="str">
        <f>IFERROR(VLOOKUP([1]!Tabla9[[CEDULA ]],[1]!VIERNES[#Data],5,0),"No registró")</f>
        <v>No registró</v>
      </c>
      <c r="L35" s="359" t="str">
        <f>IFERROR(LOOKUP(2,1/([1]!VIERNES[[CEDULA ]]=[1]!Tabla9[[#This Row],[CEDULA ]]),[1]!VIERNES[HORA]),"No registró")</f>
        <v>No registró</v>
      </c>
      <c r="M35" s="359" t="str">
        <f>IFERROR(VLOOKUP([1]!Tabla9[[CEDULA ]],[1]!SABADO[#Data],5,0),"No registró")</f>
        <v>No registró</v>
      </c>
      <c r="N35" s="359" t="str">
        <f>IFERROR(LOOKUP(2,1/([1]!SABADO[[CEDULA ]]=[1]!Tabla9[[#This Row],[CEDULA ]]),[1]!SABADO[HORA]),"No registró")</f>
        <v>No registró</v>
      </c>
      <c r="O35" s="359" t="str">
        <f>IFERROR(VLOOKUP([1]!Tabla9[[CEDULA ]],[1]!DOMINGO[#Data],5,0),"No registró")</f>
        <v>No registró</v>
      </c>
      <c r="P35" s="359" t="str">
        <f>IFERROR(LOOKUP(2,1/([1]!DOMINGO[[CEDULA ]]=[1]!Tabla9[[#This Row],[CEDULA ]]),[1]!DOMINGO[HORA]),"No registró")</f>
        <v>No registró</v>
      </c>
      <c r="Q35" s="240" t="str">
        <f>IFERROR(VLOOKUP(A35,DATOS[],10,0),"")</f>
        <v>1. COCHE</v>
      </c>
    </row>
    <row r="36" spans="1:17" x14ac:dyDescent="0.25">
      <c r="A36" s="239">
        <v>6122526</v>
      </c>
      <c r="B36" s="239" t="s">
        <v>1021</v>
      </c>
      <c r="C36" s="359">
        <f>IFERROR(VLOOKUP([1]!Tabla9[[CEDULA ]],[1]!LUNES[#Data],5,0),"No registró")</f>
        <v>0.31347222222222221</v>
      </c>
      <c r="D36" s="359">
        <f>IFERROR(LOOKUP(2,1/([1]!LUNES[[CEDULA ]]=[1]!Tabla9[[#This Row],[CEDULA ]]),[1]!LUNES[HORA]),"No registró")</f>
        <v>0.60704861111111108</v>
      </c>
      <c r="E36" s="359">
        <f>IFERROR(VLOOKUP([1]!Tabla9[[CEDULA ]],[1]!MARTES[#Data],5,0),"No registró")</f>
        <v>0.31309027777777776</v>
      </c>
      <c r="F36" s="359">
        <f>IFERROR(LOOKUP(2,1/([1]!MARTES[[CEDULA ]]=[1]!Tabla9[[#This Row],[CEDULA ]]),[1]!MARTES[HORA]),"No Registró")</f>
        <v>0.60405092592592591</v>
      </c>
      <c r="G36" s="359" t="str">
        <f>IFERROR(VLOOKUP([1]!Tabla9[[CEDULA ]],[1]!MIERCOLES[#Data],5,0),"No registró")</f>
        <v>No registró</v>
      </c>
      <c r="H36" s="359" t="str">
        <f>IFERROR(LOOKUP(2,1/([1]!MIERCOLES[[CEDULA ]]=[1]!Tabla9[[#This Row],[CEDULA ]]),[1]!MIERCOLES[HORA]),"No registró")</f>
        <v>No registró</v>
      </c>
      <c r="I36" s="359" t="str">
        <f>IFERROR(VLOOKUP([1]!Tabla9[[CEDULA ]],[1]!JUEVES[#Data],5,0),"No Registró")</f>
        <v>No Registró</v>
      </c>
      <c r="J36" s="359" t="str">
        <f>IFERROR(LOOKUP(2,1/([1]!JUEVES[[CEDULA ]]=[1]!Tabla9[[#This Row],[CEDULA ]]),[1]!JUEVES[HORA]),"No registró")</f>
        <v>No registró</v>
      </c>
      <c r="K36" s="359" t="str">
        <f>IFERROR(VLOOKUP([1]!Tabla9[[CEDULA ]],[1]!VIERNES[#Data],5,0),"No registró")</f>
        <v>No registró</v>
      </c>
      <c r="L36" s="359" t="str">
        <f>IFERROR(LOOKUP(2,1/([1]!VIERNES[[CEDULA ]]=[1]!Tabla9[[#This Row],[CEDULA ]]),[1]!VIERNES[HORA]),"No registró")</f>
        <v>No registró</v>
      </c>
      <c r="M36" s="359" t="str">
        <f>IFERROR(VLOOKUP([1]!Tabla9[[CEDULA ]],[1]!SABADO[#Data],5,0),"No registró")</f>
        <v>No registró</v>
      </c>
      <c r="N36" s="359" t="str">
        <f>IFERROR(LOOKUP(2,1/([1]!SABADO[[CEDULA ]]=[1]!Tabla9[[#This Row],[CEDULA ]]),[1]!SABADO[HORA]),"No registró")</f>
        <v>No registró</v>
      </c>
      <c r="O36" s="359" t="str">
        <f>IFERROR(VLOOKUP([1]!Tabla9[[CEDULA ]],[1]!DOMINGO[#Data],5,0),"No registró")</f>
        <v>No registró</v>
      </c>
      <c r="P36" s="359" t="str">
        <f>IFERROR(LOOKUP(2,1/([1]!DOMINGO[[CEDULA ]]=[1]!Tabla9[[#This Row],[CEDULA ]]),[1]!DOMINGO[HORA]),"No registró")</f>
        <v>No registró</v>
      </c>
      <c r="Q36" s="240" t="str">
        <f>IFERROR(VLOOKUP(A36,DATOS[],10,0),"")</f>
        <v>0. ALTO NIVEL</v>
      </c>
    </row>
    <row r="37" spans="1:17" x14ac:dyDescent="0.25">
      <c r="A37" s="239">
        <v>6124980</v>
      </c>
      <c r="B37" s="239" t="s">
        <v>1022</v>
      </c>
      <c r="C37" s="359" t="str">
        <f>IFERROR(VLOOKUP([1]!Tabla9[[CEDULA ]],[1]!LUNES[#Data],5,0),"No registró")</f>
        <v>No registró</v>
      </c>
      <c r="D37" s="359" t="str">
        <f>IFERROR(LOOKUP(2,1/([1]!LUNES[[CEDULA ]]=[1]!Tabla9[[#This Row],[CEDULA ]]),[1]!LUNES[HORA]),"No registró")</f>
        <v>No registró</v>
      </c>
      <c r="E37" s="359">
        <f>IFERROR(VLOOKUP([1]!Tabla9[[CEDULA ]],[1]!MARTES[#Data],5,0),"No registró")</f>
        <v>0.3543634259259259</v>
      </c>
      <c r="F37" s="359">
        <f>IFERROR(LOOKUP(2,1/([1]!MARTES[[CEDULA ]]=[1]!Tabla9[[#This Row],[CEDULA ]]),[1]!MARTES[HORA]),"No Registró")</f>
        <v>0.56751157407407404</v>
      </c>
      <c r="G37" s="359" t="str">
        <f>IFERROR(VLOOKUP([1]!Tabla9[[CEDULA ]],[1]!MIERCOLES[#Data],5,0),"No registró")</f>
        <v>No registró</v>
      </c>
      <c r="H37" s="359" t="str">
        <f>IFERROR(LOOKUP(2,1/([1]!MIERCOLES[[CEDULA ]]=[1]!Tabla9[[#This Row],[CEDULA ]]),[1]!MIERCOLES[HORA]),"No registró")</f>
        <v>No registró</v>
      </c>
      <c r="I37" s="359" t="str">
        <f>IFERROR(VLOOKUP([1]!Tabla9[[CEDULA ]],[1]!JUEVES[#Data],5,0),"No Registró")</f>
        <v>No Registró</v>
      </c>
      <c r="J37" s="359" t="str">
        <f>IFERROR(LOOKUP(2,1/([1]!JUEVES[[CEDULA ]]=[1]!Tabla9[[#This Row],[CEDULA ]]),[1]!JUEVES[HORA]),"No registró")</f>
        <v>No registró</v>
      </c>
      <c r="K37" s="359" t="str">
        <f>IFERROR(VLOOKUP([1]!Tabla9[[CEDULA ]],[1]!VIERNES[#Data],5,0),"No registró")</f>
        <v>No registró</v>
      </c>
      <c r="L37" s="359" t="str">
        <f>IFERROR(LOOKUP(2,1/([1]!VIERNES[[CEDULA ]]=[1]!Tabla9[[#This Row],[CEDULA ]]),[1]!VIERNES[HORA]),"No registró")</f>
        <v>No registró</v>
      </c>
      <c r="M37" s="359" t="str">
        <f>IFERROR(VLOOKUP([1]!Tabla9[[CEDULA ]],[1]!SABADO[#Data],5,0),"No registró")</f>
        <v>No registró</v>
      </c>
      <c r="N37" s="359" t="str">
        <f>IFERROR(LOOKUP(2,1/([1]!SABADO[[CEDULA ]]=[1]!Tabla9[[#This Row],[CEDULA ]]),[1]!SABADO[HORA]),"No registró")</f>
        <v>No registró</v>
      </c>
      <c r="O37" s="359" t="str">
        <f>IFERROR(VLOOKUP([1]!Tabla9[[CEDULA ]],[1]!DOMINGO[#Data],5,0),"No registró")</f>
        <v>No registró</v>
      </c>
      <c r="P37" s="359" t="str">
        <f>IFERROR(LOOKUP(2,1/([1]!DOMINGO[[CEDULA ]]=[1]!Tabla9[[#This Row],[CEDULA ]]),[1]!DOMINGO[HORA]),"No registró")</f>
        <v>No registró</v>
      </c>
      <c r="Q37" s="240">
        <f>IFERROR(VLOOKUP(A37,DATOS[],10,0),"")</f>
        <v>0</v>
      </c>
    </row>
    <row r="38" spans="1:17" x14ac:dyDescent="0.25">
      <c r="A38" s="239">
        <v>6154833</v>
      </c>
      <c r="B38" s="239" t="s">
        <v>1023</v>
      </c>
      <c r="C38" s="359">
        <f>IFERROR(VLOOKUP([1]!Tabla9[[CEDULA ]],[1]!LUNES[#Data],5,0),"No registró")</f>
        <v>0.29468749999999999</v>
      </c>
      <c r="D38" s="359">
        <f>IFERROR(LOOKUP(2,1/([1]!LUNES[[CEDULA ]]=[1]!Tabla9[[#This Row],[CEDULA ]]),[1]!LUNES[HORA]),"No registró")</f>
        <v>0.38034722222222223</v>
      </c>
      <c r="E38" s="359">
        <f>IFERROR(VLOOKUP([1]!Tabla9[[CEDULA ]],[1]!MARTES[#Data],5,0),"No registró")</f>
        <v>0.29734953703703704</v>
      </c>
      <c r="F38" s="359">
        <f>IFERROR(LOOKUP(2,1/([1]!MARTES[[CEDULA ]]=[1]!Tabla9[[#This Row],[CEDULA ]]),[1]!MARTES[HORA]),"No Registró")</f>
        <v>0.60692129629629632</v>
      </c>
      <c r="G38" s="359" t="str">
        <f>IFERROR(VLOOKUP([1]!Tabla9[[CEDULA ]],[1]!MIERCOLES[#Data],5,0),"No registró")</f>
        <v>No registró</v>
      </c>
      <c r="H38" s="359" t="str">
        <f>IFERROR(LOOKUP(2,1/([1]!MIERCOLES[[CEDULA ]]=[1]!Tabla9[[#This Row],[CEDULA ]]),[1]!MIERCOLES[HORA]),"No registró")</f>
        <v>No registró</v>
      </c>
      <c r="I38" s="359" t="str">
        <f>IFERROR(VLOOKUP([1]!Tabla9[[CEDULA ]],[1]!JUEVES[#Data],5,0),"No Registró")</f>
        <v>No Registró</v>
      </c>
      <c r="J38" s="359" t="str">
        <f>IFERROR(LOOKUP(2,1/([1]!JUEVES[[CEDULA ]]=[1]!Tabla9[[#This Row],[CEDULA ]]),[1]!JUEVES[HORA]),"No registró")</f>
        <v>No registró</v>
      </c>
      <c r="K38" s="359" t="str">
        <f>IFERROR(VLOOKUP([1]!Tabla9[[CEDULA ]],[1]!VIERNES[#Data],5,0),"No registró")</f>
        <v>No registró</v>
      </c>
      <c r="L38" s="359" t="str">
        <f>IFERROR(LOOKUP(2,1/([1]!VIERNES[[CEDULA ]]=[1]!Tabla9[[#This Row],[CEDULA ]]),[1]!VIERNES[HORA]),"No registró")</f>
        <v>No registró</v>
      </c>
      <c r="M38" s="359" t="str">
        <f>IFERROR(VLOOKUP([1]!Tabla9[[CEDULA ]],[1]!SABADO[#Data],5,0),"No registró")</f>
        <v>No registró</v>
      </c>
      <c r="N38" s="359" t="str">
        <f>IFERROR(LOOKUP(2,1/([1]!SABADO[[CEDULA ]]=[1]!Tabla9[[#This Row],[CEDULA ]]),[1]!SABADO[HORA]),"No registró")</f>
        <v>No registró</v>
      </c>
      <c r="O38" s="359" t="str">
        <f>IFERROR(VLOOKUP([1]!Tabla9[[CEDULA ]],[1]!DOMINGO[#Data],5,0),"No registró")</f>
        <v>No registró</v>
      </c>
      <c r="P38" s="359" t="str">
        <f>IFERROR(LOOKUP(2,1/([1]!DOMINGO[[CEDULA ]]=[1]!Tabla9[[#This Row],[CEDULA ]]),[1]!DOMINGO[HORA]),"No registró")</f>
        <v>No registró</v>
      </c>
      <c r="Q38" s="240">
        <f>IFERROR(VLOOKUP(A38,DATOS[],10,0),"")</f>
        <v>0</v>
      </c>
    </row>
    <row r="39" spans="1:17" x14ac:dyDescent="0.25">
      <c r="A39" s="239">
        <v>6157935</v>
      </c>
      <c r="B39" s="239" t="s">
        <v>1024</v>
      </c>
      <c r="C39" s="359" t="str">
        <f>IFERROR(VLOOKUP([1]!Tabla9[[CEDULA ]],[1]!LUNES[#Data],5,0),"No registró")</f>
        <v>No registró</v>
      </c>
      <c r="D39" s="359" t="str">
        <f>IFERROR(LOOKUP(2,1/([1]!LUNES[[CEDULA ]]=[1]!Tabla9[[#This Row],[CEDULA ]]),[1]!LUNES[HORA]),"No registró")</f>
        <v>No registró</v>
      </c>
      <c r="E39" s="359">
        <f>IFERROR(VLOOKUP([1]!Tabla9[[CEDULA ]],[1]!MARTES[#Data],5,0),"No registró")</f>
        <v>0.28253472222222226</v>
      </c>
      <c r="F39" s="359">
        <f>IFERROR(LOOKUP(2,1/([1]!MARTES[[CEDULA ]]=[1]!Tabla9[[#This Row],[CEDULA ]]),[1]!MARTES[HORA]),"No Registró")</f>
        <v>0.54496527777777781</v>
      </c>
      <c r="G39" s="359" t="str">
        <f>IFERROR(VLOOKUP([1]!Tabla9[[CEDULA ]],[1]!MIERCOLES[#Data],5,0),"No registró")</f>
        <v>No registró</v>
      </c>
      <c r="H39" s="359" t="str">
        <f>IFERROR(LOOKUP(2,1/([1]!MIERCOLES[[CEDULA ]]=[1]!Tabla9[[#This Row],[CEDULA ]]),[1]!MIERCOLES[HORA]),"No registró")</f>
        <v>No registró</v>
      </c>
      <c r="I39" s="359" t="str">
        <f>IFERROR(VLOOKUP([1]!Tabla9[[CEDULA ]],[1]!JUEVES[#Data],5,0),"No Registró")</f>
        <v>No Registró</v>
      </c>
      <c r="J39" s="359" t="str">
        <f>IFERROR(LOOKUP(2,1/([1]!JUEVES[[CEDULA ]]=[1]!Tabla9[[#This Row],[CEDULA ]]),[1]!JUEVES[HORA]),"No registró")</f>
        <v>No registró</v>
      </c>
      <c r="K39" s="359" t="str">
        <f>IFERROR(VLOOKUP([1]!Tabla9[[CEDULA ]],[1]!VIERNES[#Data],5,0),"No registró")</f>
        <v>No registró</v>
      </c>
      <c r="L39" s="359" t="str">
        <f>IFERROR(LOOKUP(2,1/([1]!VIERNES[[CEDULA ]]=[1]!Tabla9[[#This Row],[CEDULA ]]),[1]!VIERNES[HORA]),"No registró")</f>
        <v>No registró</v>
      </c>
      <c r="M39" s="359" t="str">
        <f>IFERROR(VLOOKUP([1]!Tabla9[[CEDULA ]],[1]!SABADO[#Data],5,0),"No registró")</f>
        <v>No registró</v>
      </c>
      <c r="N39" s="359" t="str">
        <f>IFERROR(LOOKUP(2,1/([1]!SABADO[[CEDULA ]]=[1]!Tabla9[[#This Row],[CEDULA ]]),[1]!SABADO[HORA]),"No registró")</f>
        <v>No registró</v>
      </c>
      <c r="O39" s="359" t="str">
        <f>IFERROR(VLOOKUP([1]!Tabla9[[CEDULA ]],[1]!DOMINGO[#Data],5,0),"No registró")</f>
        <v>No registró</v>
      </c>
      <c r="P39" s="359" t="str">
        <f>IFERROR(LOOKUP(2,1/([1]!DOMINGO[[CEDULA ]]=[1]!Tabla9[[#This Row],[CEDULA ]]),[1]!DOMINGO[HORA]),"No registró")</f>
        <v>No registró</v>
      </c>
      <c r="Q39" s="240">
        <f>IFERROR(VLOOKUP(A39,DATOS[],10,0),"")</f>
        <v>0</v>
      </c>
    </row>
    <row r="40" spans="1:17" x14ac:dyDescent="0.25">
      <c r="A40" s="239">
        <v>6178411</v>
      </c>
      <c r="B40" s="239" t="s">
        <v>1025</v>
      </c>
      <c r="C40" s="359">
        <f>IFERROR(VLOOKUP([1]!Tabla9[[CEDULA ]],[1]!LUNES[#Data],5,0),"No registró")</f>
        <v>0.28160879629629632</v>
      </c>
      <c r="D40" s="359">
        <f>IFERROR(LOOKUP(2,1/([1]!LUNES[[CEDULA ]]=[1]!Tabla9[[#This Row],[CEDULA ]]),[1]!LUNES[HORA]),"No registró")</f>
        <v>0.55408564814814809</v>
      </c>
      <c r="E40" s="359">
        <f>IFERROR(VLOOKUP([1]!Tabla9[[CEDULA ]],[1]!MARTES[#Data],5,0),"No registró")</f>
        <v>0.28167824074074072</v>
      </c>
      <c r="F40" s="359">
        <f>IFERROR(LOOKUP(2,1/([1]!MARTES[[CEDULA ]]=[1]!Tabla9[[#This Row],[CEDULA ]]),[1]!MARTES[HORA]),"No Registró")</f>
        <v>0.55539351851851848</v>
      </c>
      <c r="G40" s="359" t="str">
        <f>IFERROR(VLOOKUP([1]!Tabla9[[CEDULA ]],[1]!MIERCOLES[#Data],5,0),"No registró")</f>
        <v>No registró</v>
      </c>
      <c r="H40" s="359" t="str">
        <f>IFERROR(LOOKUP(2,1/([1]!MIERCOLES[[CEDULA ]]=[1]!Tabla9[[#This Row],[CEDULA ]]),[1]!MIERCOLES[HORA]),"No registró")</f>
        <v>No registró</v>
      </c>
      <c r="I40" s="359" t="str">
        <f>IFERROR(VLOOKUP([1]!Tabla9[[CEDULA ]],[1]!JUEVES[#Data],5,0),"No Registró")</f>
        <v>No Registró</v>
      </c>
      <c r="J40" s="359" t="str">
        <f>IFERROR(LOOKUP(2,1/([1]!JUEVES[[CEDULA ]]=[1]!Tabla9[[#This Row],[CEDULA ]]),[1]!JUEVES[HORA]),"No registró")</f>
        <v>No registró</v>
      </c>
      <c r="K40" s="359" t="str">
        <f>IFERROR(VLOOKUP([1]!Tabla9[[CEDULA ]],[1]!VIERNES[#Data],5,0),"No registró")</f>
        <v>No registró</v>
      </c>
      <c r="L40" s="359" t="str">
        <f>IFERROR(LOOKUP(2,1/([1]!VIERNES[[CEDULA ]]=[1]!Tabla9[[#This Row],[CEDULA ]]),[1]!VIERNES[HORA]),"No registró")</f>
        <v>No registró</v>
      </c>
      <c r="M40" s="359" t="str">
        <f>IFERROR(VLOOKUP([1]!Tabla9[[CEDULA ]],[1]!SABADO[#Data],5,0),"No registró")</f>
        <v>No registró</v>
      </c>
      <c r="N40" s="359" t="str">
        <f>IFERROR(LOOKUP(2,1/([1]!SABADO[[CEDULA ]]=[1]!Tabla9[[#This Row],[CEDULA ]]),[1]!SABADO[HORA]),"No registró")</f>
        <v>No registró</v>
      </c>
      <c r="O40" s="359" t="str">
        <f>IFERROR(VLOOKUP([1]!Tabla9[[CEDULA ]],[1]!DOMINGO[#Data],5,0),"No registró")</f>
        <v>No registró</v>
      </c>
      <c r="P40" s="359" t="str">
        <f>IFERROR(LOOKUP(2,1/([1]!DOMINGO[[CEDULA ]]=[1]!Tabla9[[#This Row],[CEDULA ]]),[1]!DOMINGO[HORA]),"No registró")</f>
        <v>No registró</v>
      </c>
      <c r="Q40" s="240" t="str">
        <f>IFERROR(VLOOKUP(A40,DATOS[],10,0),"")</f>
        <v>0. ALTO NIVEL</v>
      </c>
    </row>
    <row r="41" spans="1:17" x14ac:dyDescent="0.25">
      <c r="A41" s="239">
        <v>6185757</v>
      </c>
      <c r="B41" s="239" t="s">
        <v>1026</v>
      </c>
      <c r="C41" s="359">
        <f>IFERROR(VLOOKUP([1]!Tabla9[[CEDULA ]],[1]!LUNES[#Data],5,0),"No registró")</f>
        <v>0.28313657407407405</v>
      </c>
      <c r="D41" s="359">
        <f>IFERROR(LOOKUP(2,1/([1]!LUNES[[CEDULA ]]=[1]!Tabla9[[#This Row],[CEDULA ]]),[1]!LUNES[HORA]),"No registró")</f>
        <v>0.64642361111111113</v>
      </c>
      <c r="E41" s="359">
        <f>IFERROR(VLOOKUP([1]!Tabla9[[CEDULA ]],[1]!MARTES[#Data],5,0),"No registró")</f>
        <v>0.28216435185185185</v>
      </c>
      <c r="F41" s="359">
        <f>IFERROR(LOOKUP(2,1/([1]!MARTES[[CEDULA ]]=[1]!Tabla9[[#This Row],[CEDULA ]]),[1]!MARTES[HORA]),"No Registró")</f>
        <v>0.61275462962962968</v>
      </c>
      <c r="G41" s="359" t="str">
        <f>IFERROR(VLOOKUP([1]!Tabla9[[CEDULA ]],[1]!MIERCOLES[#Data],5,0),"No registró")</f>
        <v>No registró</v>
      </c>
      <c r="H41" s="359" t="str">
        <f>IFERROR(LOOKUP(2,1/([1]!MIERCOLES[[CEDULA ]]=[1]!Tabla9[[#This Row],[CEDULA ]]),[1]!MIERCOLES[HORA]),"No registró")</f>
        <v>No registró</v>
      </c>
      <c r="I41" s="359" t="str">
        <f>IFERROR(VLOOKUP([1]!Tabla9[[CEDULA ]],[1]!JUEVES[#Data],5,0),"No Registró")</f>
        <v>No Registró</v>
      </c>
      <c r="J41" s="359" t="str">
        <f>IFERROR(LOOKUP(2,1/([1]!JUEVES[[CEDULA ]]=[1]!Tabla9[[#This Row],[CEDULA ]]),[1]!JUEVES[HORA]),"No registró")</f>
        <v>No registró</v>
      </c>
      <c r="K41" s="359" t="str">
        <f>IFERROR(VLOOKUP([1]!Tabla9[[CEDULA ]],[1]!VIERNES[#Data],5,0),"No registró")</f>
        <v>No registró</v>
      </c>
      <c r="L41" s="359" t="str">
        <f>IFERROR(LOOKUP(2,1/([1]!VIERNES[[CEDULA ]]=[1]!Tabla9[[#This Row],[CEDULA ]]),[1]!VIERNES[HORA]),"No registró")</f>
        <v>No registró</v>
      </c>
      <c r="M41" s="359" t="str">
        <f>IFERROR(VLOOKUP([1]!Tabla9[[CEDULA ]],[1]!SABADO[#Data],5,0),"No registró")</f>
        <v>No registró</v>
      </c>
      <c r="N41" s="359" t="str">
        <f>IFERROR(LOOKUP(2,1/([1]!SABADO[[CEDULA ]]=[1]!Tabla9[[#This Row],[CEDULA ]]),[1]!SABADO[HORA]),"No registró")</f>
        <v>No registró</v>
      </c>
      <c r="O41" s="359" t="str">
        <f>IFERROR(VLOOKUP([1]!Tabla9[[CEDULA ]],[1]!DOMINGO[#Data],5,0),"No registró")</f>
        <v>No registró</v>
      </c>
      <c r="P41" s="359" t="str">
        <f>IFERROR(LOOKUP(2,1/([1]!DOMINGO[[CEDULA ]]=[1]!Tabla9[[#This Row],[CEDULA ]]),[1]!DOMINGO[HORA]),"No registró")</f>
        <v>No registró</v>
      </c>
      <c r="Q41" s="240" t="str">
        <f>IFERROR(VLOOKUP(A41,DATOS[],10,0),"")</f>
        <v>0. ALTO NIVEL</v>
      </c>
    </row>
    <row r="42" spans="1:17" x14ac:dyDescent="0.25">
      <c r="A42" s="239">
        <v>6207120</v>
      </c>
      <c r="B42" s="239" t="s">
        <v>1027</v>
      </c>
      <c r="C42" s="359">
        <f>IFERROR(VLOOKUP([1]!Tabla9[[CEDULA ]],[1]!LUNES[#Data],5,0),"No registró")</f>
        <v>0.36784722222222221</v>
      </c>
      <c r="D42" s="359">
        <f>IFERROR(LOOKUP(2,1/([1]!LUNES[[CEDULA ]]=[1]!Tabla9[[#This Row],[CEDULA ]]),[1]!LUNES[HORA]),"No registró")</f>
        <v>0.65468749999999998</v>
      </c>
      <c r="E42" s="359">
        <f>IFERROR(VLOOKUP([1]!Tabla9[[CEDULA ]],[1]!MARTES[#Data],5,0),"No registró")</f>
        <v>0.36520833333333336</v>
      </c>
      <c r="F42" s="359">
        <f>IFERROR(LOOKUP(2,1/([1]!MARTES[[CEDULA ]]=[1]!Tabla9[[#This Row],[CEDULA ]]),[1]!MARTES[HORA]),"No Registró")</f>
        <v>0.69731481481481483</v>
      </c>
      <c r="G42" s="359" t="str">
        <f>IFERROR(VLOOKUP([1]!Tabla9[[CEDULA ]],[1]!MIERCOLES[#Data],5,0),"No registró")</f>
        <v>No registró</v>
      </c>
      <c r="H42" s="359" t="str">
        <f>IFERROR(LOOKUP(2,1/([1]!MIERCOLES[[CEDULA ]]=[1]!Tabla9[[#This Row],[CEDULA ]]),[1]!MIERCOLES[HORA]),"No registró")</f>
        <v>No registró</v>
      </c>
      <c r="I42" s="359" t="str">
        <f>IFERROR(VLOOKUP([1]!Tabla9[[CEDULA ]],[1]!JUEVES[#Data],5,0),"No Registró")</f>
        <v>No Registró</v>
      </c>
      <c r="J42" s="359" t="str">
        <f>IFERROR(LOOKUP(2,1/([1]!JUEVES[[CEDULA ]]=[1]!Tabla9[[#This Row],[CEDULA ]]),[1]!JUEVES[HORA]),"No registró")</f>
        <v>No registró</v>
      </c>
      <c r="K42" s="359" t="str">
        <f>IFERROR(VLOOKUP([1]!Tabla9[[CEDULA ]],[1]!VIERNES[#Data],5,0),"No registró")</f>
        <v>No registró</v>
      </c>
      <c r="L42" s="359" t="str">
        <f>IFERROR(LOOKUP(2,1/([1]!VIERNES[[CEDULA ]]=[1]!Tabla9[[#This Row],[CEDULA ]]),[1]!VIERNES[HORA]),"No registró")</f>
        <v>No registró</v>
      </c>
      <c r="M42" s="359" t="str">
        <f>IFERROR(VLOOKUP([1]!Tabla9[[CEDULA ]],[1]!SABADO[#Data],5,0),"No registró")</f>
        <v>No registró</v>
      </c>
      <c r="N42" s="359" t="str">
        <f>IFERROR(LOOKUP(2,1/([1]!SABADO[[CEDULA ]]=[1]!Tabla9[[#This Row],[CEDULA ]]),[1]!SABADO[HORA]),"No registró")</f>
        <v>No registró</v>
      </c>
      <c r="O42" s="359" t="str">
        <f>IFERROR(VLOOKUP([1]!Tabla9[[CEDULA ]],[1]!DOMINGO[#Data],5,0),"No registró")</f>
        <v>No registró</v>
      </c>
      <c r="P42" s="359" t="str">
        <f>IFERROR(LOOKUP(2,1/([1]!DOMINGO[[CEDULA ]]=[1]!Tabla9[[#This Row],[CEDULA ]]),[1]!DOMINGO[HORA]),"No registró")</f>
        <v>No registró</v>
      </c>
      <c r="Q42" s="240" t="str">
        <f>IFERROR(VLOOKUP(A42,DATOS[],10,0),"")</f>
        <v>0. ALTO NIVEL</v>
      </c>
    </row>
    <row r="43" spans="1:17" x14ac:dyDescent="0.25">
      <c r="A43" s="239">
        <v>6244043</v>
      </c>
      <c r="B43" s="239" t="s">
        <v>1028</v>
      </c>
      <c r="C43" s="359">
        <f>IFERROR(VLOOKUP([1]!Tabla9[[CEDULA ]],[1]!LUNES[#Data],5,0),"No registró")</f>
        <v>0.35354166666666664</v>
      </c>
      <c r="D43" s="359">
        <f>IFERROR(LOOKUP(2,1/([1]!LUNES[[CEDULA ]]=[1]!Tabla9[[#This Row],[CEDULA ]]),[1]!LUNES[HORA]),"No registró")</f>
        <v>0.55159722222222218</v>
      </c>
      <c r="E43" s="359">
        <f>IFERROR(VLOOKUP([1]!Tabla9[[CEDULA ]],[1]!MARTES[#Data],5,0),"No registró")</f>
        <v>0.35716435185185186</v>
      </c>
      <c r="F43" s="359">
        <f>IFERROR(LOOKUP(2,1/([1]!MARTES[[CEDULA ]]=[1]!Tabla9[[#This Row],[CEDULA ]]),[1]!MARTES[HORA]),"No Registró")</f>
        <v>0.55188657407407404</v>
      </c>
      <c r="G43" s="359" t="str">
        <f>IFERROR(VLOOKUP([1]!Tabla9[[CEDULA ]],[1]!MIERCOLES[#Data],5,0),"No registró")</f>
        <v>No registró</v>
      </c>
      <c r="H43" s="359" t="str">
        <f>IFERROR(LOOKUP(2,1/([1]!MIERCOLES[[CEDULA ]]=[1]!Tabla9[[#This Row],[CEDULA ]]),[1]!MIERCOLES[HORA]),"No registró")</f>
        <v>No registró</v>
      </c>
      <c r="I43" s="359" t="str">
        <f>IFERROR(VLOOKUP([1]!Tabla9[[CEDULA ]],[1]!JUEVES[#Data],5,0),"No Registró")</f>
        <v>No Registró</v>
      </c>
      <c r="J43" s="359" t="str">
        <f>IFERROR(LOOKUP(2,1/([1]!JUEVES[[CEDULA ]]=[1]!Tabla9[[#This Row],[CEDULA ]]),[1]!JUEVES[HORA]),"No registró")</f>
        <v>No registró</v>
      </c>
      <c r="K43" s="359" t="str">
        <f>IFERROR(VLOOKUP([1]!Tabla9[[CEDULA ]],[1]!VIERNES[#Data],5,0),"No registró")</f>
        <v>No registró</v>
      </c>
      <c r="L43" s="359" t="str">
        <f>IFERROR(LOOKUP(2,1/([1]!VIERNES[[CEDULA ]]=[1]!Tabla9[[#This Row],[CEDULA ]]),[1]!VIERNES[HORA]),"No registró")</f>
        <v>No registró</v>
      </c>
      <c r="M43" s="359" t="str">
        <f>IFERROR(VLOOKUP([1]!Tabla9[[CEDULA ]],[1]!SABADO[#Data],5,0),"No registró")</f>
        <v>No registró</v>
      </c>
      <c r="N43" s="359" t="str">
        <f>IFERROR(LOOKUP(2,1/([1]!SABADO[[CEDULA ]]=[1]!Tabla9[[#This Row],[CEDULA ]]),[1]!SABADO[HORA]),"No registró")</f>
        <v>No registró</v>
      </c>
      <c r="O43" s="359" t="str">
        <f>IFERROR(VLOOKUP([1]!Tabla9[[CEDULA ]],[1]!DOMINGO[#Data],5,0),"No registró")</f>
        <v>No registró</v>
      </c>
      <c r="P43" s="359" t="str">
        <f>IFERROR(LOOKUP(2,1/([1]!DOMINGO[[CEDULA ]]=[1]!Tabla9[[#This Row],[CEDULA ]]),[1]!DOMINGO[HORA]),"No registró")</f>
        <v>No registró</v>
      </c>
      <c r="Q43" s="240">
        <f>IFERROR(VLOOKUP(A43,DATOS[],10,0),"")</f>
        <v>0</v>
      </c>
    </row>
    <row r="44" spans="1:17" x14ac:dyDescent="0.25">
      <c r="A44" s="239">
        <v>6256734</v>
      </c>
      <c r="B44" s="239" t="s">
        <v>1029</v>
      </c>
      <c r="C44" s="359">
        <f>IFERROR(VLOOKUP([1]!Tabla9[[CEDULA ]],[1]!LUNES[#Data],5,0),"No registró")</f>
        <v>0.28236111111111112</v>
      </c>
      <c r="D44" s="359">
        <f>IFERROR(LOOKUP(2,1/([1]!LUNES[[CEDULA ]]=[1]!Tabla9[[#This Row],[CEDULA ]]),[1]!LUNES[HORA]),"No registró")</f>
        <v>0.55281250000000004</v>
      </c>
      <c r="E44" s="359">
        <f>IFERROR(VLOOKUP([1]!Tabla9[[CEDULA ]],[1]!MARTES[#Data],5,0),"No registró")</f>
        <v>0.28168981481481481</v>
      </c>
      <c r="F44" s="359">
        <f>IFERROR(LOOKUP(2,1/([1]!MARTES[[CEDULA ]]=[1]!Tabla9[[#This Row],[CEDULA ]]),[1]!MARTES[HORA]),"No Registró")</f>
        <v>0.55112268518518526</v>
      </c>
      <c r="G44" s="359" t="str">
        <f>IFERROR(VLOOKUP([1]!Tabla9[[CEDULA ]],[1]!MIERCOLES[#Data],5,0),"No registró")</f>
        <v>No registró</v>
      </c>
      <c r="H44" s="359" t="str">
        <f>IFERROR(LOOKUP(2,1/([1]!MIERCOLES[[CEDULA ]]=[1]!Tabla9[[#This Row],[CEDULA ]]),[1]!MIERCOLES[HORA]),"No registró")</f>
        <v>No registró</v>
      </c>
      <c r="I44" s="359" t="str">
        <f>IFERROR(VLOOKUP([1]!Tabla9[[CEDULA ]],[1]!JUEVES[#Data],5,0),"No Registró")</f>
        <v>No Registró</v>
      </c>
      <c r="J44" s="359" t="str">
        <f>IFERROR(LOOKUP(2,1/([1]!JUEVES[[CEDULA ]]=[1]!Tabla9[[#This Row],[CEDULA ]]),[1]!JUEVES[HORA]),"No registró")</f>
        <v>No registró</v>
      </c>
      <c r="K44" s="359" t="str">
        <f>IFERROR(VLOOKUP([1]!Tabla9[[CEDULA ]],[1]!VIERNES[#Data],5,0),"No registró")</f>
        <v>No registró</v>
      </c>
      <c r="L44" s="359" t="str">
        <f>IFERROR(LOOKUP(2,1/([1]!VIERNES[[CEDULA ]]=[1]!Tabla9[[#This Row],[CEDULA ]]),[1]!VIERNES[HORA]),"No registró")</f>
        <v>No registró</v>
      </c>
      <c r="M44" s="359">
        <f>IFERROR(VLOOKUP([1]!Tabla9[[CEDULA ]],[1]!SABADO[#Data],5,0),"No registró")</f>
        <v>0.33127314814814818</v>
      </c>
      <c r="N44" s="359">
        <f>IFERROR(LOOKUP(2,1/([1]!SABADO[[CEDULA ]]=[1]!Tabla9[[#This Row],[CEDULA ]]),[1]!SABADO[HORA]),"No registró")</f>
        <v>0.54245370370370372</v>
      </c>
      <c r="O44" s="359" t="str">
        <f>IFERROR(VLOOKUP([1]!Tabla9[[CEDULA ]],[1]!DOMINGO[#Data],5,0),"No registró")</f>
        <v>No registró</v>
      </c>
      <c r="P44" s="359" t="str">
        <f>IFERROR(LOOKUP(2,1/([1]!DOMINGO[[CEDULA ]]=[1]!Tabla9[[#This Row],[CEDULA ]]),[1]!DOMINGO[HORA]),"No registró")</f>
        <v>No registró</v>
      </c>
      <c r="Q44" s="240" t="str">
        <f>IFERROR(VLOOKUP(A44,DATOS[],10,0),"")</f>
        <v>3. CARICUAO</v>
      </c>
    </row>
    <row r="45" spans="1:17" x14ac:dyDescent="0.25">
      <c r="A45" s="239">
        <v>6263882</v>
      </c>
      <c r="B45" s="239" t="s">
        <v>1030</v>
      </c>
      <c r="C45" s="359">
        <f>IFERROR(VLOOKUP([1]!Tabla9[[CEDULA ]],[1]!LUNES[#Data],5,0),"No registró")</f>
        <v>0.28319444444444447</v>
      </c>
      <c r="D45" s="359">
        <f>IFERROR(LOOKUP(2,1/([1]!LUNES[[CEDULA ]]=[1]!Tabla9[[#This Row],[CEDULA ]]),[1]!LUNES[HORA]),"No registró")</f>
        <v>0.55942129629629633</v>
      </c>
      <c r="E45" s="359">
        <f>IFERROR(VLOOKUP([1]!Tabla9[[CEDULA ]],[1]!MARTES[#Data],5,0),"No registró")</f>
        <v>0.28202546296296299</v>
      </c>
      <c r="F45" s="359">
        <f>IFERROR(LOOKUP(2,1/([1]!MARTES[[CEDULA ]]=[1]!Tabla9[[#This Row],[CEDULA ]]),[1]!MARTES[HORA]),"No Registró")</f>
        <v>0.55915509259259266</v>
      </c>
      <c r="G45" s="359" t="str">
        <f>IFERROR(VLOOKUP([1]!Tabla9[[CEDULA ]],[1]!MIERCOLES[#Data],5,0),"No registró")</f>
        <v>No registró</v>
      </c>
      <c r="H45" s="359" t="str">
        <f>IFERROR(LOOKUP(2,1/([1]!MIERCOLES[[CEDULA ]]=[1]!Tabla9[[#This Row],[CEDULA ]]),[1]!MIERCOLES[HORA]),"No registró")</f>
        <v>No registró</v>
      </c>
      <c r="I45" s="359" t="str">
        <f>IFERROR(VLOOKUP([1]!Tabla9[[CEDULA ]],[1]!JUEVES[#Data],5,0),"No Registró")</f>
        <v>No Registró</v>
      </c>
      <c r="J45" s="359" t="str">
        <f>IFERROR(LOOKUP(2,1/([1]!JUEVES[[CEDULA ]]=[1]!Tabla9[[#This Row],[CEDULA ]]),[1]!JUEVES[HORA]),"No registró")</f>
        <v>No registró</v>
      </c>
      <c r="K45" s="359" t="str">
        <f>IFERROR(VLOOKUP([1]!Tabla9[[CEDULA ]],[1]!VIERNES[#Data],5,0),"No registró")</f>
        <v>No registró</v>
      </c>
      <c r="L45" s="359" t="str">
        <f>IFERROR(LOOKUP(2,1/([1]!VIERNES[[CEDULA ]]=[1]!Tabla9[[#This Row],[CEDULA ]]),[1]!VIERNES[HORA]),"No registró")</f>
        <v>No registró</v>
      </c>
      <c r="M45" s="359" t="str">
        <f>IFERROR(VLOOKUP([1]!Tabla9[[CEDULA ]],[1]!SABADO[#Data],5,0),"No registró")</f>
        <v>No registró</v>
      </c>
      <c r="N45" s="359" t="str">
        <f>IFERROR(LOOKUP(2,1/([1]!SABADO[[CEDULA ]]=[1]!Tabla9[[#This Row],[CEDULA ]]),[1]!SABADO[HORA]),"No registró")</f>
        <v>No registró</v>
      </c>
      <c r="O45" s="359" t="str">
        <f>IFERROR(VLOOKUP([1]!Tabla9[[CEDULA ]],[1]!DOMINGO[#Data],5,0),"No registró")</f>
        <v>No registró</v>
      </c>
      <c r="P45" s="359" t="str">
        <f>IFERROR(LOOKUP(2,1/([1]!DOMINGO[[CEDULA ]]=[1]!Tabla9[[#This Row],[CEDULA ]]),[1]!DOMINGO[HORA]),"No registró")</f>
        <v>No registró</v>
      </c>
      <c r="Q45" s="240" t="str">
        <f>IFERROR(VLOOKUP(A45,DATOS[],10,0),"")</f>
        <v>3. CARICUAO</v>
      </c>
    </row>
    <row r="46" spans="1:17" x14ac:dyDescent="0.25">
      <c r="A46" s="239">
        <v>6268340</v>
      </c>
      <c r="B46" s="239" t="s">
        <v>1031</v>
      </c>
      <c r="C46" s="359">
        <f>IFERROR(VLOOKUP([1]!Tabla9[[CEDULA ]],[1]!LUNES[#Data],5,0),"No registró")</f>
        <v>0.28214120370370371</v>
      </c>
      <c r="D46" s="359">
        <f>IFERROR(LOOKUP(2,1/([1]!LUNES[[CEDULA ]]=[1]!Tabla9[[#This Row],[CEDULA ]]),[1]!LUNES[HORA]),"No registró")</f>
        <v>0.55439814814814814</v>
      </c>
      <c r="E46" s="359">
        <f>IFERROR(VLOOKUP([1]!Tabla9[[CEDULA ]],[1]!MARTES[#Data],5,0),"No registró")</f>
        <v>0.28182870370370372</v>
      </c>
      <c r="F46" s="359">
        <f>IFERROR(LOOKUP(2,1/([1]!MARTES[[CEDULA ]]=[1]!Tabla9[[#This Row],[CEDULA ]]),[1]!MARTES[HORA]),"No Registró")</f>
        <v>0.5524189814814815</v>
      </c>
      <c r="G46" s="359" t="str">
        <f>IFERROR(VLOOKUP([1]!Tabla9[[CEDULA ]],[1]!MIERCOLES[#Data],5,0),"No registró")</f>
        <v>No registró</v>
      </c>
      <c r="H46" s="359" t="str">
        <f>IFERROR(LOOKUP(2,1/([1]!MIERCOLES[[CEDULA ]]=[1]!Tabla9[[#This Row],[CEDULA ]]),[1]!MIERCOLES[HORA]),"No registró")</f>
        <v>No registró</v>
      </c>
      <c r="I46" s="359" t="str">
        <f>IFERROR(VLOOKUP([1]!Tabla9[[CEDULA ]],[1]!JUEVES[#Data],5,0),"No Registró")</f>
        <v>No Registró</v>
      </c>
      <c r="J46" s="359" t="str">
        <f>IFERROR(LOOKUP(2,1/([1]!JUEVES[[CEDULA ]]=[1]!Tabla9[[#This Row],[CEDULA ]]),[1]!JUEVES[HORA]),"No registró")</f>
        <v>No registró</v>
      </c>
      <c r="K46" s="359" t="str">
        <f>IFERROR(VLOOKUP([1]!Tabla9[[CEDULA ]],[1]!VIERNES[#Data],5,0),"No registró")</f>
        <v>No registró</v>
      </c>
      <c r="L46" s="359" t="str">
        <f>IFERROR(LOOKUP(2,1/([1]!VIERNES[[CEDULA ]]=[1]!Tabla9[[#This Row],[CEDULA ]]),[1]!VIERNES[HORA]),"No registró")</f>
        <v>No registró</v>
      </c>
      <c r="M46" s="359" t="str">
        <f>IFERROR(VLOOKUP([1]!Tabla9[[CEDULA ]],[1]!SABADO[#Data],5,0),"No registró")</f>
        <v>No registró</v>
      </c>
      <c r="N46" s="359" t="str">
        <f>IFERROR(LOOKUP(2,1/([1]!SABADO[[CEDULA ]]=[1]!Tabla9[[#This Row],[CEDULA ]]),[1]!SABADO[HORA]),"No registró")</f>
        <v>No registró</v>
      </c>
      <c r="O46" s="359" t="str">
        <f>IFERROR(VLOOKUP([1]!Tabla9[[CEDULA ]],[1]!DOMINGO[#Data],5,0),"No registró")</f>
        <v>No registró</v>
      </c>
      <c r="P46" s="359" t="str">
        <f>IFERROR(LOOKUP(2,1/([1]!DOMINGO[[CEDULA ]]=[1]!Tabla9[[#This Row],[CEDULA ]]),[1]!DOMINGO[HORA]),"No registró")</f>
        <v>No registró</v>
      </c>
      <c r="Q46" s="240" t="str">
        <f>IFERROR(VLOOKUP(A46,DATOS[],10,0),"")</f>
        <v>3. CARICUAO</v>
      </c>
    </row>
    <row r="47" spans="1:17" x14ac:dyDescent="0.25">
      <c r="A47" s="239">
        <v>6276576</v>
      </c>
      <c r="B47" s="239" t="s">
        <v>1032</v>
      </c>
      <c r="C47" s="359" t="str">
        <f>IFERROR(VLOOKUP([1]!Tabla9[[CEDULA ]],[1]!LUNES[#Data],5,0),"No registró")</f>
        <v>No registró</v>
      </c>
      <c r="D47" s="359" t="str">
        <f>IFERROR(LOOKUP(2,1/([1]!LUNES[[CEDULA ]]=[1]!Tabla9[[#This Row],[CEDULA ]]),[1]!LUNES[HORA]),"No registró")</f>
        <v>No registró</v>
      </c>
      <c r="E47" s="359" t="str">
        <f>IFERROR(VLOOKUP([1]!Tabla9[[CEDULA ]],[1]!MARTES[#Data],5,0),"No registró")</f>
        <v>No registró</v>
      </c>
      <c r="F47" s="359" t="str">
        <f>IFERROR(LOOKUP(2,1/([1]!MARTES[[CEDULA ]]=[1]!Tabla9[[#This Row],[CEDULA ]]),[1]!MARTES[HORA]),"No Registró")</f>
        <v>No Registró</v>
      </c>
      <c r="G47" s="359" t="str">
        <f>IFERROR(VLOOKUP([1]!Tabla9[[CEDULA ]],[1]!MIERCOLES[#Data],5,0),"No registró")</f>
        <v>No registró</v>
      </c>
      <c r="H47" s="359" t="str">
        <f>IFERROR(LOOKUP(2,1/([1]!MIERCOLES[[CEDULA ]]=[1]!Tabla9[[#This Row],[CEDULA ]]),[1]!MIERCOLES[HORA]),"No registró")</f>
        <v>No registró</v>
      </c>
      <c r="I47" s="359" t="str">
        <f>IFERROR(VLOOKUP([1]!Tabla9[[CEDULA ]],[1]!JUEVES[#Data],5,0),"No Registró")</f>
        <v>No Registró</v>
      </c>
      <c r="J47" s="359" t="str">
        <f>IFERROR(LOOKUP(2,1/([1]!JUEVES[[CEDULA ]]=[1]!Tabla9[[#This Row],[CEDULA ]]),[1]!JUEVES[HORA]),"No registró")</f>
        <v>No registró</v>
      </c>
      <c r="K47" s="359" t="str">
        <f>IFERROR(VLOOKUP([1]!Tabla9[[CEDULA ]],[1]!VIERNES[#Data],5,0),"No registró")</f>
        <v>No registró</v>
      </c>
      <c r="L47" s="359" t="str">
        <f>IFERROR(LOOKUP(2,1/([1]!VIERNES[[CEDULA ]]=[1]!Tabla9[[#This Row],[CEDULA ]]),[1]!VIERNES[HORA]),"No registró")</f>
        <v>No registró</v>
      </c>
      <c r="M47" s="359" t="str">
        <f>IFERROR(VLOOKUP([1]!Tabla9[[CEDULA ]],[1]!SABADO[#Data],5,0),"No registró")</f>
        <v>No registró</v>
      </c>
      <c r="N47" s="359" t="str">
        <f>IFERROR(LOOKUP(2,1/([1]!SABADO[[CEDULA ]]=[1]!Tabla9[[#This Row],[CEDULA ]]),[1]!SABADO[HORA]),"No registró")</f>
        <v>No registró</v>
      </c>
      <c r="O47" s="359">
        <f>IFERROR(VLOOKUP([1]!Tabla9[[CEDULA ]],[1]!DOMINGO[#Data],5,0),"No registró")</f>
        <v>0.7453819444444445</v>
      </c>
      <c r="P47" s="359">
        <f>IFERROR(LOOKUP(2,1/([1]!DOMINGO[[CEDULA ]]=[1]!Tabla9[[#This Row],[CEDULA ]]),[1]!DOMINGO[HORA]),"No registró")</f>
        <v>0.74958333333333327</v>
      </c>
      <c r="Q47" s="240">
        <f>IFERROR(VLOOKUP(A47,DATOS[],10,0),"")</f>
        <v>0</v>
      </c>
    </row>
    <row r="48" spans="1:17" x14ac:dyDescent="0.25">
      <c r="A48" s="239">
        <v>6290210</v>
      </c>
      <c r="B48" s="239" t="s">
        <v>1033</v>
      </c>
      <c r="C48" s="359">
        <f>IFERROR(VLOOKUP([1]!Tabla9[[CEDULA ]],[1]!LUNES[#Data],5,0),"No registró")</f>
        <v>0.28150462962962963</v>
      </c>
      <c r="D48" s="359">
        <f>IFERROR(LOOKUP(2,1/([1]!LUNES[[CEDULA ]]=[1]!Tabla9[[#This Row],[CEDULA ]]),[1]!LUNES[HORA]),"No registró")</f>
        <v>0.72994212962962957</v>
      </c>
      <c r="E48" s="359">
        <f>IFERROR(VLOOKUP([1]!Tabla9[[CEDULA ]],[1]!MARTES[#Data],5,0),"No registró")</f>
        <v>0.28270833333333334</v>
      </c>
      <c r="F48" s="359">
        <f>IFERROR(LOOKUP(2,1/([1]!MARTES[[CEDULA ]]=[1]!Tabla9[[#This Row],[CEDULA ]]),[1]!MARTES[HORA]),"No Registró")</f>
        <v>0.69070601851851843</v>
      </c>
      <c r="G48" s="359" t="str">
        <f>IFERROR(VLOOKUP([1]!Tabla9[[CEDULA ]],[1]!MIERCOLES[#Data],5,0),"No registró")</f>
        <v>No registró</v>
      </c>
      <c r="H48" s="359" t="str">
        <f>IFERROR(LOOKUP(2,1/([1]!MIERCOLES[[CEDULA ]]=[1]!Tabla9[[#This Row],[CEDULA ]]),[1]!MIERCOLES[HORA]),"No registró")</f>
        <v>No registró</v>
      </c>
      <c r="I48" s="359" t="str">
        <f>IFERROR(VLOOKUP([1]!Tabla9[[CEDULA ]],[1]!JUEVES[#Data],5,0),"No Registró")</f>
        <v>No Registró</v>
      </c>
      <c r="J48" s="359" t="str">
        <f>IFERROR(LOOKUP(2,1/([1]!JUEVES[[CEDULA ]]=[1]!Tabla9[[#This Row],[CEDULA ]]),[1]!JUEVES[HORA]),"No registró")</f>
        <v>No registró</v>
      </c>
      <c r="K48" s="359">
        <f>IFERROR(VLOOKUP([1]!Tabla9[[CEDULA ]],[1]!VIERNES[#Data],5,0),"No registró")</f>
        <v>0.40252314814814816</v>
      </c>
      <c r="L48" s="359">
        <f>IFERROR(LOOKUP(2,1/([1]!VIERNES[[CEDULA ]]=[1]!Tabla9[[#This Row],[CEDULA ]]),[1]!VIERNES[HORA]),"No registró")</f>
        <v>0.71065972222222218</v>
      </c>
      <c r="M48" s="359" t="str">
        <f>IFERROR(VLOOKUP([1]!Tabla9[[CEDULA ]],[1]!SABADO[#Data],5,0),"No registró")</f>
        <v>No registró</v>
      </c>
      <c r="N48" s="359" t="str">
        <f>IFERROR(LOOKUP(2,1/([1]!SABADO[[CEDULA ]]=[1]!Tabla9[[#This Row],[CEDULA ]]),[1]!SABADO[HORA]),"No registró")</f>
        <v>No registró</v>
      </c>
      <c r="O48" s="359" t="str">
        <f>IFERROR(VLOOKUP([1]!Tabla9[[CEDULA ]],[1]!DOMINGO[#Data],5,0),"No registró")</f>
        <v>No registró</v>
      </c>
      <c r="P48" s="359" t="str">
        <f>IFERROR(LOOKUP(2,1/([1]!DOMINGO[[CEDULA ]]=[1]!Tabla9[[#This Row],[CEDULA ]]),[1]!DOMINGO[HORA]),"No registró")</f>
        <v>No registró</v>
      </c>
      <c r="Q48" s="240" t="str">
        <f>IFERROR(VLOOKUP(A48,DATOS[],10,0),"")</f>
        <v>0. ALTO NIVEL</v>
      </c>
    </row>
    <row r="49" spans="1:17" x14ac:dyDescent="0.25">
      <c r="A49" s="239">
        <v>6299669</v>
      </c>
      <c r="B49" s="239" t="s">
        <v>1034</v>
      </c>
      <c r="C49" s="359">
        <f>IFERROR(VLOOKUP([1]!Tabla9[[CEDULA ]],[1]!LUNES[#Data],5,0),"No registró")</f>
        <v>0.28229166666666666</v>
      </c>
      <c r="D49" s="359">
        <f>IFERROR(LOOKUP(2,1/([1]!LUNES[[CEDULA ]]=[1]!Tabla9[[#This Row],[CEDULA ]]),[1]!LUNES[HORA]),"No registró")</f>
        <v>0.55538194444444444</v>
      </c>
      <c r="E49" s="359">
        <f>IFERROR(VLOOKUP([1]!Tabla9[[CEDULA ]],[1]!MARTES[#Data],5,0),"No registró")</f>
        <v>0.28210648148148149</v>
      </c>
      <c r="F49" s="359">
        <f>IFERROR(LOOKUP(2,1/([1]!MARTES[[CEDULA ]]=[1]!Tabla9[[#This Row],[CEDULA ]]),[1]!MARTES[HORA]),"No Registró")</f>
        <v>0.55203703703703699</v>
      </c>
      <c r="G49" s="359" t="str">
        <f>IFERROR(VLOOKUP([1]!Tabla9[[CEDULA ]],[1]!MIERCOLES[#Data],5,0),"No registró")</f>
        <v>No registró</v>
      </c>
      <c r="H49" s="359" t="str">
        <f>IFERROR(LOOKUP(2,1/([1]!MIERCOLES[[CEDULA ]]=[1]!Tabla9[[#This Row],[CEDULA ]]),[1]!MIERCOLES[HORA]),"No registró")</f>
        <v>No registró</v>
      </c>
      <c r="I49" s="359" t="str">
        <f>IFERROR(VLOOKUP([1]!Tabla9[[CEDULA ]],[1]!JUEVES[#Data],5,0),"No Registró")</f>
        <v>No Registró</v>
      </c>
      <c r="J49" s="359" t="str">
        <f>IFERROR(LOOKUP(2,1/([1]!JUEVES[[CEDULA ]]=[1]!Tabla9[[#This Row],[CEDULA ]]),[1]!JUEVES[HORA]),"No registró")</f>
        <v>No registró</v>
      </c>
      <c r="K49" s="359" t="str">
        <f>IFERROR(VLOOKUP([1]!Tabla9[[CEDULA ]],[1]!VIERNES[#Data],5,0),"No registró")</f>
        <v>No registró</v>
      </c>
      <c r="L49" s="359" t="str">
        <f>IFERROR(LOOKUP(2,1/([1]!VIERNES[[CEDULA ]]=[1]!Tabla9[[#This Row],[CEDULA ]]),[1]!VIERNES[HORA]),"No registró")</f>
        <v>No registró</v>
      </c>
      <c r="M49" s="359" t="str">
        <f>IFERROR(VLOOKUP([1]!Tabla9[[CEDULA ]],[1]!SABADO[#Data],5,0),"No registró")</f>
        <v>No registró</v>
      </c>
      <c r="N49" s="359" t="str">
        <f>IFERROR(LOOKUP(2,1/([1]!SABADO[[CEDULA ]]=[1]!Tabla9[[#This Row],[CEDULA ]]),[1]!SABADO[HORA]),"No registró")</f>
        <v>No registró</v>
      </c>
      <c r="O49" s="359" t="str">
        <f>IFERROR(VLOOKUP([1]!Tabla9[[CEDULA ]],[1]!DOMINGO[#Data],5,0),"No registró")</f>
        <v>No registró</v>
      </c>
      <c r="P49" s="359" t="str">
        <f>IFERROR(LOOKUP(2,1/([1]!DOMINGO[[CEDULA ]]=[1]!Tabla9[[#This Row],[CEDULA ]]),[1]!DOMINGO[HORA]),"No registró")</f>
        <v>No registró</v>
      </c>
      <c r="Q49" s="240" t="str">
        <f>IFERROR(VLOOKUP(A49,DATOS[],10,0),"")</f>
        <v>3. CARICUAO</v>
      </c>
    </row>
    <row r="50" spans="1:17" x14ac:dyDescent="0.25">
      <c r="A50" s="239">
        <v>6302412</v>
      </c>
      <c r="B50" s="239" t="s">
        <v>1035</v>
      </c>
      <c r="C50" s="359">
        <f>IFERROR(VLOOKUP([1]!Tabla9[[CEDULA ]],[1]!LUNES[#Data],5,0),"No registró")</f>
        <v>0.28280092592592593</v>
      </c>
      <c r="D50" s="359">
        <f>IFERROR(LOOKUP(2,1/([1]!LUNES[[CEDULA ]]=[1]!Tabla9[[#This Row],[CEDULA ]]),[1]!LUNES[HORA]),"No registró")</f>
        <v>0.55078703703703702</v>
      </c>
      <c r="E50" s="359">
        <f>IFERROR(VLOOKUP([1]!Tabla9[[CEDULA ]],[1]!MARTES[#Data],5,0),"No registró")</f>
        <v>0.28333333333333333</v>
      </c>
      <c r="F50" s="359">
        <f>IFERROR(LOOKUP(2,1/([1]!MARTES[[CEDULA ]]=[1]!Tabla9[[#This Row],[CEDULA ]]),[1]!MARTES[HORA]),"No Registró")</f>
        <v>0.54238425925925926</v>
      </c>
      <c r="G50" s="359" t="str">
        <f>IFERROR(VLOOKUP([1]!Tabla9[[CEDULA ]],[1]!MIERCOLES[#Data],5,0),"No registró")</f>
        <v>No registró</v>
      </c>
      <c r="H50" s="359" t="str">
        <f>IFERROR(LOOKUP(2,1/([1]!MIERCOLES[[CEDULA ]]=[1]!Tabla9[[#This Row],[CEDULA ]]),[1]!MIERCOLES[HORA]),"No registró")</f>
        <v>No registró</v>
      </c>
      <c r="I50" s="359" t="str">
        <f>IFERROR(VLOOKUP([1]!Tabla9[[CEDULA ]],[1]!JUEVES[#Data],5,0),"No Registró")</f>
        <v>No Registró</v>
      </c>
      <c r="J50" s="359" t="str">
        <f>IFERROR(LOOKUP(2,1/([1]!JUEVES[[CEDULA ]]=[1]!Tabla9[[#This Row],[CEDULA ]]),[1]!JUEVES[HORA]),"No registró")</f>
        <v>No registró</v>
      </c>
      <c r="K50" s="359" t="str">
        <f>IFERROR(VLOOKUP([1]!Tabla9[[CEDULA ]],[1]!VIERNES[#Data],5,0),"No registró")</f>
        <v>No registró</v>
      </c>
      <c r="L50" s="359" t="str">
        <f>IFERROR(LOOKUP(2,1/([1]!VIERNES[[CEDULA ]]=[1]!Tabla9[[#This Row],[CEDULA ]]),[1]!VIERNES[HORA]),"No registró")</f>
        <v>No registró</v>
      </c>
      <c r="M50" s="359" t="str">
        <f>IFERROR(VLOOKUP([1]!Tabla9[[CEDULA ]],[1]!SABADO[#Data],5,0),"No registró")</f>
        <v>No registró</v>
      </c>
      <c r="N50" s="359" t="str">
        <f>IFERROR(LOOKUP(2,1/([1]!SABADO[[CEDULA ]]=[1]!Tabla9[[#This Row],[CEDULA ]]),[1]!SABADO[HORA]),"No registró")</f>
        <v>No registró</v>
      </c>
      <c r="O50" s="359" t="str">
        <f>IFERROR(VLOOKUP([1]!Tabla9[[CEDULA ]],[1]!DOMINGO[#Data],5,0),"No registró")</f>
        <v>No registró</v>
      </c>
      <c r="P50" s="359" t="str">
        <f>IFERROR(LOOKUP(2,1/([1]!DOMINGO[[CEDULA ]]=[1]!Tabla9[[#This Row],[CEDULA ]]),[1]!DOMINGO[HORA]),"No registró")</f>
        <v>No registró</v>
      </c>
      <c r="Q50" s="240">
        <f>IFERROR(VLOOKUP(A50,DATOS[],10,0),"")</f>
        <v>0</v>
      </c>
    </row>
    <row r="51" spans="1:17" x14ac:dyDescent="0.25">
      <c r="A51" s="239">
        <v>6307719</v>
      </c>
      <c r="B51" s="239" t="s">
        <v>1036</v>
      </c>
      <c r="C51" s="359">
        <f>IFERROR(VLOOKUP([1]!Tabla9[[CEDULA ]],[1]!LUNES[#Data],5,0),"No registró")</f>
        <v>0.29038194444444443</v>
      </c>
      <c r="D51" s="359">
        <f>IFERROR(LOOKUP(2,1/([1]!LUNES[[CEDULA ]]=[1]!Tabla9[[#This Row],[CEDULA ]]),[1]!LUNES[HORA]),"No registró")</f>
        <v>0.51050925925925927</v>
      </c>
      <c r="E51" s="359">
        <f>IFERROR(VLOOKUP([1]!Tabla9[[CEDULA ]],[1]!MARTES[#Data],5,0),"No registró")</f>
        <v>0.28601851851851851</v>
      </c>
      <c r="F51" s="359">
        <f>IFERROR(LOOKUP(2,1/([1]!MARTES[[CEDULA ]]=[1]!Tabla9[[#This Row],[CEDULA ]]),[1]!MARTES[HORA]),"No Registró")</f>
        <v>0.51686342592592593</v>
      </c>
      <c r="G51" s="359" t="str">
        <f>IFERROR(VLOOKUP([1]!Tabla9[[CEDULA ]],[1]!MIERCOLES[#Data],5,0),"No registró")</f>
        <v>No registró</v>
      </c>
      <c r="H51" s="359" t="str">
        <f>IFERROR(LOOKUP(2,1/([1]!MIERCOLES[[CEDULA ]]=[1]!Tabla9[[#This Row],[CEDULA ]]),[1]!MIERCOLES[HORA]),"No registró")</f>
        <v>No registró</v>
      </c>
      <c r="I51" s="359" t="str">
        <f>IFERROR(VLOOKUP([1]!Tabla9[[CEDULA ]],[1]!JUEVES[#Data],5,0),"No Registró")</f>
        <v>No Registró</v>
      </c>
      <c r="J51" s="359" t="str">
        <f>IFERROR(LOOKUP(2,1/([1]!JUEVES[[CEDULA ]]=[1]!Tabla9[[#This Row],[CEDULA ]]),[1]!JUEVES[HORA]),"No registró")</f>
        <v>No registró</v>
      </c>
      <c r="K51" s="359" t="str">
        <f>IFERROR(VLOOKUP([1]!Tabla9[[CEDULA ]],[1]!VIERNES[#Data],5,0),"No registró")</f>
        <v>No registró</v>
      </c>
      <c r="L51" s="359" t="str">
        <f>IFERROR(LOOKUP(2,1/([1]!VIERNES[[CEDULA ]]=[1]!Tabla9[[#This Row],[CEDULA ]]),[1]!VIERNES[HORA]),"No registró")</f>
        <v>No registró</v>
      </c>
      <c r="M51" s="359" t="str">
        <f>IFERROR(VLOOKUP([1]!Tabla9[[CEDULA ]],[1]!SABADO[#Data],5,0),"No registró")</f>
        <v>No registró</v>
      </c>
      <c r="N51" s="359" t="str">
        <f>IFERROR(LOOKUP(2,1/([1]!SABADO[[CEDULA ]]=[1]!Tabla9[[#This Row],[CEDULA ]]),[1]!SABADO[HORA]),"No registró")</f>
        <v>No registró</v>
      </c>
      <c r="O51" s="359" t="str">
        <f>IFERROR(VLOOKUP([1]!Tabla9[[CEDULA ]],[1]!DOMINGO[#Data],5,0),"No registró")</f>
        <v>No registró</v>
      </c>
      <c r="P51" s="359" t="str">
        <f>IFERROR(LOOKUP(2,1/([1]!DOMINGO[[CEDULA ]]=[1]!Tabla9[[#This Row],[CEDULA ]]),[1]!DOMINGO[HORA]),"No registró")</f>
        <v>No registró</v>
      </c>
      <c r="Q51" s="240">
        <f>IFERROR(VLOOKUP(A51,DATOS[],10,0),"")</f>
        <v>0</v>
      </c>
    </row>
    <row r="52" spans="1:17" x14ac:dyDescent="0.25">
      <c r="A52" s="239">
        <v>6316723</v>
      </c>
      <c r="B52" s="239" t="s">
        <v>1037</v>
      </c>
      <c r="C52" s="359">
        <f>IFERROR(VLOOKUP([1]!Tabla9[[CEDULA ]],[1]!LUNES[#Data],5,0),"No registró")</f>
        <v>0.28488425925925925</v>
      </c>
      <c r="D52" s="359">
        <f>IFERROR(LOOKUP(2,1/([1]!LUNES[[CEDULA ]]=[1]!Tabla9[[#This Row],[CEDULA ]]),[1]!LUNES[HORA]),"No registró")</f>
        <v>0.60583333333333333</v>
      </c>
      <c r="E52" s="359">
        <f>IFERROR(VLOOKUP([1]!Tabla9[[CEDULA ]],[1]!MARTES[#Data],5,0),"No registró")</f>
        <v>0.28758101851851853</v>
      </c>
      <c r="F52" s="359">
        <f>IFERROR(LOOKUP(2,1/([1]!MARTES[[CEDULA ]]=[1]!Tabla9[[#This Row],[CEDULA ]]),[1]!MARTES[HORA]),"No Registró")</f>
        <v>0.57981481481481478</v>
      </c>
      <c r="G52" s="359" t="str">
        <f>IFERROR(VLOOKUP([1]!Tabla9[[CEDULA ]],[1]!MIERCOLES[#Data],5,0),"No registró")</f>
        <v>No registró</v>
      </c>
      <c r="H52" s="359" t="str">
        <f>IFERROR(LOOKUP(2,1/([1]!MIERCOLES[[CEDULA ]]=[1]!Tabla9[[#This Row],[CEDULA ]]),[1]!MIERCOLES[HORA]),"No registró")</f>
        <v>No registró</v>
      </c>
      <c r="I52" s="359" t="str">
        <f>IFERROR(VLOOKUP([1]!Tabla9[[CEDULA ]],[1]!JUEVES[#Data],5,0),"No Registró")</f>
        <v>No Registró</v>
      </c>
      <c r="J52" s="359" t="str">
        <f>IFERROR(LOOKUP(2,1/([1]!JUEVES[[CEDULA ]]=[1]!Tabla9[[#This Row],[CEDULA ]]),[1]!JUEVES[HORA]),"No registró")</f>
        <v>No registró</v>
      </c>
      <c r="K52" s="359" t="str">
        <f>IFERROR(VLOOKUP([1]!Tabla9[[CEDULA ]],[1]!VIERNES[#Data],5,0),"No registró")</f>
        <v>No registró</v>
      </c>
      <c r="L52" s="359" t="str">
        <f>IFERROR(LOOKUP(2,1/([1]!VIERNES[[CEDULA ]]=[1]!Tabla9[[#This Row],[CEDULA ]]),[1]!VIERNES[HORA]),"No registró")</f>
        <v>No registró</v>
      </c>
      <c r="M52" s="359" t="str">
        <f>IFERROR(VLOOKUP([1]!Tabla9[[CEDULA ]],[1]!SABADO[#Data],5,0),"No registró")</f>
        <v>No registró</v>
      </c>
      <c r="N52" s="359" t="str">
        <f>IFERROR(LOOKUP(2,1/([1]!SABADO[[CEDULA ]]=[1]!Tabla9[[#This Row],[CEDULA ]]),[1]!SABADO[HORA]),"No registró")</f>
        <v>No registró</v>
      </c>
      <c r="O52" s="359" t="str">
        <f>IFERROR(VLOOKUP([1]!Tabla9[[CEDULA ]],[1]!DOMINGO[#Data],5,0),"No registró")</f>
        <v>No registró</v>
      </c>
      <c r="P52" s="359" t="str">
        <f>IFERROR(LOOKUP(2,1/([1]!DOMINGO[[CEDULA ]]=[1]!Tabla9[[#This Row],[CEDULA ]]),[1]!DOMINGO[HORA]),"No registró")</f>
        <v>No registró</v>
      </c>
      <c r="Q52" s="240">
        <f>IFERROR(VLOOKUP(A52,DATOS[],10,0),"")</f>
        <v>0</v>
      </c>
    </row>
    <row r="53" spans="1:17" x14ac:dyDescent="0.25">
      <c r="A53" s="239">
        <v>6318111</v>
      </c>
      <c r="B53" s="239" t="s">
        <v>1038</v>
      </c>
      <c r="C53" s="359">
        <f>IFERROR(VLOOKUP([1]!Tabla9[[CEDULA ]],[1]!LUNES[#Data],5,0),"No registró")</f>
        <v>0.29351851851851851</v>
      </c>
      <c r="D53" s="359">
        <f>IFERROR(LOOKUP(2,1/([1]!LUNES[[CEDULA ]]=[1]!Tabla9[[#This Row],[CEDULA ]]),[1]!LUNES[HORA]),"No registró")</f>
        <v>0.55336805555555557</v>
      </c>
      <c r="E53" s="359">
        <f>IFERROR(VLOOKUP([1]!Tabla9[[CEDULA ]],[1]!MARTES[#Data],5,0),"No registró")</f>
        <v>0.29900462962962965</v>
      </c>
      <c r="F53" s="359">
        <f>IFERROR(LOOKUP(2,1/([1]!MARTES[[CEDULA ]]=[1]!Tabla9[[#This Row],[CEDULA ]]),[1]!MARTES[HORA]),"No Registró")</f>
        <v>0.55359953703703701</v>
      </c>
      <c r="G53" s="359" t="str">
        <f>IFERROR(VLOOKUP([1]!Tabla9[[CEDULA ]],[1]!MIERCOLES[#Data],5,0),"No registró")</f>
        <v>No registró</v>
      </c>
      <c r="H53" s="359" t="str">
        <f>IFERROR(LOOKUP(2,1/([1]!MIERCOLES[[CEDULA ]]=[1]!Tabla9[[#This Row],[CEDULA ]]),[1]!MIERCOLES[HORA]),"No registró")</f>
        <v>No registró</v>
      </c>
      <c r="I53" s="359" t="str">
        <f>IFERROR(VLOOKUP([1]!Tabla9[[CEDULA ]],[1]!JUEVES[#Data],5,0),"No Registró")</f>
        <v>No Registró</v>
      </c>
      <c r="J53" s="359" t="str">
        <f>IFERROR(LOOKUP(2,1/([1]!JUEVES[[CEDULA ]]=[1]!Tabla9[[#This Row],[CEDULA ]]),[1]!JUEVES[HORA]),"No registró")</f>
        <v>No registró</v>
      </c>
      <c r="K53" s="359">
        <f>IFERROR(VLOOKUP([1]!Tabla9[[CEDULA ]],[1]!VIERNES[#Data],5,0),"No registró")</f>
        <v>0.32238425925925923</v>
      </c>
      <c r="L53" s="359">
        <f>IFERROR(LOOKUP(2,1/([1]!VIERNES[[CEDULA ]]=[1]!Tabla9[[#This Row],[CEDULA ]]),[1]!VIERNES[HORA]),"No registró")</f>
        <v>0.55737268518518512</v>
      </c>
      <c r="M53" s="359" t="str">
        <f>IFERROR(VLOOKUP([1]!Tabla9[[CEDULA ]],[1]!SABADO[#Data],5,0),"No registró")</f>
        <v>No registró</v>
      </c>
      <c r="N53" s="359" t="str">
        <f>IFERROR(LOOKUP(2,1/([1]!SABADO[[CEDULA ]]=[1]!Tabla9[[#This Row],[CEDULA ]]),[1]!SABADO[HORA]),"No registró")</f>
        <v>No registró</v>
      </c>
      <c r="O53" s="359" t="str">
        <f>IFERROR(VLOOKUP([1]!Tabla9[[CEDULA ]],[1]!DOMINGO[#Data],5,0),"No registró")</f>
        <v>No registró</v>
      </c>
      <c r="P53" s="359" t="str">
        <f>IFERROR(LOOKUP(2,1/([1]!DOMINGO[[CEDULA ]]=[1]!Tabla9[[#This Row],[CEDULA ]]),[1]!DOMINGO[HORA]),"No registró")</f>
        <v>No registró</v>
      </c>
      <c r="Q53" s="240">
        <f>IFERROR(VLOOKUP(A53,DATOS[],10,0),"")</f>
        <v>0</v>
      </c>
    </row>
    <row r="54" spans="1:17" x14ac:dyDescent="0.25">
      <c r="A54" s="239">
        <v>6326657</v>
      </c>
      <c r="B54" s="239" t="s">
        <v>1039</v>
      </c>
      <c r="C54" s="359">
        <f>IFERROR(VLOOKUP([1]!Tabla9[[CEDULA ]],[1]!LUNES[#Data],5,0),"No registró")</f>
        <v>0.30944444444444447</v>
      </c>
      <c r="D54" s="359">
        <f>IFERROR(LOOKUP(2,1/([1]!LUNES[[CEDULA ]]=[1]!Tabla9[[#This Row],[CEDULA ]]),[1]!LUNES[HORA]),"No registró")</f>
        <v>0.55388888888888888</v>
      </c>
      <c r="E54" s="359">
        <f>IFERROR(VLOOKUP([1]!Tabla9[[CEDULA ]],[1]!MARTES[#Data],5,0),"No registró")</f>
        <v>0.33828703703703705</v>
      </c>
      <c r="F54" s="359">
        <f>IFERROR(LOOKUP(2,1/([1]!MARTES[[CEDULA ]]=[1]!Tabla9[[#This Row],[CEDULA ]]),[1]!MARTES[HORA]),"No Registró")</f>
        <v>0.55775462962962963</v>
      </c>
      <c r="G54" s="359" t="str">
        <f>IFERROR(VLOOKUP([1]!Tabla9[[CEDULA ]],[1]!MIERCOLES[#Data],5,0),"No registró")</f>
        <v>No registró</v>
      </c>
      <c r="H54" s="359" t="str">
        <f>IFERROR(LOOKUP(2,1/([1]!MIERCOLES[[CEDULA ]]=[1]!Tabla9[[#This Row],[CEDULA ]]),[1]!MIERCOLES[HORA]),"No registró")</f>
        <v>No registró</v>
      </c>
      <c r="I54" s="359" t="str">
        <f>IFERROR(VLOOKUP([1]!Tabla9[[CEDULA ]],[1]!JUEVES[#Data],5,0),"No Registró")</f>
        <v>No Registró</v>
      </c>
      <c r="J54" s="359" t="str">
        <f>IFERROR(LOOKUP(2,1/([1]!JUEVES[[CEDULA ]]=[1]!Tabla9[[#This Row],[CEDULA ]]),[1]!JUEVES[HORA]),"No registró")</f>
        <v>No registró</v>
      </c>
      <c r="K54" s="359" t="str">
        <f>IFERROR(VLOOKUP([1]!Tabla9[[CEDULA ]],[1]!VIERNES[#Data],5,0),"No registró")</f>
        <v>No registró</v>
      </c>
      <c r="L54" s="359" t="str">
        <f>IFERROR(LOOKUP(2,1/([1]!VIERNES[[CEDULA ]]=[1]!Tabla9[[#This Row],[CEDULA ]]),[1]!VIERNES[HORA]),"No registró")</f>
        <v>No registró</v>
      </c>
      <c r="M54" s="359" t="str">
        <f>IFERROR(VLOOKUP([1]!Tabla9[[CEDULA ]],[1]!SABADO[#Data],5,0),"No registró")</f>
        <v>No registró</v>
      </c>
      <c r="N54" s="359" t="str">
        <f>IFERROR(LOOKUP(2,1/([1]!SABADO[[CEDULA ]]=[1]!Tabla9[[#This Row],[CEDULA ]]),[1]!SABADO[HORA]),"No registró")</f>
        <v>No registró</v>
      </c>
      <c r="O54" s="359" t="str">
        <f>IFERROR(VLOOKUP([1]!Tabla9[[CEDULA ]],[1]!DOMINGO[#Data],5,0),"No registró")</f>
        <v>No registró</v>
      </c>
      <c r="P54" s="359" t="str">
        <f>IFERROR(LOOKUP(2,1/([1]!DOMINGO[[CEDULA ]]=[1]!Tabla9[[#This Row],[CEDULA ]]),[1]!DOMINGO[HORA]),"No registró")</f>
        <v>No registró</v>
      </c>
      <c r="Q54" s="240" t="str">
        <f>IFERROR(VLOOKUP(A54,DATOS[],10,0),"")</f>
        <v>4. VALLES DEL TUY</v>
      </c>
    </row>
    <row r="55" spans="1:17" x14ac:dyDescent="0.25">
      <c r="A55" s="239">
        <v>6330974</v>
      </c>
      <c r="B55" s="239" t="s">
        <v>1040</v>
      </c>
      <c r="C55" s="359">
        <f>IFERROR(VLOOKUP([1]!Tabla9[[CEDULA ]],[1]!LUNES[#Data],5,0),"No registró")</f>
        <v>0.27780092592592592</v>
      </c>
      <c r="D55" s="359">
        <f>IFERROR(LOOKUP(2,1/([1]!LUNES[[CEDULA ]]=[1]!Tabla9[[#This Row],[CEDULA ]]),[1]!LUNES[HORA]),"No registró")</f>
        <v>0.54625000000000001</v>
      </c>
      <c r="E55" s="359">
        <f>IFERROR(VLOOKUP([1]!Tabla9[[CEDULA ]],[1]!MARTES[#Data],5,0),"No registró")</f>
        <v>0.27734953703703707</v>
      </c>
      <c r="F55" s="359">
        <f>IFERROR(LOOKUP(2,1/([1]!MARTES[[CEDULA ]]=[1]!Tabla9[[#This Row],[CEDULA ]]),[1]!MARTES[HORA]),"No Registró")</f>
        <v>0.67826388888888889</v>
      </c>
      <c r="G55" s="359" t="str">
        <f>IFERROR(VLOOKUP([1]!Tabla9[[CEDULA ]],[1]!MIERCOLES[#Data],5,0),"No registró")</f>
        <v>No registró</v>
      </c>
      <c r="H55" s="359" t="str">
        <f>IFERROR(LOOKUP(2,1/([1]!MIERCOLES[[CEDULA ]]=[1]!Tabla9[[#This Row],[CEDULA ]]),[1]!MIERCOLES[HORA]),"No registró")</f>
        <v>No registró</v>
      </c>
      <c r="I55" s="359" t="str">
        <f>IFERROR(VLOOKUP([1]!Tabla9[[CEDULA ]],[1]!JUEVES[#Data],5,0),"No Registró")</f>
        <v>No Registró</v>
      </c>
      <c r="J55" s="359" t="str">
        <f>IFERROR(LOOKUP(2,1/([1]!JUEVES[[CEDULA ]]=[1]!Tabla9[[#This Row],[CEDULA ]]),[1]!JUEVES[HORA]),"No registró")</f>
        <v>No registró</v>
      </c>
      <c r="K55" s="359" t="str">
        <f>IFERROR(VLOOKUP([1]!Tabla9[[CEDULA ]],[1]!VIERNES[#Data],5,0),"No registró")</f>
        <v>No registró</v>
      </c>
      <c r="L55" s="359" t="str">
        <f>IFERROR(LOOKUP(2,1/([1]!VIERNES[[CEDULA ]]=[1]!Tabla9[[#This Row],[CEDULA ]]),[1]!VIERNES[HORA]),"No registró")</f>
        <v>No registró</v>
      </c>
      <c r="M55" s="359" t="str">
        <f>IFERROR(VLOOKUP([1]!Tabla9[[CEDULA ]],[1]!SABADO[#Data],5,0),"No registró")</f>
        <v>No registró</v>
      </c>
      <c r="N55" s="359" t="str">
        <f>IFERROR(LOOKUP(2,1/([1]!SABADO[[CEDULA ]]=[1]!Tabla9[[#This Row],[CEDULA ]]),[1]!SABADO[HORA]),"No registró")</f>
        <v>No registró</v>
      </c>
      <c r="O55" s="359" t="str">
        <f>IFERROR(VLOOKUP([1]!Tabla9[[CEDULA ]],[1]!DOMINGO[#Data],5,0),"No registró")</f>
        <v>No registró</v>
      </c>
      <c r="P55" s="359" t="str">
        <f>IFERROR(LOOKUP(2,1/([1]!DOMINGO[[CEDULA ]]=[1]!Tabla9[[#This Row],[CEDULA ]]),[1]!DOMINGO[HORA]),"No registró")</f>
        <v>No registró</v>
      </c>
      <c r="Q55" s="240">
        <f>IFERROR(VLOOKUP(A55,DATOS[],10,0),"")</f>
        <v>0</v>
      </c>
    </row>
    <row r="56" spans="1:17" x14ac:dyDescent="0.25">
      <c r="A56" s="239">
        <v>6344146</v>
      </c>
      <c r="B56" s="239" t="s">
        <v>1041</v>
      </c>
      <c r="C56" s="359">
        <f>IFERROR(VLOOKUP([1]!Tabla9[[CEDULA ]],[1]!LUNES[#Data],5,0),"No registró")</f>
        <v>0.30920138888888887</v>
      </c>
      <c r="D56" s="359">
        <f>IFERROR(LOOKUP(2,1/([1]!LUNES[[CEDULA ]]=[1]!Tabla9[[#This Row],[CEDULA ]]),[1]!LUNES[HORA]),"No registró")</f>
        <v>0.55204861111111114</v>
      </c>
      <c r="E56" s="359">
        <f>IFERROR(VLOOKUP([1]!Tabla9[[CEDULA ]],[1]!MARTES[#Data],5,0),"No registró")</f>
        <v>0.3374537037037037</v>
      </c>
      <c r="F56" s="359">
        <f>IFERROR(LOOKUP(2,1/([1]!MARTES[[CEDULA ]]=[1]!Tabla9[[#This Row],[CEDULA ]]),[1]!MARTES[HORA]),"No Registró")</f>
        <v>0.54608796296296302</v>
      </c>
      <c r="G56" s="359" t="str">
        <f>IFERROR(VLOOKUP([1]!Tabla9[[CEDULA ]],[1]!MIERCOLES[#Data],5,0),"No registró")</f>
        <v>No registró</v>
      </c>
      <c r="H56" s="359" t="str">
        <f>IFERROR(LOOKUP(2,1/([1]!MIERCOLES[[CEDULA ]]=[1]!Tabla9[[#This Row],[CEDULA ]]),[1]!MIERCOLES[HORA]),"No registró")</f>
        <v>No registró</v>
      </c>
      <c r="I56" s="359" t="str">
        <f>IFERROR(VLOOKUP([1]!Tabla9[[CEDULA ]],[1]!JUEVES[#Data],5,0),"No Registró")</f>
        <v>No Registró</v>
      </c>
      <c r="J56" s="359" t="str">
        <f>IFERROR(LOOKUP(2,1/([1]!JUEVES[[CEDULA ]]=[1]!Tabla9[[#This Row],[CEDULA ]]),[1]!JUEVES[HORA]),"No registró")</f>
        <v>No registró</v>
      </c>
      <c r="K56" s="359" t="str">
        <f>IFERROR(VLOOKUP([1]!Tabla9[[CEDULA ]],[1]!VIERNES[#Data],5,0),"No registró")</f>
        <v>No registró</v>
      </c>
      <c r="L56" s="359" t="str">
        <f>IFERROR(LOOKUP(2,1/([1]!VIERNES[[CEDULA ]]=[1]!Tabla9[[#This Row],[CEDULA ]]),[1]!VIERNES[HORA]),"No registró")</f>
        <v>No registró</v>
      </c>
      <c r="M56" s="359" t="str">
        <f>IFERROR(VLOOKUP([1]!Tabla9[[CEDULA ]],[1]!SABADO[#Data],5,0),"No registró")</f>
        <v>No registró</v>
      </c>
      <c r="N56" s="359" t="str">
        <f>IFERROR(LOOKUP(2,1/([1]!SABADO[[CEDULA ]]=[1]!Tabla9[[#This Row],[CEDULA ]]),[1]!SABADO[HORA]),"No registró")</f>
        <v>No registró</v>
      </c>
      <c r="O56" s="359" t="str">
        <f>IFERROR(VLOOKUP([1]!Tabla9[[CEDULA ]],[1]!DOMINGO[#Data],5,0),"No registró")</f>
        <v>No registró</v>
      </c>
      <c r="P56" s="359" t="str">
        <f>IFERROR(LOOKUP(2,1/([1]!DOMINGO[[CEDULA ]]=[1]!Tabla9[[#This Row],[CEDULA ]]),[1]!DOMINGO[HORA]),"No registró")</f>
        <v>No registró</v>
      </c>
      <c r="Q56" s="240" t="str">
        <f>IFERROR(VLOOKUP(A56,DATOS[],10,0),"")</f>
        <v>4. VALLES DEL TUY</v>
      </c>
    </row>
    <row r="57" spans="1:17" x14ac:dyDescent="0.25">
      <c r="A57" s="239">
        <v>6354821</v>
      </c>
      <c r="B57" s="239" t="s">
        <v>1042</v>
      </c>
      <c r="C57" s="359" t="str">
        <f>IFERROR(VLOOKUP([1]!Tabla9[[CEDULA ]],[1]!LUNES[#Data],5,0),"No registró")</f>
        <v>No registró</v>
      </c>
      <c r="D57" s="359" t="str">
        <f>IFERROR(LOOKUP(2,1/([1]!LUNES[[CEDULA ]]=[1]!Tabla9[[#This Row],[CEDULA ]]),[1]!LUNES[HORA]),"No registró")</f>
        <v>No registró</v>
      </c>
      <c r="E57" s="359">
        <f>IFERROR(VLOOKUP([1]!Tabla9[[CEDULA ]],[1]!MARTES[#Data],5,0),"No registró")</f>
        <v>0.31032407407407409</v>
      </c>
      <c r="F57" s="359">
        <f>IFERROR(LOOKUP(2,1/([1]!MARTES[[CEDULA ]]=[1]!Tabla9[[#This Row],[CEDULA ]]),[1]!MARTES[HORA]),"No Registró")</f>
        <v>0.56366898148148148</v>
      </c>
      <c r="G57" s="359" t="str">
        <f>IFERROR(VLOOKUP([1]!Tabla9[[CEDULA ]],[1]!MIERCOLES[#Data],5,0),"No registró")</f>
        <v>No registró</v>
      </c>
      <c r="H57" s="359" t="str">
        <f>IFERROR(LOOKUP(2,1/([1]!MIERCOLES[[CEDULA ]]=[1]!Tabla9[[#This Row],[CEDULA ]]),[1]!MIERCOLES[HORA]),"No registró")</f>
        <v>No registró</v>
      </c>
      <c r="I57" s="359" t="str">
        <f>IFERROR(VLOOKUP([1]!Tabla9[[CEDULA ]],[1]!JUEVES[#Data],5,0),"No Registró")</f>
        <v>No Registró</v>
      </c>
      <c r="J57" s="359" t="str">
        <f>IFERROR(LOOKUP(2,1/([1]!JUEVES[[CEDULA ]]=[1]!Tabla9[[#This Row],[CEDULA ]]),[1]!JUEVES[HORA]),"No registró")</f>
        <v>No registró</v>
      </c>
      <c r="K57" s="359" t="str">
        <f>IFERROR(VLOOKUP([1]!Tabla9[[CEDULA ]],[1]!VIERNES[#Data],5,0),"No registró")</f>
        <v>No registró</v>
      </c>
      <c r="L57" s="359" t="str">
        <f>IFERROR(LOOKUP(2,1/([1]!VIERNES[[CEDULA ]]=[1]!Tabla9[[#This Row],[CEDULA ]]),[1]!VIERNES[HORA]),"No registró")</f>
        <v>No registró</v>
      </c>
      <c r="M57" s="359" t="str">
        <f>IFERROR(VLOOKUP([1]!Tabla9[[CEDULA ]],[1]!SABADO[#Data],5,0),"No registró")</f>
        <v>No registró</v>
      </c>
      <c r="N57" s="359" t="str">
        <f>IFERROR(LOOKUP(2,1/([1]!SABADO[[CEDULA ]]=[1]!Tabla9[[#This Row],[CEDULA ]]),[1]!SABADO[HORA]),"No registró")</f>
        <v>No registró</v>
      </c>
      <c r="O57" s="359" t="str">
        <f>IFERROR(VLOOKUP([1]!Tabla9[[CEDULA ]],[1]!DOMINGO[#Data],5,0),"No registró")</f>
        <v>No registró</v>
      </c>
      <c r="P57" s="359" t="str">
        <f>IFERROR(LOOKUP(2,1/([1]!DOMINGO[[CEDULA ]]=[1]!Tabla9[[#This Row],[CEDULA ]]),[1]!DOMINGO[HORA]),"No registró")</f>
        <v>No registró</v>
      </c>
      <c r="Q57" s="240">
        <f>IFERROR(VLOOKUP(A57,DATOS[],10,0),"")</f>
        <v>0</v>
      </c>
    </row>
    <row r="58" spans="1:17" x14ac:dyDescent="0.25">
      <c r="A58" s="239">
        <v>6357030</v>
      </c>
      <c r="B58" s="239" t="s">
        <v>1043</v>
      </c>
      <c r="C58" s="359">
        <f>IFERROR(VLOOKUP([1]!Tabla9[[CEDULA ]],[1]!LUNES[#Data],5,0),"No registró")</f>
        <v>0.30931712962962959</v>
      </c>
      <c r="D58" s="359">
        <f>IFERROR(LOOKUP(2,1/([1]!LUNES[[CEDULA ]]=[1]!Tabla9[[#This Row],[CEDULA ]]),[1]!LUNES[HORA]),"No registró")</f>
        <v>0.5415740740740741</v>
      </c>
      <c r="E58" s="359">
        <f>IFERROR(VLOOKUP([1]!Tabla9[[CEDULA ]],[1]!MARTES[#Data],5,0),"No registró")</f>
        <v>0.33810185185185188</v>
      </c>
      <c r="F58" s="359">
        <f>IFERROR(LOOKUP(2,1/([1]!MARTES[[CEDULA ]]=[1]!Tabla9[[#This Row],[CEDULA ]]),[1]!MARTES[HORA]),"No Registró")</f>
        <v>0.54184027777777777</v>
      </c>
      <c r="G58" s="359" t="str">
        <f>IFERROR(VLOOKUP([1]!Tabla9[[CEDULA ]],[1]!MIERCOLES[#Data],5,0),"No registró")</f>
        <v>No registró</v>
      </c>
      <c r="H58" s="359" t="str">
        <f>IFERROR(LOOKUP(2,1/([1]!MIERCOLES[[CEDULA ]]=[1]!Tabla9[[#This Row],[CEDULA ]]),[1]!MIERCOLES[HORA]),"No registró")</f>
        <v>No registró</v>
      </c>
      <c r="I58" s="359" t="str">
        <f>IFERROR(VLOOKUP([1]!Tabla9[[CEDULA ]],[1]!JUEVES[#Data],5,0),"No Registró")</f>
        <v>No Registró</v>
      </c>
      <c r="J58" s="359" t="str">
        <f>IFERROR(LOOKUP(2,1/([1]!JUEVES[[CEDULA ]]=[1]!Tabla9[[#This Row],[CEDULA ]]),[1]!JUEVES[HORA]),"No registró")</f>
        <v>No registró</v>
      </c>
      <c r="K58" s="359" t="str">
        <f>IFERROR(VLOOKUP([1]!Tabla9[[CEDULA ]],[1]!VIERNES[#Data],5,0),"No registró")</f>
        <v>No registró</v>
      </c>
      <c r="L58" s="359" t="str">
        <f>IFERROR(LOOKUP(2,1/([1]!VIERNES[[CEDULA ]]=[1]!Tabla9[[#This Row],[CEDULA ]]),[1]!VIERNES[HORA]),"No registró")</f>
        <v>No registró</v>
      </c>
      <c r="M58" s="359" t="str">
        <f>IFERROR(VLOOKUP([1]!Tabla9[[CEDULA ]],[1]!SABADO[#Data],5,0),"No registró")</f>
        <v>No registró</v>
      </c>
      <c r="N58" s="359" t="str">
        <f>IFERROR(LOOKUP(2,1/([1]!SABADO[[CEDULA ]]=[1]!Tabla9[[#This Row],[CEDULA ]]),[1]!SABADO[HORA]),"No registró")</f>
        <v>No registró</v>
      </c>
      <c r="O58" s="359" t="str">
        <f>IFERROR(VLOOKUP([1]!Tabla9[[CEDULA ]],[1]!DOMINGO[#Data],5,0),"No registró")</f>
        <v>No registró</v>
      </c>
      <c r="P58" s="359" t="str">
        <f>IFERROR(LOOKUP(2,1/([1]!DOMINGO[[CEDULA ]]=[1]!Tabla9[[#This Row],[CEDULA ]]),[1]!DOMINGO[HORA]),"No registró")</f>
        <v>No registró</v>
      </c>
      <c r="Q58" s="240" t="str">
        <f>IFERROR(VLOOKUP(A58,DATOS[],10,0),"")</f>
        <v>4. VALLES DEL TUY</v>
      </c>
    </row>
    <row r="59" spans="1:17" x14ac:dyDescent="0.25">
      <c r="A59" s="239">
        <v>6429365</v>
      </c>
      <c r="B59" s="239" t="s">
        <v>1044</v>
      </c>
      <c r="C59" s="359">
        <f>IFERROR(VLOOKUP([1]!Tabla9[[CEDULA ]],[1]!LUNES[#Data],5,0),"No registró")</f>
        <v>0.34111111111111114</v>
      </c>
      <c r="D59" s="359">
        <f>IFERROR(LOOKUP(2,1/([1]!LUNES[[CEDULA ]]=[1]!Tabla9[[#This Row],[CEDULA ]]),[1]!LUNES[HORA]),"No registró")</f>
        <v>0.54858796296296297</v>
      </c>
      <c r="E59" s="359">
        <f>IFERROR(VLOOKUP([1]!Tabla9[[CEDULA ]],[1]!MARTES[#Data],5,0),"No registró")</f>
        <v>0.34384259259259259</v>
      </c>
      <c r="F59" s="359">
        <f>IFERROR(LOOKUP(2,1/([1]!MARTES[[CEDULA ]]=[1]!Tabla9[[#This Row],[CEDULA ]]),[1]!MARTES[HORA]),"No Registró")</f>
        <v>0.54432870370370368</v>
      </c>
      <c r="G59" s="359" t="str">
        <f>IFERROR(VLOOKUP([1]!Tabla9[[CEDULA ]],[1]!MIERCOLES[#Data],5,0),"No registró")</f>
        <v>No registró</v>
      </c>
      <c r="H59" s="359" t="str">
        <f>IFERROR(LOOKUP(2,1/([1]!MIERCOLES[[CEDULA ]]=[1]!Tabla9[[#This Row],[CEDULA ]]),[1]!MIERCOLES[HORA]),"No registró")</f>
        <v>No registró</v>
      </c>
      <c r="I59" s="359" t="str">
        <f>IFERROR(VLOOKUP([1]!Tabla9[[CEDULA ]],[1]!JUEVES[#Data],5,0),"No Registró")</f>
        <v>No Registró</v>
      </c>
      <c r="J59" s="359" t="str">
        <f>IFERROR(LOOKUP(2,1/([1]!JUEVES[[CEDULA ]]=[1]!Tabla9[[#This Row],[CEDULA ]]),[1]!JUEVES[HORA]),"No registró")</f>
        <v>No registró</v>
      </c>
      <c r="K59" s="359" t="str">
        <f>IFERROR(VLOOKUP([1]!Tabla9[[CEDULA ]],[1]!VIERNES[#Data],5,0),"No registró")</f>
        <v>No registró</v>
      </c>
      <c r="L59" s="359" t="str">
        <f>IFERROR(LOOKUP(2,1/([1]!VIERNES[[CEDULA ]]=[1]!Tabla9[[#This Row],[CEDULA ]]),[1]!VIERNES[HORA]),"No registró")</f>
        <v>No registró</v>
      </c>
      <c r="M59" s="359" t="str">
        <f>IFERROR(VLOOKUP([1]!Tabla9[[CEDULA ]],[1]!SABADO[#Data],5,0),"No registró")</f>
        <v>No registró</v>
      </c>
      <c r="N59" s="359" t="str">
        <f>IFERROR(LOOKUP(2,1/([1]!SABADO[[CEDULA ]]=[1]!Tabla9[[#This Row],[CEDULA ]]),[1]!SABADO[HORA]),"No registró")</f>
        <v>No registró</v>
      </c>
      <c r="O59" s="359" t="str">
        <f>IFERROR(VLOOKUP([1]!Tabla9[[CEDULA ]],[1]!DOMINGO[#Data],5,0),"No registró")</f>
        <v>No registró</v>
      </c>
      <c r="P59" s="359" t="str">
        <f>IFERROR(LOOKUP(2,1/([1]!DOMINGO[[CEDULA ]]=[1]!Tabla9[[#This Row],[CEDULA ]]),[1]!DOMINGO[HORA]),"No registró")</f>
        <v>No registró</v>
      </c>
      <c r="Q59" s="240">
        <f>IFERROR(VLOOKUP(A59,DATOS[],10,0),"")</f>
        <v>0</v>
      </c>
    </row>
    <row r="60" spans="1:17" x14ac:dyDescent="0.25">
      <c r="A60" s="239">
        <v>6435693</v>
      </c>
      <c r="B60" s="239" t="s">
        <v>1045</v>
      </c>
      <c r="C60" s="359">
        <f>IFERROR(VLOOKUP([1]!Tabla9[[CEDULA ]],[1]!LUNES[#Data],5,0),"No registró")</f>
        <v>0.28057870370370369</v>
      </c>
      <c r="D60" s="359">
        <f>IFERROR(LOOKUP(2,1/([1]!LUNES[[CEDULA ]]=[1]!Tabla9[[#This Row],[CEDULA ]]),[1]!LUNES[HORA]),"No registró")</f>
        <v>0.55726851851851855</v>
      </c>
      <c r="E60" s="359">
        <f>IFERROR(VLOOKUP([1]!Tabla9[[CEDULA ]],[1]!MARTES[#Data],5,0),"No registró")</f>
        <v>0.28655092592592596</v>
      </c>
      <c r="F60" s="359">
        <f>IFERROR(LOOKUP(2,1/([1]!MARTES[[CEDULA ]]=[1]!Tabla9[[#This Row],[CEDULA ]]),[1]!MARTES[HORA]),"No Registró")</f>
        <v>0.59339120370370368</v>
      </c>
      <c r="G60" s="359" t="str">
        <f>IFERROR(VLOOKUP([1]!Tabla9[[CEDULA ]],[1]!MIERCOLES[#Data],5,0),"No registró")</f>
        <v>No registró</v>
      </c>
      <c r="H60" s="359" t="str">
        <f>IFERROR(LOOKUP(2,1/([1]!MIERCOLES[[CEDULA ]]=[1]!Tabla9[[#This Row],[CEDULA ]]),[1]!MIERCOLES[HORA]),"No registró")</f>
        <v>No registró</v>
      </c>
      <c r="I60" s="359" t="str">
        <f>IFERROR(VLOOKUP([1]!Tabla9[[CEDULA ]],[1]!JUEVES[#Data],5,0),"No Registró")</f>
        <v>No Registró</v>
      </c>
      <c r="J60" s="359" t="str">
        <f>IFERROR(LOOKUP(2,1/([1]!JUEVES[[CEDULA ]]=[1]!Tabla9[[#This Row],[CEDULA ]]),[1]!JUEVES[HORA]),"No registró")</f>
        <v>No registró</v>
      </c>
      <c r="K60" s="359" t="str">
        <f>IFERROR(VLOOKUP([1]!Tabla9[[CEDULA ]],[1]!VIERNES[#Data],5,0),"No registró")</f>
        <v>No registró</v>
      </c>
      <c r="L60" s="359" t="str">
        <f>IFERROR(LOOKUP(2,1/([1]!VIERNES[[CEDULA ]]=[1]!Tabla9[[#This Row],[CEDULA ]]),[1]!VIERNES[HORA]),"No registró")</f>
        <v>No registró</v>
      </c>
      <c r="M60" s="359" t="str">
        <f>IFERROR(VLOOKUP([1]!Tabla9[[CEDULA ]],[1]!SABADO[#Data],5,0),"No registró")</f>
        <v>No registró</v>
      </c>
      <c r="N60" s="359" t="str">
        <f>IFERROR(LOOKUP(2,1/([1]!SABADO[[CEDULA ]]=[1]!Tabla9[[#This Row],[CEDULA ]]),[1]!SABADO[HORA]),"No registró")</f>
        <v>No registró</v>
      </c>
      <c r="O60" s="359" t="str">
        <f>IFERROR(VLOOKUP([1]!Tabla9[[CEDULA ]],[1]!DOMINGO[#Data],5,0),"No registró")</f>
        <v>No registró</v>
      </c>
      <c r="P60" s="359" t="str">
        <f>IFERROR(LOOKUP(2,1/([1]!DOMINGO[[CEDULA ]]=[1]!Tabla9[[#This Row],[CEDULA ]]),[1]!DOMINGO[HORA]),"No registró")</f>
        <v>No registró</v>
      </c>
      <c r="Q60" s="240" t="str">
        <f>IFERROR(VLOOKUP(A60,DATOS[],10,0),"")</f>
        <v>2. CATIA</v>
      </c>
    </row>
    <row r="61" spans="1:17" x14ac:dyDescent="0.25">
      <c r="A61" s="239">
        <v>6435695</v>
      </c>
      <c r="B61" s="239" t="s">
        <v>1412</v>
      </c>
      <c r="C61" s="359" t="str">
        <f>IFERROR(VLOOKUP([1]!Tabla9[[CEDULA ]],[1]!LUNES[#Data],5,0),"No registró")</f>
        <v>No registró</v>
      </c>
      <c r="D61" s="359" t="str">
        <f>IFERROR(LOOKUP(2,1/([1]!LUNES[[CEDULA ]]=[1]!Tabla9[[#This Row],[CEDULA ]]),[1]!LUNES[HORA]),"No registró")</f>
        <v>No registró</v>
      </c>
      <c r="E61" s="359">
        <f>IFERROR(VLOOKUP([1]!Tabla9[[CEDULA ]],[1]!MARTES[#Data],5,0),"No registró")</f>
        <v>0.28662037037037036</v>
      </c>
      <c r="F61" s="359">
        <f>IFERROR(LOOKUP(2,1/([1]!MARTES[[CEDULA ]]=[1]!Tabla9[[#This Row],[CEDULA ]]),[1]!MARTES[HORA]),"No Registró")</f>
        <v>0.60096064814814809</v>
      </c>
      <c r="G61" s="359" t="str">
        <f>IFERROR(VLOOKUP([1]!Tabla9[[CEDULA ]],[1]!MIERCOLES[#Data],5,0),"No registró")</f>
        <v>No registró</v>
      </c>
      <c r="H61" s="359" t="str">
        <f>IFERROR(LOOKUP(2,1/([1]!MIERCOLES[[CEDULA ]]=[1]!Tabla9[[#This Row],[CEDULA ]]),[1]!MIERCOLES[HORA]),"No registró")</f>
        <v>No registró</v>
      </c>
      <c r="I61" s="359" t="str">
        <f>IFERROR(VLOOKUP([1]!Tabla9[[CEDULA ]],[1]!JUEVES[#Data],5,0),"No Registró")</f>
        <v>No Registró</v>
      </c>
      <c r="J61" s="359" t="str">
        <f>IFERROR(LOOKUP(2,1/([1]!JUEVES[[CEDULA ]]=[1]!Tabla9[[#This Row],[CEDULA ]]),[1]!JUEVES[HORA]),"No registró")</f>
        <v>No registró</v>
      </c>
      <c r="K61" s="359" t="str">
        <f>IFERROR(VLOOKUP([1]!Tabla9[[CEDULA ]],[1]!VIERNES[#Data],5,0),"No registró")</f>
        <v>No registró</v>
      </c>
      <c r="L61" s="359" t="str">
        <f>IFERROR(LOOKUP(2,1/([1]!VIERNES[[CEDULA ]]=[1]!Tabla9[[#This Row],[CEDULA ]]),[1]!VIERNES[HORA]),"No registró")</f>
        <v>No registró</v>
      </c>
      <c r="M61" s="359" t="str">
        <f>IFERROR(VLOOKUP([1]!Tabla9[[CEDULA ]],[1]!SABADO[#Data],5,0),"No registró")</f>
        <v>No registró</v>
      </c>
      <c r="N61" s="359" t="str">
        <f>IFERROR(LOOKUP(2,1/([1]!SABADO[[CEDULA ]]=[1]!Tabla9[[#This Row],[CEDULA ]]),[1]!SABADO[HORA]),"No registró")</f>
        <v>No registró</v>
      </c>
      <c r="O61" s="359" t="str">
        <f>IFERROR(VLOOKUP([1]!Tabla9[[CEDULA ]],[1]!DOMINGO[#Data],5,0),"No registró")</f>
        <v>No registró</v>
      </c>
      <c r="P61" s="359" t="str">
        <f>IFERROR(LOOKUP(2,1/([1]!DOMINGO[[CEDULA ]]=[1]!Tabla9[[#This Row],[CEDULA ]]),[1]!DOMINGO[HORA]),"No registró")</f>
        <v>No registró</v>
      </c>
      <c r="Q61" s="240">
        <f>IFERROR(VLOOKUP(A61,DATOS[],10,0),"")</f>
        <v>0</v>
      </c>
    </row>
    <row r="62" spans="1:17" x14ac:dyDescent="0.25">
      <c r="A62" s="239">
        <v>6439891</v>
      </c>
      <c r="B62" s="239" t="s">
        <v>1046</v>
      </c>
      <c r="C62" s="359" t="str">
        <f>IFERROR(VLOOKUP([1]!Tabla9[[CEDULA ]],[1]!LUNES[#Data],5,0),"No registró")</f>
        <v>No registró</v>
      </c>
      <c r="D62" s="359" t="str">
        <f>IFERROR(LOOKUP(2,1/([1]!LUNES[[CEDULA ]]=[1]!Tabla9[[#This Row],[CEDULA ]]),[1]!LUNES[HORA]),"No registró")</f>
        <v>No registró</v>
      </c>
      <c r="E62" s="359">
        <f>IFERROR(VLOOKUP([1]!Tabla9[[CEDULA ]],[1]!MARTES[#Data],5,0),"No registró")</f>
        <v>0.34276620370370375</v>
      </c>
      <c r="F62" s="359">
        <f>IFERROR(LOOKUP(2,1/([1]!MARTES[[CEDULA ]]=[1]!Tabla9[[#This Row],[CEDULA ]]),[1]!MARTES[HORA]),"No Registró")</f>
        <v>0.37585648148148149</v>
      </c>
      <c r="G62" s="359" t="str">
        <f>IFERROR(VLOOKUP([1]!Tabla9[[CEDULA ]],[1]!MIERCOLES[#Data],5,0),"No registró")</f>
        <v>No registró</v>
      </c>
      <c r="H62" s="359" t="str">
        <f>IFERROR(LOOKUP(2,1/([1]!MIERCOLES[[CEDULA ]]=[1]!Tabla9[[#This Row],[CEDULA ]]),[1]!MIERCOLES[HORA]),"No registró")</f>
        <v>No registró</v>
      </c>
      <c r="I62" s="359" t="str">
        <f>IFERROR(VLOOKUP([1]!Tabla9[[CEDULA ]],[1]!JUEVES[#Data],5,0),"No Registró")</f>
        <v>No Registró</v>
      </c>
      <c r="J62" s="359" t="str">
        <f>IFERROR(LOOKUP(2,1/([1]!JUEVES[[CEDULA ]]=[1]!Tabla9[[#This Row],[CEDULA ]]),[1]!JUEVES[HORA]),"No registró")</f>
        <v>No registró</v>
      </c>
      <c r="K62" s="359" t="str">
        <f>IFERROR(VLOOKUP([1]!Tabla9[[CEDULA ]],[1]!VIERNES[#Data],5,0),"No registró")</f>
        <v>No registró</v>
      </c>
      <c r="L62" s="359" t="str">
        <f>IFERROR(LOOKUP(2,1/([1]!VIERNES[[CEDULA ]]=[1]!Tabla9[[#This Row],[CEDULA ]]),[1]!VIERNES[HORA]),"No registró")</f>
        <v>No registró</v>
      </c>
      <c r="M62" s="359" t="str">
        <f>IFERROR(VLOOKUP([1]!Tabla9[[CEDULA ]],[1]!SABADO[#Data],5,0),"No registró")</f>
        <v>No registró</v>
      </c>
      <c r="N62" s="359" t="str">
        <f>IFERROR(LOOKUP(2,1/([1]!SABADO[[CEDULA ]]=[1]!Tabla9[[#This Row],[CEDULA ]]),[1]!SABADO[HORA]),"No registró")</f>
        <v>No registró</v>
      </c>
      <c r="O62" s="359" t="str">
        <f>IFERROR(VLOOKUP([1]!Tabla9[[CEDULA ]],[1]!DOMINGO[#Data],5,0),"No registró")</f>
        <v>No registró</v>
      </c>
      <c r="P62" s="359" t="str">
        <f>IFERROR(LOOKUP(2,1/([1]!DOMINGO[[CEDULA ]]=[1]!Tabla9[[#This Row],[CEDULA ]]),[1]!DOMINGO[HORA]),"No registró")</f>
        <v>No registró</v>
      </c>
      <c r="Q62" s="240">
        <f>IFERROR(VLOOKUP(A62,DATOS[],10,0),"")</f>
        <v>0</v>
      </c>
    </row>
    <row r="63" spans="1:17" x14ac:dyDescent="0.25">
      <c r="A63" s="239">
        <v>6448274</v>
      </c>
      <c r="B63" s="239" t="s">
        <v>1047</v>
      </c>
      <c r="C63" s="359">
        <f>IFERROR(VLOOKUP([1]!Tabla9[[CEDULA ]],[1]!LUNES[#Data],5,0),"No registró")</f>
        <v>0.30898148148148147</v>
      </c>
      <c r="D63" s="359">
        <f>IFERROR(LOOKUP(2,1/([1]!LUNES[[CEDULA ]]=[1]!Tabla9[[#This Row],[CEDULA ]]),[1]!LUNES[HORA]),"No registró")</f>
        <v>0.53059027777777779</v>
      </c>
      <c r="E63" s="359">
        <f>IFERROR(VLOOKUP([1]!Tabla9[[CEDULA ]],[1]!MARTES[#Data],5,0),"No registró")</f>
        <v>0.33789351851851851</v>
      </c>
      <c r="F63" s="359">
        <f>IFERROR(LOOKUP(2,1/([1]!MARTES[[CEDULA ]]=[1]!Tabla9[[#This Row],[CEDULA ]]),[1]!MARTES[HORA]),"No Registró")</f>
        <v>0.45589120370370373</v>
      </c>
      <c r="G63" s="359" t="str">
        <f>IFERROR(VLOOKUP([1]!Tabla9[[CEDULA ]],[1]!MIERCOLES[#Data],5,0),"No registró")</f>
        <v>No registró</v>
      </c>
      <c r="H63" s="359" t="str">
        <f>IFERROR(LOOKUP(2,1/([1]!MIERCOLES[[CEDULA ]]=[1]!Tabla9[[#This Row],[CEDULA ]]),[1]!MIERCOLES[HORA]),"No registró")</f>
        <v>No registró</v>
      </c>
      <c r="I63" s="359" t="str">
        <f>IFERROR(VLOOKUP([1]!Tabla9[[CEDULA ]],[1]!JUEVES[#Data],5,0),"No Registró")</f>
        <v>No Registró</v>
      </c>
      <c r="J63" s="359" t="str">
        <f>IFERROR(LOOKUP(2,1/([1]!JUEVES[[CEDULA ]]=[1]!Tabla9[[#This Row],[CEDULA ]]),[1]!JUEVES[HORA]),"No registró")</f>
        <v>No registró</v>
      </c>
      <c r="K63" s="359" t="str">
        <f>IFERROR(VLOOKUP([1]!Tabla9[[CEDULA ]],[1]!VIERNES[#Data],5,0),"No registró")</f>
        <v>No registró</v>
      </c>
      <c r="L63" s="359" t="str">
        <f>IFERROR(LOOKUP(2,1/([1]!VIERNES[[CEDULA ]]=[1]!Tabla9[[#This Row],[CEDULA ]]),[1]!VIERNES[HORA]),"No registró")</f>
        <v>No registró</v>
      </c>
      <c r="M63" s="359" t="str">
        <f>IFERROR(VLOOKUP([1]!Tabla9[[CEDULA ]],[1]!SABADO[#Data],5,0),"No registró")</f>
        <v>No registró</v>
      </c>
      <c r="N63" s="359" t="str">
        <f>IFERROR(LOOKUP(2,1/([1]!SABADO[[CEDULA ]]=[1]!Tabla9[[#This Row],[CEDULA ]]),[1]!SABADO[HORA]),"No registró")</f>
        <v>No registró</v>
      </c>
      <c r="O63" s="359" t="str">
        <f>IFERROR(VLOOKUP([1]!Tabla9[[CEDULA ]],[1]!DOMINGO[#Data],5,0),"No registró")</f>
        <v>No registró</v>
      </c>
      <c r="P63" s="359" t="str">
        <f>IFERROR(LOOKUP(2,1/([1]!DOMINGO[[CEDULA ]]=[1]!Tabla9[[#This Row],[CEDULA ]]),[1]!DOMINGO[HORA]),"No registró")</f>
        <v>No registró</v>
      </c>
      <c r="Q63" s="240" t="str">
        <f>IFERROR(VLOOKUP(A63,DATOS[],10,0),"")</f>
        <v>4. VALLES DEL TUY</v>
      </c>
    </row>
    <row r="64" spans="1:17" x14ac:dyDescent="0.25">
      <c r="A64" s="239">
        <v>6511452</v>
      </c>
      <c r="B64" s="239" t="s">
        <v>1048</v>
      </c>
      <c r="C64" s="359">
        <f>IFERROR(VLOOKUP([1]!Tabla9[[CEDULA ]],[1]!LUNES[#Data],5,0),"No registró")</f>
        <v>0.26465277777777779</v>
      </c>
      <c r="D64" s="359">
        <f>IFERROR(LOOKUP(2,1/([1]!LUNES[[CEDULA ]]=[1]!Tabla9[[#This Row],[CEDULA ]]),[1]!LUNES[HORA]),"No registró")</f>
        <v>0.55065972222222215</v>
      </c>
      <c r="E64" s="359">
        <f>IFERROR(VLOOKUP([1]!Tabla9[[CEDULA ]],[1]!MARTES[#Data],5,0),"No registró")</f>
        <v>0.26716435185185183</v>
      </c>
      <c r="F64" s="359">
        <f>IFERROR(LOOKUP(2,1/([1]!MARTES[[CEDULA ]]=[1]!Tabla9[[#This Row],[CEDULA ]]),[1]!MARTES[HORA]),"No Registró")</f>
        <v>0.55094907407407401</v>
      </c>
      <c r="G64" s="359" t="str">
        <f>IFERROR(VLOOKUP([1]!Tabla9[[CEDULA ]],[1]!MIERCOLES[#Data],5,0),"No registró")</f>
        <v>No registró</v>
      </c>
      <c r="H64" s="359" t="str">
        <f>IFERROR(LOOKUP(2,1/([1]!MIERCOLES[[CEDULA ]]=[1]!Tabla9[[#This Row],[CEDULA ]]),[1]!MIERCOLES[HORA]),"No registró")</f>
        <v>No registró</v>
      </c>
      <c r="I64" s="359" t="str">
        <f>IFERROR(VLOOKUP([1]!Tabla9[[CEDULA ]],[1]!JUEVES[#Data],5,0),"No Registró")</f>
        <v>No Registró</v>
      </c>
      <c r="J64" s="359" t="str">
        <f>IFERROR(LOOKUP(2,1/([1]!JUEVES[[CEDULA ]]=[1]!Tabla9[[#This Row],[CEDULA ]]),[1]!JUEVES[HORA]),"No registró")</f>
        <v>No registró</v>
      </c>
      <c r="K64" s="359" t="str">
        <f>IFERROR(VLOOKUP([1]!Tabla9[[CEDULA ]],[1]!VIERNES[#Data],5,0),"No registró")</f>
        <v>No registró</v>
      </c>
      <c r="L64" s="359" t="str">
        <f>IFERROR(LOOKUP(2,1/([1]!VIERNES[[CEDULA ]]=[1]!Tabla9[[#This Row],[CEDULA ]]),[1]!VIERNES[HORA]),"No registró")</f>
        <v>No registró</v>
      </c>
      <c r="M64" s="359" t="str">
        <f>IFERROR(VLOOKUP([1]!Tabla9[[CEDULA ]],[1]!SABADO[#Data],5,0),"No registró")</f>
        <v>No registró</v>
      </c>
      <c r="N64" s="359" t="str">
        <f>IFERROR(LOOKUP(2,1/([1]!SABADO[[CEDULA ]]=[1]!Tabla9[[#This Row],[CEDULA ]]),[1]!SABADO[HORA]),"No registró")</f>
        <v>No registró</v>
      </c>
      <c r="O64" s="359" t="str">
        <f>IFERROR(VLOOKUP([1]!Tabla9[[CEDULA ]],[1]!DOMINGO[#Data],5,0),"No registró")</f>
        <v>No registró</v>
      </c>
      <c r="P64" s="359" t="str">
        <f>IFERROR(LOOKUP(2,1/([1]!DOMINGO[[CEDULA ]]=[1]!Tabla9[[#This Row],[CEDULA ]]),[1]!DOMINGO[HORA]),"No registró")</f>
        <v>No registró</v>
      </c>
      <c r="Q64" s="240">
        <f>IFERROR(VLOOKUP(A64,DATOS[],10,0),"")</f>
        <v>0</v>
      </c>
    </row>
    <row r="65" spans="1:17" x14ac:dyDescent="0.25">
      <c r="A65" s="239">
        <v>6526019</v>
      </c>
      <c r="B65" s="239" t="s">
        <v>1049</v>
      </c>
      <c r="C65" s="359">
        <f>IFERROR(VLOOKUP([1]!Tabla9[[CEDULA ]],[1]!LUNES[#Data],5,0),"No registró")</f>
        <v>0.28131944444444446</v>
      </c>
      <c r="D65" s="359">
        <f>IFERROR(LOOKUP(2,1/([1]!LUNES[[CEDULA ]]=[1]!Tabla9[[#This Row],[CEDULA ]]),[1]!LUNES[HORA]),"No registró")</f>
        <v>0.55354166666666671</v>
      </c>
      <c r="E65" s="359">
        <f>IFERROR(VLOOKUP([1]!Tabla9[[CEDULA ]],[1]!MARTES[#Data],5,0),"No registró")</f>
        <v>0.28751157407407407</v>
      </c>
      <c r="F65" s="359">
        <f>IFERROR(LOOKUP(2,1/([1]!MARTES[[CEDULA ]]=[1]!Tabla9[[#This Row],[CEDULA ]]),[1]!MARTES[HORA]),"No Registró")</f>
        <v>0.55553240740740739</v>
      </c>
      <c r="G65" s="359" t="str">
        <f>IFERROR(VLOOKUP([1]!Tabla9[[CEDULA ]],[1]!MIERCOLES[#Data],5,0),"No registró")</f>
        <v>No registró</v>
      </c>
      <c r="H65" s="359" t="str">
        <f>IFERROR(LOOKUP(2,1/([1]!MIERCOLES[[CEDULA ]]=[1]!Tabla9[[#This Row],[CEDULA ]]),[1]!MIERCOLES[HORA]),"No registró")</f>
        <v>No registró</v>
      </c>
      <c r="I65" s="359" t="str">
        <f>IFERROR(VLOOKUP([1]!Tabla9[[CEDULA ]],[1]!JUEVES[#Data],5,0),"No Registró")</f>
        <v>No Registró</v>
      </c>
      <c r="J65" s="359" t="str">
        <f>IFERROR(LOOKUP(2,1/([1]!JUEVES[[CEDULA ]]=[1]!Tabla9[[#This Row],[CEDULA ]]),[1]!JUEVES[HORA]),"No registró")</f>
        <v>No registró</v>
      </c>
      <c r="K65" s="359" t="str">
        <f>IFERROR(VLOOKUP([1]!Tabla9[[CEDULA ]],[1]!VIERNES[#Data],5,0),"No registró")</f>
        <v>No registró</v>
      </c>
      <c r="L65" s="359" t="str">
        <f>IFERROR(LOOKUP(2,1/([1]!VIERNES[[CEDULA ]]=[1]!Tabla9[[#This Row],[CEDULA ]]),[1]!VIERNES[HORA]),"No registró")</f>
        <v>No registró</v>
      </c>
      <c r="M65" s="359" t="str">
        <f>IFERROR(VLOOKUP([1]!Tabla9[[CEDULA ]],[1]!SABADO[#Data],5,0),"No registró")</f>
        <v>No registró</v>
      </c>
      <c r="N65" s="359" t="str">
        <f>IFERROR(LOOKUP(2,1/([1]!SABADO[[CEDULA ]]=[1]!Tabla9[[#This Row],[CEDULA ]]),[1]!SABADO[HORA]),"No registró")</f>
        <v>No registró</v>
      </c>
      <c r="O65" s="359" t="str">
        <f>IFERROR(VLOOKUP([1]!Tabla9[[CEDULA ]],[1]!DOMINGO[#Data],5,0),"No registró")</f>
        <v>No registró</v>
      </c>
      <c r="P65" s="359" t="str">
        <f>IFERROR(LOOKUP(2,1/([1]!DOMINGO[[CEDULA ]]=[1]!Tabla9[[#This Row],[CEDULA ]]),[1]!DOMINGO[HORA]),"No registró")</f>
        <v>No registró</v>
      </c>
      <c r="Q65" s="240">
        <f>IFERROR(VLOOKUP(A65,DATOS[],10,0),"")</f>
        <v>0</v>
      </c>
    </row>
    <row r="66" spans="1:17" x14ac:dyDescent="0.25">
      <c r="A66" s="239">
        <v>6526176</v>
      </c>
      <c r="B66" s="239" t="s">
        <v>1050</v>
      </c>
      <c r="C66" s="359">
        <f>IFERROR(VLOOKUP([1]!Tabla9[[CEDULA ]],[1]!LUNES[#Data],5,0),"No registró")</f>
        <v>0.28034722222222225</v>
      </c>
      <c r="D66" s="359">
        <f>IFERROR(LOOKUP(2,1/([1]!LUNES[[CEDULA ]]=[1]!Tabla9[[#This Row],[CEDULA ]]),[1]!LUNES[HORA]),"No registró")</f>
        <v>0.55182870370370374</v>
      </c>
      <c r="E66" s="359">
        <f>IFERROR(VLOOKUP([1]!Tabla9[[CEDULA ]],[1]!MARTES[#Data],5,0),"No registró")</f>
        <v>0.28641203703703705</v>
      </c>
      <c r="F66" s="359">
        <f>IFERROR(LOOKUP(2,1/([1]!MARTES[[CEDULA ]]=[1]!Tabla9[[#This Row],[CEDULA ]]),[1]!MARTES[HORA]),"No Registró")</f>
        <v>0.55464120370370373</v>
      </c>
      <c r="G66" s="359" t="str">
        <f>IFERROR(VLOOKUP([1]!Tabla9[[CEDULA ]],[1]!MIERCOLES[#Data],5,0),"No registró")</f>
        <v>No registró</v>
      </c>
      <c r="H66" s="359" t="str">
        <f>IFERROR(LOOKUP(2,1/([1]!MIERCOLES[[CEDULA ]]=[1]!Tabla9[[#This Row],[CEDULA ]]),[1]!MIERCOLES[HORA]),"No registró")</f>
        <v>No registró</v>
      </c>
      <c r="I66" s="359" t="str">
        <f>IFERROR(VLOOKUP([1]!Tabla9[[CEDULA ]],[1]!JUEVES[#Data],5,0),"No Registró")</f>
        <v>No Registró</v>
      </c>
      <c r="J66" s="359" t="str">
        <f>IFERROR(LOOKUP(2,1/([1]!JUEVES[[CEDULA ]]=[1]!Tabla9[[#This Row],[CEDULA ]]),[1]!JUEVES[HORA]),"No registró")</f>
        <v>No registró</v>
      </c>
      <c r="K66" s="359" t="str">
        <f>IFERROR(VLOOKUP([1]!Tabla9[[CEDULA ]],[1]!VIERNES[#Data],5,0),"No registró")</f>
        <v>No registró</v>
      </c>
      <c r="L66" s="359" t="str">
        <f>IFERROR(LOOKUP(2,1/([1]!VIERNES[[CEDULA ]]=[1]!Tabla9[[#This Row],[CEDULA ]]),[1]!VIERNES[HORA]),"No registró")</f>
        <v>No registró</v>
      </c>
      <c r="M66" s="359" t="str">
        <f>IFERROR(VLOOKUP([1]!Tabla9[[CEDULA ]],[1]!SABADO[#Data],5,0),"No registró")</f>
        <v>No registró</v>
      </c>
      <c r="N66" s="359" t="str">
        <f>IFERROR(LOOKUP(2,1/([1]!SABADO[[CEDULA ]]=[1]!Tabla9[[#This Row],[CEDULA ]]),[1]!SABADO[HORA]),"No registró")</f>
        <v>No registró</v>
      </c>
      <c r="O66" s="359" t="str">
        <f>IFERROR(VLOOKUP([1]!Tabla9[[CEDULA ]],[1]!DOMINGO[#Data],5,0),"No registró")</f>
        <v>No registró</v>
      </c>
      <c r="P66" s="359" t="str">
        <f>IFERROR(LOOKUP(2,1/([1]!DOMINGO[[CEDULA ]]=[1]!Tabla9[[#This Row],[CEDULA ]]),[1]!DOMINGO[HORA]),"No registró")</f>
        <v>No registró</v>
      </c>
      <c r="Q66" s="240">
        <f>IFERROR(VLOOKUP(A66,DATOS[],10,0),"")</f>
        <v>0</v>
      </c>
    </row>
    <row r="67" spans="1:17" x14ac:dyDescent="0.25">
      <c r="A67" s="239">
        <v>6547888</v>
      </c>
      <c r="B67" s="239" t="s">
        <v>1051</v>
      </c>
      <c r="C67" s="359" t="str">
        <f>IFERROR(VLOOKUP([1]!Tabla9[[CEDULA ]],[1]!LUNES[#Data],5,0),"No registró")</f>
        <v>No registró</v>
      </c>
      <c r="D67" s="359" t="str">
        <f>IFERROR(LOOKUP(2,1/([1]!LUNES[[CEDULA ]]=[1]!Tabla9[[#This Row],[CEDULA ]]),[1]!LUNES[HORA]),"No registró")</f>
        <v>No registró</v>
      </c>
      <c r="E67" s="359" t="str">
        <f>IFERROR(VLOOKUP([1]!Tabla9[[CEDULA ]],[1]!MARTES[#Data],5,0),"No registró")</f>
        <v>No registró</v>
      </c>
      <c r="F67" s="359" t="str">
        <f>IFERROR(LOOKUP(2,1/([1]!MARTES[[CEDULA ]]=[1]!Tabla9[[#This Row],[CEDULA ]]),[1]!MARTES[HORA]),"No Registró")</f>
        <v>No Registró</v>
      </c>
      <c r="G67" s="359" t="str">
        <f>IFERROR(VLOOKUP([1]!Tabla9[[CEDULA ]],[1]!MIERCOLES[#Data],5,0),"No registró")</f>
        <v>No registró</v>
      </c>
      <c r="H67" s="359" t="str">
        <f>IFERROR(LOOKUP(2,1/([1]!MIERCOLES[[CEDULA ]]=[1]!Tabla9[[#This Row],[CEDULA ]]),[1]!MIERCOLES[HORA]),"No registró")</f>
        <v>No registró</v>
      </c>
      <c r="I67" s="359" t="str">
        <f>IFERROR(VLOOKUP([1]!Tabla9[[CEDULA ]],[1]!JUEVES[#Data],5,0),"No Registró")</f>
        <v>No Registró</v>
      </c>
      <c r="J67" s="359" t="str">
        <f>IFERROR(LOOKUP(2,1/([1]!JUEVES[[CEDULA ]]=[1]!Tabla9[[#This Row],[CEDULA ]]),[1]!JUEVES[HORA]),"No registró")</f>
        <v>No registró</v>
      </c>
      <c r="K67" s="359" t="str">
        <f>IFERROR(VLOOKUP([1]!Tabla9[[CEDULA ]],[1]!VIERNES[#Data],5,0),"No registró")</f>
        <v>No registró</v>
      </c>
      <c r="L67" s="359" t="str">
        <f>IFERROR(LOOKUP(2,1/([1]!VIERNES[[CEDULA ]]=[1]!Tabla9[[#This Row],[CEDULA ]]),[1]!VIERNES[HORA]),"No registró")</f>
        <v>No registró</v>
      </c>
      <c r="M67" s="359" t="str">
        <f>IFERROR(VLOOKUP([1]!Tabla9[[CEDULA ]],[1]!SABADO[#Data],5,0),"No registró")</f>
        <v>No registró</v>
      </c>
      <c r="N67" s="359" t="str">
        <f>IFERROR(LOOKUP(2,1/([1]!SABADO[[CEDULA ]]=[1]!Tabla9[[#This Row],[CEDULA ]]),[1]!SABADO[HORA]),"No registró")</f>
        <v>No registró</v>
      </c>
      <c r="O67" s="359">
        <f>IFERROR(VLOOKUP([1]!Tabla9[[CEDULA ]],[1]!DOMINGO[#Data],5,0),"No registró")</f>
        <v>0.6014004629629629</v>
      </c>
      <c r="P67" s="359">
        <f>IFERROR(LOOKUP(2,1/([1]!DOMINGO[[CEDULA ]]=[1]!Tabla9[[#This Row],[CEDULA ]]),[1]!DOMINGO[HORA]),"No registró")</f>
        <v>0.78986111111111112</v>
      </c>
      <c r="Q67" s="240">
        <f>IFERROR(VLOOKUP(A67,DATOS[],10,0),"")</f>
        <v>0</v>
      </c>
    </row>
    <row r="68" spans="1:17" x14ac:dyDescent="0.25">
      <c r="A68" s="239">
        <v>6553850</v>
      </c>
      <c r="B68" s="239" t="s">
        <v>1052</v>
      </c>
      <c r="C68" s="359">
        <f>IFERROR(VLOOKUP([1]!Tabla9[[CEDULA ]],[1]!LUNES[#Data],5,0),"No registró")</f>
        <v>0.3143171296296296</v>
      </c>
      <c r="D68" s="359">
        <f>IFERROR(LOOKUP(2,1/([1]!LUNES[[CEDULA ]]=[1]!Tabla9[[#This Row],[CEDULA ]]),[1]!LUNES[HORA]),"No registró")</f>
        <v>0.55423611111111104</v>
      </c>
      <c r="E68" s="359">
        <f>IFERROR(VLOOKUP([1]!Tabla9[[CEDULA ]],[1]!MARTES[#Data],5,0),"No registró")</f>
        <v>0.28627314814814814</v>
      </c>
      <c r="F68" s="359">
        <f>IFERROR(LOOKUP(2,1/([1]!MARTES[[CEDULA ]]=[1]!Tabla9[[#This Row],[CEDULA ]]),[1]!MARTES[HORA]),"No Registró")</f>
        <v>0.58035879629629628</v>
      </c>
      <c r="G68" s="359" t="str">
        <f>IFERROR(VLOOKUP([1]!Tabla9[[CEDULA ]],[1]!MIERCOLES[#Data],5,0),"No registró")</f>
        <v>No registró</v>
      </c>
      <c r="H68" s="359" t="str">
        <f>IFERROR(LOOKUP(2,1/([1]!MIERCOLES[[CEDULA ]]=[1]!Tabla9[[#This Row],[CEDULA ]]),[1]!MIERCOLES[HORA]),"No registró")</f>
        <v>No registró</v>
      </c>
      <c r="I68" s="359" t="str">
        <f>IFERROR(VLOOKUP([1]!Tabla9[[CEDULA ]],[1]!JUEVES[#Data],5,0),"No Registró")</f>
        <v>No Registró</v>
      </c>
      <c r="J68" s="359" t="str">
        <f>IFERROR(LOOKUP(2,1/([1]!JUEVES[[CEDULA ]]=[1]!Tabla9[[#This Row],[CEDULA ]]),[1]!JUEVES[HORA]),"No registró")</f>
        <v>No registró</v>
      </c>
      <c r="K68" s="359" t="str">
        <f>IFERROR(VLOOKUP([1]!Tabla9[[CEDULA ]],[1]!VIERNES[#Data],5,0),"No registró")</f>
        <v>No registró</v>
      </c>
      <c r="L68" s="359" t="str">
        <f>IFERROR(LOOKUP(2,1/([1]!VIERNES[[CEDULA ]]=[1]!Tabla9[[#This Row],[CEDULA ]]),[1]!VIERNES[HORA]),"No registró")</f>
        <v>No registró</v>
      </c>
      <c r="M68" s="359" t="str">
        <f>IFERROR(VLOOKUP([1]!Tabla9[[CEDULA ]],[1]!SABADO[#Data],5,0),"No registró")</f>
        <v>No registró</v>
      </c>
      <c r="N68" s="359" t="str">
        <f>IFERROR(LOOKUP(2,1/([1]!SABADO[[CEDULA ]]=[1]!Tabla9[[#This Row],[CEDULA ]]),[1]!SABADO[HORA]),"No registró")</f>
        <v>No registró</v>
      </c>
      <c r="O68" s="359" t="str">
        <f>IFERROR(VLOOKUP([1]!Tabla9[[CEDULA ]],[1]!DOMINGO[#Data],5,0),"No registró")</f>
        <v>No registró</v>
      </c>
      <c r="P68" s="359" t="str">
        <f>IFERROR(LOOKUP(2,1/([1]!DOMINGO[[CEDULA ]]=[1]!Tabla9[[#This Row],[CEDULA ]]),[1]!DOMINGO[HORA]),"No registró")</f>
        <v>No registró</v>
      </c>
      <c r="Q68" s="240" t="str">
        <f>IFERROR(VLOOKUP(A68,DATOS[],10,0),"")</f>
        <v>1. COCHE</v>
      </c>
    </row>
    <row r="69" spans="1:17" x14ac:dyDescent="0.25">
      <c r="A69" s="239">
        <v>6692649</v>
      </c>
      <c r="B69" s="239" t="s">
        <v>1053</v>
      </c>
      <c r="C69" s="359">
        <f>IFERROR(VLOOKUP([1]!Tabla9[[CEDULA ]],[1]!LUNES[#Data],5,0),"No registró")</f>
        <v>0.28854166666666664</v>
      </c>
      <c r="D69" s="359">
        <f>IFERROR(LOOKUP(2,1/([1]!LUNES[[CEDULA ]]=[1]!Tabla9[[#This Row],[CEDULA ]]),[1]!LUNES[HORA]),"No registró")</f>
        <v>0.55563657407407407</v>
      </c>
      <c r="E69" s="359">
        <f>IFERROR(VLOOKUP([1]!Tabla9[[CEDULA ]],[1]!MARTES[#Data],5,0),"No registró")</f>
        <v>0.29782407407407407</v>
      </c>
      <c r="F69" s="359">
        <f>IFERROR(LOOKUP(2,1/([1]!MARTES[[CEDULA ]]=[1]!Tabla9[[#This Row],[CEDULA ]]),[1]!MARTES[HORA]),"No Registró")</f>
        <v>0.55403935185185182</v>
      </c>
      <c r="G69" s="359" t="str">
        <f>IFERROR(VLOOKUP([1]!Tabla9[[CEDULA ]],[1]!MIERCOLES[#Data],5,0),"No registró")</f>
        <v>No registró</v>
      </c>
      <c r="H69" s="359" t="str">
        <f>IFERROR(LOOKUP(2,1/([1]!MIERCOLES[[CEDULA ]]=[1]!Tabla9[[#This Row],[CEDULA ]]),[1]!MIERCOLES[HORA]),"No registró")</f>
        <v>No registró</v>
      </c>
      <c r="I69" s="359" t="str">
        <f>IFERROR(VLOOKUP([1]!Tabla9[[CEDULA ]],[1]!JUEVES[#Data],5,0),"No Registró")</f>
        <v>No Registró</v>
      </c>
      <c r="J69" s="359" t="str">
        <f>IFERROR(LOOKUP(2,1/([1]!JUEVES[[CEDULA ]]=[1]!Tabla9[[#This Row],[CEDULA ]]),[1]!JUEVES[HORA]),"No registró")</f>
        <v>No registró</v>
      </c>
      <c r="K69" s="359" t="str">
        <f>IFERROR(VLOOKUP([1]!Tabla9[[CEDULA ]],[1]!VIERNES[#Data],5,0),"No registró")</f>
        <v>No registró</v>
      </c>
      <c r="L69" s="359" t="str">
        <f>IFERROR(LOOKUP(2,1/([1]!VIERNES[[CEDULA ]]=[1]!Tabla9[[#This Row],[CEDULA ]]),[1]!VIERNES[HORA]),"No registró")</f>
        <v>No registró</v>
      </c>
      <c r="M69" s="359" t="str">
        <f>IFERROR(VLOOKUP([1]!Tabla9[[CEDULA ]],[1]!SABADO[#Data],5,0),"No registró")</f>
        <v>No registró</v>
      </c>
      <c r="N69" s="359" t="str">
        <f>IFERROR(LOOKUP(2,1/([1]!SABADO[[CEDULA ]]=[1]!Tabla9[[#This Row],[CEDULA ]]),[1]!SABADO[HORA]),"No registró")</f>
        <v>No registró</v>
      </c>
      <c r="O69" s="359" t="str">
        <f>IFERROR(VLOOKUP([1]!Tabla9[[CEDULA ]],[1]!DOMINGO[#Data],5,0),"No registró")</f>
        <v>No registró</v>
      </c>
      <c r="P69" s="359" t="str">
        <f>IFERROR(LOOKUP(2,1/([1]!DOMINGO[[CEDULA ]]=[1]!Tabla9[[#This Row],[CEDULA ]]),[1]!DOMINGO[HORA]),"No registró")</f>
        <v>No registró</v>
      </c>
      <c r="Q69" s="240" t="str">
        <f>IFERROR(VLOOKUP(A69,DATOS[],10,0),"")</f>
        <v>5. GUARENAS</v>
      </c>
    </row>
    <row r="70" spans="1:17" x14ac:dyDescent="0.25">
      <c r="A70" s="239">
        <v>6692650</v>
      </c>
      <c r="B70" s="239" t="s">
        <v>1054</v>
      </c>
      <c r="C70" s="359">
        <f>IFERROR(VLOOKUP([1]!Tabla9[[CEDULA ]],[1]!LUNES[#Data],5,0),"No registró")</f>
        <v>0.28265046296296298</v>
      </c>
      <c r="D70" s="359">
        <f>IFERROR(LOOKUP(2,1/([1]!LUNES[[CEDULA ]]=[1]!Tabla9[[#This Row],[CEDULA ]]),[1]!LUNES[HORA]),"No registró")</f>
        <v>0.45685185185185184</v>
      </c>
      <c r="E70" s="359">
        <f>IFERROR(VLOOKUP([1]!Tabla9[[CEDULA ]],[1]!MARTES[#Data],5,0),"No registró")</f>
        <v>0.29312500000000002</v>
      </c>
      <c r="F70" s="359">
        <f>IFERROR(LOOKUP(2,1/([1]!MARTES[[CEDULA ]]=[1]!Tabla9[[#This Row],[CEDULA ]]),[1]!MARTES[HORA]),"No Registró")</f>
        <v>0.55291666666666661</v>
      </c>
      <c r="G70" s="359" t="str">
        <f>IFERROR(VLOOKUP([1]!Tabla9[[CEDULA ]],[1]!MIERCOLES[#Data],5,0),"No registró")</f>
        <v>No registró</v>
      </c>
      <c r="H70" s="359" t="str">
        <f>IFERROR(LOOKUP(2,1/([1]!MIERCOLES[[CEDULA ]]=[1]!Tabla9[[#This Row],[CEDULA ]]),[1]!MIERCOLES[HORA]),"No registró")</f>
        <v>No registró</v>
      </c>
      <c r="I70" s="359" t="str">
        <f>IFERROR(VLOOKUP([1]!Tabla9[[CEDULA ]],[1]!JUEVES[#Data],5,0),"No Registró")</f>
        <v>No Registró</v>
      </c>
      <c r="J70" s="359" t="str">
        <f>IFERROR(LOOKUP(2,1/([1]!JUEVES[[CEDULA ]]=[1]!Tabla9[[#This Row],[CEDULA ]]),[1]!JUEVES[HORA]),"No registró")</f>
        <v>No registró</v>
      </c>
      <c r="K70" s="359" t="str">
        <f>IFERROR(VLOOKUP([1]!Tabla9[[CEDULA ]],[1]!VIERNES[#Data],5,0),"No registró")</f>
        <v>No registró</v>
      </c>
      <c r="L70" s="359" t="str">
        <f>IFERROR(LOOKUP(2,1/([1]!VIERNES[[CEDULA ]]=[1]!Tabla9[[#This Row],[CEDULA ]]),[1]!VIERNES[HORA]),"No registró")</f>
        <v>No registró</v>
      </c>
      <c r="M70" s="359" t="str">
        <f>IFERROR(VLOOKUP([1]!Tabla9[[CEDULA ]],[1]!SABADO[#Data],5,0),"No registró")</f>
        <v>No registró</v>
      </c>
      <c r="N70" s="359" t="str">
        <f>IFERROR(LOOKUP(2,1/([1]!SABADO[[CEDULA ]]=[1]!Tabla9[[#This Row],[CEDULA ]]),[1]!SABADO[HORA]),"No registró")</f>
        <v>No registró</v>
      </c>
      <c r="O70" s="359" t="str">
        <f>IFERROR(VLOOKUP([1]!Tabla9[[CEDULA ]],[1]!DOMINGO[#Data],5,0),"No registró")</f>
        <v>No registró</v>
      </c>
      <c r="P70" s="359" t="str">
        <f>IFERROR(LOOKUP(2,1/([1]!DOMINGO[[CEDULA ]]=[1]!Tabla9[[#This Row],[CEDULA ]]),[1]!DOMINGO[HORA]),"No registró")</f>
        <v>No registró</v>
      </c>
      <c r="Q70" s="240" t="str">
        <f>IFERROR(VLOOKUP(A70,DATOS[],10,0),"")</f>
        <v>2. CATIA</v>
      </c>
    </row>
    <row r="71" spans="1:17" x14ac:dyDescent="0.25">
      <c r="A71" s="239">
        <v>6826775</v>
      </c>
      <c r="B71" s="239" t="s">
        <v>1055</v>
      </c>
      <c r="C71" s="359" t="str">
        <f>IFERROR(VLOOKUP([1]!Tabla9[[CEDULA ]],[1]!LUNES[#Data],5,0),"No registró")</f>
        <v>No registró</v>
      </c>
      <c r="D71" s="359" t="str">
        <f>IFERROR(LOOKUP(2,1/([1]!LUNES[[CEDULA ]]=[1]!Tabla9[[#This Row],[CEDULA ]]),[1]!LUNES[HORA]),"No registró")</f>
        <v>No registró</v>
      </c>
      <c r="E71" s="359">
        <f>IFERROR(VLOOKUP([1]!Tabla9[[CEDULA ]],[1]!MARTES[#Data],5,0),"No registró")</f>
        <v>0.26011574074074073</v>
      </c>
      <c r="F71" s="359">
        <f>IFERROR(LOOKUP(2,1/([1]!MARTES[[CEDULA ]]=[1]!Tabla9[[#This Row],[CEDULA ]]),[1]!MARTES[HORA]),"No Registró")</f>
        <v>0.94569444444444439</v>
      </c>
      <c r="G71" s="359">
        <f>IFERROR(VLOOKUP([1]!Tabla9[[CEDULA ]],[1]!MIERCOLES[#Data],5,0),"No registró")</f>
        <v>1.1655092592592594E-2</v>
      </c>
      <c r="H71" s="359">
        <f>IFERROR(LOOKUP(2,1/([1]!MIERCOLES[[CEDULA ]]=[1]!Tabla9[[#This Row],[CEDULA ]]),[1]!MIERCOLES[HORA]),"No registró")</f>
        <v>0.27732638888888889</v>
      </c>
      <c r="I71" s="359" t="str">
        <f>IFERROR(VLOOKUP([1]!Tabla9[[CEDULA ]],[1]!JUEVES[#Data],5,0),"No Registró")</f>
        <v>No Registró</v>
      </c>
      <c r="J71" s="359" t="str">
        <f>IFERROR(LOOKUP(2,1/([1]!JUEVES[[CEDULA ]]=[1]!Tabla9[[#This Row],[CEDULA ]]),[1]!JUEVES[HORA]),"No registró")</f>
        <v>No registró</v>
      </c>
      <c r="K71" s="359" t="str">
        <f>IFERROR(VLOOKUP([1]!Tabla9[[CEDULA ]],[1]!VIERNES[#Data],5,0),"No registró")</f>
        <v>No registró</v>
      </c>
      <c r="L71" s="359" t="str">
        <f>IFERROR(LOOKUP(2,1/([1]!VIERNES[[CEDULA ]]=[1]!Tabla9[[#This Row],[CEDULA ]]),[1]!VIERNES[HORA]),"No registró")</f>
        <v>No registró</v>
      </c>
      <c r="M71" s="359">
        <f>IFERROR(VLOOKUP([1]!Tabla9[[CEDULA ]],[1]!SABADO[#Data],5,0),"No registró")</f>
        <v>0.28050925925925924</v>
      </c>
      <c r="N71" s="359">
        <f>IFERROR(LOOKUP(2,1/([1]!SABADO[[CEDULA ]]=[1]!Tabla9[[#This Row],[CEDULA ]]),[1]!SABADO[HORA]),"No registró")</f>
        <v>0.96991898148148159</v>
      </c>
      <c r="O71" s="359">
        <f>IFERROR(VLOOKUP([1]!Tabla9[[CEDULA ]],[1]!DOMINGO[#Data],5,0),"No registró")</f>
        <v>1.1574074074074073E-3</v>
      </c>
      <c r="P71" s="359">
        <f>IFERROR(LOOKUP(2,1/([1]!DOMINGO[[CEDULA ]]=[1]!Tabla9[[#This Row],[CEDULA ]]),[1]!DOMINGO[HORA]),"No registró")</f>
        <v>0.28854166666666664</v>
      </c>
      <c r="Q71" s="240">
        <f>IFERROR(VLOOKUP(A71,DATOS[],10,0),"")</f>
        <v>0</v>
      </c>
    </row>
    <row r="72" spans="1:17" x14ac:dyDescent="0.25">
      <c r="A72" s="239">
        <v>6848492</v>
      </c>
      <c r="B72" s="239" t="s">
        <v>1056</v>
      </c>
      <c r="C72" s="359">
        <f>IFERROR(VLOOKUP([1]!Tabla9[[CEDULA ]],[1]!LUNES[#Data],5,0),"No registró")</f>
        <v>0.38452546296296292</v>
      </c>
      <c r="D72" s="359">
        <f>IFERROR(LOOKUP(2,1/([1]!LUNES[[CEDULA ]]=[1]!Tabla9[[#This Row],[CEDULA ]]),[1]!LUNES[HORA]),"No registró")</f>
        <v>0.55146990740740742</v>
      </c>
      <c r="E72" s="359" t="str">
        <f>IFERROR(VLOOKUP([1]!Tabla9[[CEDULA ]],[1]!MARTES[#Data],5,0),"No registró")</f>
        <v>No registró</v>
      </c>
      <c r="F72" s="359" t="str">
        <f>IFERROR(LOOKUP(2,1/([1]!MARTES[[CEDULA ]]=[1]!Tabla9[[#This Row],[CEDULA ]]),[1]!MARTES[HORA]),"No Registró")</f>
        <v>No Registró</v>
      </c>
      <c r="G72" s="359" t="str">
        <f>IFERROR(VLOOKUP([1]!Tabla9[[CEDULA ]],[1]!MIERCOLES[#Data],5,0),"No registró")</f>
        <v>No registró</v>
      </c>
      <c r="H72" s="359" t="str">
        <f>IFERROR(LOOKUP(2,1/([1]!MIERCOLES[[CEDULA ]]=[1]!Tabla9[[#This Row],[CEDULA ]]),[1]!MIERCOLES[HORA]),"No registró")</f>
        <v>No registró</v>
      </c>
      <c r="I72" s="359" t="str">
        <f>IFERROR(VLOOKUP([1]!Tabla9[[CEDULA ]],[1]!JUEVES[#Data],5,0),"No Registró")</f>
        <v>No Registró</v>
      </c>
      <c r="J72" s="359" t="str">
        <f>IFERROR(LOOKUP(2,1/([1]!JUEVES[[CEDULA ]]=[1]!Tabla9[[#This Row],[CEDULA ]]),[1]!JUEVES[HORA]),"No registró")</f>
        <v>No registró</v>
      </c>
      <c r="K72" s="359" t="str">
        <f>IFERROR(VLOOKUP([1]!Tabla9[[CEDULA ]],[1]!VIERNES[#Data],5,0),"No registró")</f>
        <v>No registró</v>
      </c>
      <c r="L72" s="359" t="str">
        <f>IFERROR(LOOKUP(2,1/([1]!VIERNES[[CEDULA ]]=[1]!Tabla9[[#This Row],[CEDULA ]]),[1]!VIERNES[HORA]),"No registró")</f>
        <v>No registró</v>
      </c>
      <c r="M72" s="359" t="str">
        <f>IFERROR(VLOOKUP([1]!Tabla9[[CEDULA ]],[1]!SABADO[#Data],5,0),"No registró")</f>
        <v>No registró</v>
      </c>
      <c r="N72" s="359" t="str">
        <f>IFERROR(LOOKUP(2,1/([1]!SABADO[[CEDULA ]]=[1]!Tabla9[[#This Row],[CEDULA ]]),[1]!SABADO[HORA]),"No registró")</f>
        <v>No registró</v>
      </c>
      <c r="O72" s="359" t="str">
        <f>IFERROR(VLOOKUP([1]!Tabla9[[CEDULA ]],[1]!DOMINGO[#Data],5,0),"No registró")</f>
        <v>No registró</v>
      </c>
      <c r="P72" s="359" t="str">
        <f>IFERROR(LOOKUP(2,1/([1]!DOMINGO[[CEDULA ]]=[1]!Tabla9[[#This Row],[CEDULA ]]),[1]!DOMINGO[HORA]),"No registró")</f>
        <v>No registró</v>
      </c>
      <c r="Q72" s="240">
        <f>IFERROR(VLOOKUP(A72,DATOS[],10,0),"")</f>
        <v>0</v>
      </c>
    </row>
    <row r="73" spans="1:17" x14ac:dyDescent="0.25">
      <c r="A73" s="239">
        <v>6852779</v>
      </c>
      <c r="B73" s="239" t="s">
        <v>1057</v>
      </c>
      <c r="C73" s="359">
        <f>IFERROR(VLOOKUP([1]!Tabla9[[CEDULA ]],[1]!LUNES[#Data],5,0),"No registró")</f>
        <v>0.30266203703703703</v>
      </c>
      <c r="D73" s="359">
        <f>IFERROR(LOOKUP(2,1/([1]!LUNES[[CEDULA ]]=[1]!Tabla9[[#This Row],[CEDULA ]]),[1]!LUNES[HORA]),"No registró")</f>
        <v>0.36469907407407409</v>
      </c>
      <c r="E73" s="359" t="str">
        <f>IFERROR(VLOOKUP([1]!Tabla9[[CEDULA ]],[1]!MARTES[#Data],5,0),"No registró")</f>
        <v>No registró</v>
      </c>
      <c r="F73" s="359" t="str">
        <f>IFERROR(LOOKUP(2,1/([1]!MARTES[[CEDULA ]]=[1]!Tabla9[[#This Row],[CEDULA ]]),[1]!MARTES[HORA]),"No Registró")</f>
        <v>No Registró</v>
      </c>
      <c r="G73" s="359" t="str">
        <f>IFERROR(VLOOKUP([1]!Tabla9[[CEDULA ]],[1]!MIERCOLES[#Data],5,0),"No registró")</f>
        <v>No registró</v>
      </c>
      <c r="H73" s="359" t="str">
        <f>IFERROR(LOOKUP(2,1/([1]!MIERCOLES[[CEDULA ]]=[1]!Tabla9[[#This Row],[CEDULA ]]),[1]!MIERCOLES[HORA]),"No registró")</f>
        <v>No registró</v>
      </c>
      <c r="I73" s="359">
        <f>IFERROR(VLOOKUP([1]!Tabla9[[CEDULA ]],[1]!JUEVES[#Data],5,0),"No Registró")</f>
        <v>0.26269675925925923</v>
      </c>
      <c r="J73" s="360" t="s">
        <v>989</v>
      </c>
      <c r="K73" s="359">
        <f>IFERROR(VLOOKUP([1]!Tabla9[[CEDULA ]],[1]!VIERNES[#Data],5,0),"No registró")</f>
        <v>0.33659722222222221</v>
      </c>
      <c r="L73" s="360" t="s">
        <v>989</v>
      </c>
      <c r="M73" s="359" t="str">
        <f>IFERROR(VLOOKUP([1]!Tabla9[[CEDULA ]],[1]!SABADO[#Data],5,0),"No registró")</f>
        <v>No registró</v>
      </c>
      <c r="N73" s="359" t="str">
        <f>IFERROR(LOOKUP(2,1/([1]!SABADO[[CEDULA ]]=[1]!Tabla9[[#This Row],[CEDULA ]]),[1]!SABADO[HORA]),"No registró")</f>
        <v>No registró</v>
      </c>
      <c r="O73" s="359" t="str">
        <f>IFERROR(VLOOKUP([1]!Tabla9[[CEDULA ]],[1]!DOMINGO[#Data],5,0),"No registró")</f>
        <v>No registró</v>
      </c>
      <c r="P73" s="359" t="str">
        <f>IFERROR(LOOKUP(2,1/([1]!DOMINGO[[CEDULA ]]=[1]!Tabla9[[#This Row],[CEDULA ]]),[1]!DOMINGO[HORA]),"No registró")</f>
        <v>No registró</v>
      </c>
      <c r="Q73" s="240">
        <f>IFERROR(VLOOKUP(A73,DATOS[],10,0),"")</f>
        <v>0</v>
      </c>
    </row>
    <row r="74" spans="1:17" x14ac:dyDescent="0.25">
      <c r="A74" s="239">
        <v>6853002</v>
      </c>
      <c r="B74" s="239" t="s">
        <v>1058</v>
      </c>
      <c r="C74" s="359">
        <f>IFERROR(VLOOKUP([1]!Tabla9[[CEDULA ]],[1]!LUNES[#Data],5,0),"No registró")</f>
        <v>0.29718749999999999</v>
      </c>
      <c r="D74" s="359">
        <f>IFERROR(LOOKUP(2,1/([1]!LUNES[[CEDULA ]]=[1]!Tabla9[[#This Row],[CEDULA ]]),[1]!LUNES[HORA]),"No registró")</f>
        <v>0.55547453703703698</v>
      </c>
      <c r="E74" s="359">
        <f>IFERROR(VLOOKUP([1]!Tabla9[[CEDULA ]],[1]!MARTES[#Data],5,0),"No registró")</f>
        <v>0.3024189814814815</v>
      </c>
      <c r="F74" s="359">
        <f>IFERROR(LOOKUP(2,1/([1]!MARTES[[CEDULA ]]=[1]!Tabla9[[#This Row],[CEDULA ]]),[1]!MARTES[HORA]),"No Registró")</f>
        <v>0.55324074074074081</v>
      </c>
      <c r="G74" s="359" t="str">
        <f>IFERROR(VLOOKUP([1]!Tabla9[[CEDULA ]],[1]!MIERCOLES[#Data],5,0),"No registró")</f>
        <v>No registró</v>
      </c>
      <c r="H74" s="359" t="str">
        <f>IFERROR(LOOKUP(2,1/([1]!MIERCOLES[[CEDULA ]]=[1]!Tabla9[[#This Row],[CEDULA ]]),[1]!MIERCOLES[HORA]),"No registró")</f>
        <v>No registró</v>
      </c>
      <c r="I74" s="359" t="str">
        <f>IFERROR(VLOOKUP([1]!Tabla9[[CEDULA ]],[1]!JUEVES[#Data],5,0),"No Registró")</f>
        <v>No Registró</v>
      </c>
      <c r="J74" s="359" t="str">
        <f>IFERROR(LOOKUP(2,1/([1]!JUEVES[[CEDULA ]]=[1]!Tabla9[[#This Row],[CEDULA ]]),[1]!JUEVES[HORA]),"No registró")</f>
        <v>No registró</v>
      </c>
      <c r="K74" s="359" t="str">
        <f>IFERROR(VLOOKUP([1]!Tabla9[[CEDULA ]],[1]!VIERNES[#Data],5,0),"No registró")</f>
        <v>No registró</v>
      </c>
      <c r="L74" s="359" t="str">
        <f>IFERROR(LOOKUP(2,1/([1]!VIERNES[[CEDULA ]]=[1]!Tabla9[[#This Row],[CEDULA ]]),[1]!VIERNES[HORA]),"No registró")</f>
        <v>No registró</v>
      </c>
      <c r="M74" s="359" t="str">
        <f>IFERROR(VLOOKUP([1]!Tabla9[[CEDULA ]],[1]!SABADO[#Data],5,0),"No registró")</f>
        <v>No registró</v>
      </c>
      <c r="N74" s="359" t="str">
        <f>IFERROR(LOOKUP(2,1/([1]!SABADO[[CEDULA ]]=[1]!Tabla9[[#This Row],[CEDULA ]]),[1]!SABADO[HORA]),"No registró")</f>
        <v>No registró</v>
      </c>
      <c r="O74" s="359" t="str">
        <f>IFERROR(VLOOKUP([1]!Tabla9[[CEDULA ]],[1]!DOMINGO[#Data],5,0),"No registró")</f>
        <v>No registró</v>
      </c>
      <c r="P74" s="359" t="str">
        <f>IFERROR(LOOKUP(2,1/([1]!DOMINGO[[CEDULA ]]=[1]!Tabla9[[#This Row],[CEDULA ]]),[1]!DOMINGO[HORA]),"No registró")</f>
        <v>No registró</v>
      </c>
      <c r="Q74" s="240">
        <f>IFERROR(VLOOKUP(A74,DATOS[],10,0),"")</f>
        <v>0</v>
      </c>
    </row>
    <row r="75" spans="1:17" x14ac:dyDescent="0.25">
      <c r="A75" s="239">
        <v>6853103</v>
      </c>
      <c r="B75" s="239" t="s">
        <v>1059</v>
      </c>
      <c r="C75" s="359">
        <f>IFERROR(VLOOKUP([1]!Tabla9[[CEDULA ]],[1]!LUNES[#Data],5,0),"No registró")</f>
        <v>0.2842824074074074</v>
      </c>
      <c r="D75" s="359">
        <f>IFERROR(LOOKUP(2,1/([1]!LUNES[[CEDULA ]]=[1]!Tabla9[[#This Row],[CEDULA ]]),[1]!LUNES[HORA]),"No registró")</f>
        <v>0.63380787037037034</v>
      </c>
      <c r="E75" s="359">
        <f>IFERROR(VLOOKUP([1]!Tabla9[[CEDULA ]],[1]!MARTES[#Data],5,0),"No registró")</f>
        <v>0.27949074074074076</v>
      </c>
      <c r="F75" s="359">
        <f>IFERROR(LOOKUP(2,1/([1]!MARTES[[CEDULA ]]=[1]!Tabla9[[#This Row],[CEDULA ]]),[1]!MARTES[HORA]),"No Registró")</f>
        <v>0.40440972222222221</v>
      </c>
      <c r="G75" s="359">
        <f>IFERROR(VLOOKUP([1]!Tabla9[[CEDULA ]],[1]!MIERCOLES[#Data],5,0),"No registró")</f>
        <v>0.40622685185185187</v>
      </c>
      <c r="H75" s="359">
        <f>IFERROR(LOOKUP(2,1/([1]!MIERCOLES[[CEDULA ]]=[1]!Tabla9[[#This Row],[CEDULA ]]),[1]!MIERCOLES[HORA]),"No registró")</f>
        <v>0.88043981481481481</v>
      </c>
      <c r="I75" s="359" t="str">
        <f>IFERROR(VLOOKUP([1]!Tabla9[[CEDULA ]],[1]!JUEVES[#Data],5,0),"No Registró")</f>
        <v>No Registró</v>
      </c>
      <c r="J75" s="359" t="str">
        <f>IFERROR(LOOKUP(2,1/([1]!JUEVES[[CEDULA ]]=[1]!Tabla9[[#This Row],[CEDULA ]]),[1]!JUEVES[HORA]),"No registró")</f>
        <v>No registró</v>
      </c>
      <c r="K75" s="359">
        <f>IFERROR(VLOOKUP([1]!Tabla9[[CEDULA ]],[1]!VIERNES[#Data],5,0),"No registró")</f>
        <v>0.29828703703703702</v>
      </c>
      <c r="L75" s="359">
        <f>IFERROR(LOOKUP(2,1/([1]!VIERNES[[CEDULA ]]=[1]!Tabla9[[#This Row],[CEDULA ]]),[1]!VIERNES[HORA]),"No registró")</f>
        <v>0.35380787037037037</v>
      </c>
      <c r="M75" s="359">
        <f>IFERROR(VLOOKUP([1]!Tabla9[[CEDULA ]],[1]!SABADO[#Data],5,0),"No registró")</f>
        <v>0.29149305555555555</v>
      </c>
      <c r="N75" s="359">
        <f>IFERROR(LOOKUP(2,1/([1]!SABADO[[CEDULA ]]=[1]!Tabla9[[#This Row],[CEDULA ]]),[1]!SABADO[HORA]),"No registró")</f>
        <v>0.29184027777777777</v>
      </c>
      <c r="O75" s="359" t="str">
        <f>IFERROR(VLOOKUP([1]!Tabla9[[CEDULA ]],[1]!DOMINGO[#Data],5,0),"No registró")</f>
        <v>No registró</v>
      </c>
      <c r="P75" s="359" t="str">
        <f>IFERROR(LOOKUP(2,1/([1]!DOMINGO[[CEDULA ]]=[1]!Tabla9[[#This Row],[CEDULA ]]),[1]!DOMINGO[HORA]),"No registró")</f>
        <v>No registró</v>
      </c>
      <c r="Q75" s="240" t="str">
        <f>IFERROR(VLOOKUP(A75,DATOS[],10,0),"")</f>
        <v>1. COCHE</v>
      </c>
    </row>
    <row r="76" spans="1:17" x14ac:dyDescent="0.25">
      <c r="A76" s="239">
        <v>6855051</v>
      </c>
      <c r="B76" s="239" t="s">
        <v>674</v>
      </c>
      <c r="C76" s="359">
        <f>IFERROR(VLOOKUP([1]!Tabla9[[CEDULA ]],[1]!LUNES[#Data],5,0),"No registró")</f>
        <v>0.30321759259259257</v>
      </c>
      <c r="D76" s="359">
        <f>IFERROR(LOOKUP(2,1/([1]!LUNES[[CEDULA ]]=[1]!Tabla9[[#This Row],[CEDULA ]]),[1]!LUNES[HORA]),"No registró")</f>
        <v>0.5617361111111111</v>
      </c>
      <c r="E76" s="359" t="str">
        <f>IFERROR(VLOOKUP([1]!Tabla9[[CEDULA ]],[1]!MARTES[#Data],5,0),"No registró")</f>
        <v>No registró</v>
      </c>
      <c r="F76" s="359" t="str">
        <f>IFERROR(LOOKUP(2,1/([1]!MARTES[[CEDULA ]]=[1]!Tabla9[[#This Row],[CEDULA ]]),[1]!MARTES[HORA]),"No Registró")</f>
        <v>No Registró</v>
      </c>
      <c r="G76" s="359" t="str">
        <f>IFERROR(VLOOKUP([1]!Tabla9[[CEDULA ]],[1]!MIERCOLES[#Data],5,0),"No registró")</f>
        <v>No registró</v>
      </c>
      <c r="H76" s="359" t="str">
        <f>IFERROR(LOOKUP(2,1/([1]!MIERCOLES[[CEDULA ]]=[1]!Tabla9[[#This Row],[CEDULA ]]),[1]!MIERCOLES[HORA]),"No registró")</f>
        <v>No registró</v>
      </c>
      <c r="I76" s="359" t="str">
        <f>IFERROR(VLOOKUP([1]!Tabla9[[CEDULA ]],[1]!JUEVES[#Data],5,0),"No Registró")</f>
        <v>No Registró</v>
      </c>
      <c r="J76" s="359" t="str">
        <f>IFERROR(LOOKUP(2,1/([1]!JUEVES[[CEDULA ]]=[1]!Tabla9[[#This Row],[CEDULA ]]),[1]!JUEVES[HORA]),"No registró")</f>
        <v>No registró</v>
      </c>
      <c r="K76" s="359" t="str">
        <f>IFERROR(VLOOKUP([1]!Tabla9[[CEDULA ]],[1]!VIERNES[#Data],5,0),"No registró")</f>
        <v>No registró</v>
      </c>
      <c r="L76" s="359" t="str">
        <f>IFERROR(LOOKUP(2,1/([1]!VIERNES[[CEDULA ]]=[1]!Tabla9[[#This Row],[CEDULA ]]),[1]!VIERNES[HORA]),"No registró")</f>
        <v>No registró</v>
      </c>
      <c r="M76" s="359" t="str">
        <f>IFERROR(VLOOKUP([1]!Tabla9[[CEDULA ]],[1]!SABADO[#Data],5,0),"No registró")</f>
        <v>No registró</v>
      </c>
      <c r="N76" s="359" t="str">
        <f>IFERROR(LOOKUP(2,1/([1]!SABADO[[CEDULA ]]=[1]!Tabla9[[#This Row],[CEDULA ]]),[1]!SABADO[HORA]),"No registró")</f>
        <v>No registró</v>
      </c>
      <c r="O76" s="359" t="str">
        <f>IFERROR(VLOOKUP([1]!Tabla9[[CEDULA ]],[1]!DOMINGO[#Data],5,0),"No registró")</f>
        <v>No registró</v>
      </c>
      <c r="P76" s="359" t="str">
        <f>IFERROR(LOOKUP(2,1/([1]!DOMINGO[[CEDULA ]]=[1]!Tabla9[[#This Row],[CEDULA ]]),[1]!DOMINGO[HORA]),"No registró")</f>
        <v>No registró</v>
      </c>
      <c r="Q76" s="240" t="str">
        <f>IFERROR(VLOOKUP(A76,DATOS[],10,0),"")</f>
        <v>0. ALTO NIVEL</v>
      </c>
    </row>
    <row r="77" spans="1:17" x14ac:dyDescent="0.25">
      <c r="A77" s="239">
        <v>6855894</v>
      </c>
      <c r="B77" s="239" t="s">
        <v>1060</v>
      </c>
      <c r="C77" s="359">
        <f>IFERROR(VLOOKUP([1]!Tabla9[[CEDULA ]],[1]!LUNES[#Data],5,0),"No registró")</f>
        <v>0.31001157407407409</v>
      </c>
      <c r="D77" s="359">
        <f>IFERROR(LOOKUP(2,1/([1]!LUNES[[CEDULA ]]=[1]!Tabla9[[#This Row],[CEDULA ]]),[1]!LUNES[HORA]),"No registró")</f>
        <v>0.73866898148148152</v>
      </c>
      <c r="E77" s="359">
        <f>IFERROR(VLOOKUP([1]!Tabla9[[CEDULA ]],[1]!MARTES[#Data],5,0),"No registró")</f>
        <v>0.31212962962962965</v>
      </c>
      <c r="F77" s="359">
        <f>IFERROR(LOOKUP(2,1/([1]!MARTES[[CEDULA ]]=[1]!Tabla9[[#This Row],[CEDULA ]]),[1]!MARTES[HORA]),"No Registró")</f>
        <v>0.73697916666666663</v>
      </c>
      <c r="G77" s="359" t="str">
        <f>IFERROR(VLOOKUP([1]!Tabla9[[CEDULA ]],[1]!MIERCOLES[#Data],5,0),"No registró")</f>
        <v>No registró</v>
      </c>
      <c r="H77" s="359" t="str">
        <f>IFERROR(LOOKUP(2,1/([1]!MIERCOLES[[CEDULA ]]=[1]!Tabla9[[#This Row],[CEDULA ]]),[1]!MIERCOLES[HORA]),"No registró")</f>
        <v>No registró</v>
      </c>
      <c r="I77" s="359" t="str">
        <f>IFERROR(VLOOKUP([1]!Tabla9[[CEDULA ]],[1]!JUEVES[#Data],5,0),"No Registró")</f>
        <v>No Registró</v>
      </c>
      <c r="J77" s="359" t="str">
        <f>IFERROR(LOOKUP(2,1/([1]!JUEVES[[CEDULA ]]=[1]!Tabla9[[#This Row],[CEDULA ]]),[1]!JUEVES[HORA]),"No registró")</f>
        <v>No registró</v>
      </c>
      <c r="K77" s="359" t="str">
        <f>IFERROR(VLOOKUP([1]!Tabla9[[CEDULA ]],[1]!VIERNES[#Data],5,0),"No registró")</f>
        <v>No registró</v>
      </c>
      <c r="L77" s="359" t="str">
        <f>IFERROR(LOOKUP(2,1/([1]!VIERNES[[CEDULA ]]=[1]!Tabla9[[#This Row],[CEDULA ]]),[1]!VIERNES[HORA]),"No registró")</f>
        <v>No registró</v>
      </c>
      <c r="M77" s="359" t="str">
        <f>IFERROR(VLOOKUP([1]!Tabla9[[CEDULA ]],[1]!SABADO[#Data],5,0),"No registró")</f>
        <v>No registró</v>
      </c>
      <c r="N77" s="359" t="str">
        <f>IFERROR(LOOKUP(2,1/([1]!SABADO[[CEDULA ]]=[1]!Tabla9[[#This Row],[CEDULA ]]),[1]!SABADO[HORA]),"No registró")</f>
        <v>No registró</v>
      </c>
      <c r="O77" s="359" t="str">
        <f>IFERROR(VLOOKUP([1]!Tabla9[[CEDULA ]],[1]!DOMINGO[#Data],5,0),"No registró")</f>
        <v>No registró</v>
      </c>
      <c r="P77" s="359" t="str">
        <f>IFERROR(LOOKUP(2,1/([1]!DOMINGO[[CEDULA ]]=[1]!Tabla9[[#This Row],[CEDULA ]]),[1]!DOMINGO[HORA]),"No registró")</f>
        <v>No registró</v>
      </c>
      <c r="Q77" s="240">
        <f>IFERROR(VLOOKUP(A77,DATOS[],10,0),"")</f>
        <v>0</v>
      </c>
    </row>
    <row r="78" spans="1:17" x14ac:dyDescent="0.25">
      <c r="A78" s="239">
        <v>6857823</v>
      </c>
      <c r="B78" s="239" t="s">
        <v>1061</v>
      </c>
      <c r="C78" s="359">
        <f>IFERROR(VLOOKUP([1]!Tabla9[[CEDULA ]],[1]!LUNES[#Data],5,0),"No registró")</f>
        <v>0.27810185185185182</v>
      </c>
      <c r="D78" s="359">
        <f>IFERROR(LOOKUP(2,1/([1]!LUNES[[CEDULA ]]=[1]!Tabla9[[#This Row],[CEDULA ]]),[1]!LUNES[HORA]),"No registró")</f>
        <v>0.70292824074074067</v>
      </c>
      <c r="E78" s="359">
        <f>IFERROR(VLOOKUP([1]!Tabla9[[CEDULA ]],[1]!MARTES[#Data],5,0),"No registró")</f>
        <v>0.278287037037037</v>
      </c>
      <c r="F78" s="359">
        <f>IFERROR(LOOKUP(2,1/([1]!MARTES[[CEDULA ]]=[1]!Tabla9[[#This Row],[CEDULA ]]),[1]!MARTES[HORA]),"No Registró")</f>
        <v>0.77935185185185185</v>
      </c>
      <c r="G78" s="359" t="str">
        <f>IFERROR(VLOOKUP([1]!Tabla9[[CEDULA ]],[1]!MIERCOLES[#Data],5,0),"No registró")</f>
        <v>No registró</v>
      </c>
      <c r="H78" s="359" t="str">
        <f>IFERROR(LOOKUP(2,1/([1]!MIERCOLES[[CEDULA ]]=[1]!Tabla9[[#This Row],[CEDULA ]]),[1]!MIERCOLES[HORA]),"No registró")</f>
        <v>No registró</v>
      </c>
      <c r="I78" s="359" t="str">
        <f>IFERROR(VLOOKUP([1]!Tabla9[[CEDULA ]],[1]!JUEVES[#Data],5,0),"No Registró")</f>
        <v>No Registró</v>
      </c>
      <c r="J78" s="359" t="str">
        <f>IFERROR(LOOKUP(2,1/([1]!JUEVES[[CEDULA ]]=[1]!Tabla9[[#This Row],[CEDULA ]]),[1]!JUEVES[HORA]),"No registró")</f>
        <v>No registró</v>
      </c>
      <c r="K78" s="359" t="str">
        <f>IFERROR(VLOOKUP([1]!Tabla9[[CEDULA ]],[1]!VIERNES[#Data],5,0),"No registró")</f>
        <v>No registró</v>
      </c>
      <c r="L78" s="359" t="str">
        <f>IFERROR(LOOKUP(2,1/([1]!VIERNES[[CEDULA ]]=[1]!Tabla9[[#This Row],[CEDULA ]]),[1]!VIERNES[HORA]),"No registró")</f>
        <v>No registró</v>
      </c>
      <c r="M78" s="359" t="str">
        <f>IFERROR(VLOOKUP([1]!Tabla9[[CEDULA ]],[1]!SABADO[#Data],5,0),"No registró")</f>
        <v>No registró</v>
      </c>
      <c r="N78" s="359" t="str">
        <f>IFERROR(LOOKUP(2,1/([1]!SABADO[[CEDULA ]]=[1]!Tabla9[[#This Row],[CEDULA ]]),[1]!SABADO[HORA]),"No registró")</f>
        <v>No registró</v>
      </c>
      <c r="O78" s="359" t="str">
        <f>IFERROR(VLOOKUP([1]!Tabla9[[CEDULA ]],[1]!DOMINGO[#Data],5,0),"No registró")</f>
        <v>No registró</v>
      </c>
      <c r="P78" s="359" t="str">
        <f>IFERROR(LOOKUP(2,1/([1]!DOMINGO[[CEDULA ]]=[1]!Tabla9[[#This Row],[CEDULA ]]),[1]!DOMINGO[HORA]),"No registró")</f>
        <v>No registró</v>
      </c>
      <c r="Q78" s="240" t="str">
        <f>IFERROR(VLOOKUP(A78,DATOS[],10,0),"")</f>
        <v>1. COCHE</v>
      </c>
    </row>
    <row r="79" spans="1:17" x14ac:dyDescent="0.25">
      <c r="A79" s="239">
        <v>6859321</v>
      </c>
      <c r="B79" s="239" t="s">
        <v>1062</v>
      </c>
      <c r="C79" s="359">
        <f>IFERROR(VLOOKUP([1]!Tabla9[[CEDULA ]],[1]!LUNES[#Data],5,0),"No registró")</f>
        <v>0.33381944444444445</v>
      </c>
      <c r="D79" s="359">
        <f>IFERROR(LOOKUP(2,1/([1]!LUNES[[CEDULA ]]=[1]!Tabla9[[#This Row],[CEDULA ]]),[1]!LUNES[HORA]),"No registró")</f>
        <v>0.5628819444444445</v>
      </c>
      <c r="E79" s="359">
        <f>IFERROR(VLOOKUP([1]!Tabla9[[CEDULA ]],[1]!MARTES[#Data],5,0),"No registró")</f>
        <v>0.3656712962962963</v>
      </c>
      <c r="F79" s="359">
        <f>IFERROR(LOOKUP(2,1/([1]!MARTES[[CEDULA ]]=[1]!Tabla9[[#This Row],[CEDULA ]]),[1]!MARTES[HORA]),"No Registró")</f>
        <v>0.57770833333333338</v>
      </c>
      <c r="G79" s="359" t="str">
        <f>IFERROR(VLOOKUP([1]!Tabla9[[CEDULA ]],[1]!MIERCOLES[#Data],5,0),"No registró")</f>
        <v>No registró</v>
      </c>
      <c r="H79" s="359" t="str">
        <f>IFERROR(LOOKUP(2,1/([1]!MIERCOLES[[CEDULA ]]=[1]!Tabla9[[#This Row],[CEDULA ]]),[1]!MIERCOLES[HORA]),"No registró")</f>
        <v>No registró</v>
      </c>
      <c r="I79" s="359" t="str">
        <f>IFERROR(VLOOKUP([1]!Tabla9[[CEDULA ]],[1]!JUEVES[#Data],5,0),"No Registró")</f>
        <v>No Registró</v>
      </c>
      <c r="J79" s="359" t="str">
        <f>IFERROR(LOOKUP(2,1/([1]!JUEVES[[CEDULA ]]=[1]!Tabla9[[#This Row],[CEDULA ]]),[1]!JUEVES[HORA]),"No registró")</f>
        <v>No registró</v>
      </c>
      <c r="K79" s="359" t="str">
        <f>IFERROR(VLOOKUP([1]!Tabla9[[CEDULA ]],[1]!VIERNES[#Data],5,0),"No registró")</f>
        <v>No registró</v>
      </c>
      <c r="L79" s="359" t="str">
        <f>IFERROR(LOOKUP(2,1/([1]!VIERNES[[CEDULA ]]=[1]!Tabla9[[#This Row],[CEDULA ]]),[1]!VIERNES[HORA]),"No registró")</f>
        <v>No registró</v>
      </c>
      <c r="M79" s="359" t="str">
        <f>IFERROR(VLOOKUP([1]!Tabla9[[CEDULA ]],[1]!SABADO[#Data],5,0),"No registró")</f>
        <v>No registró</v>
      </c>
      <c r="N79" s="359" t="str">
        <f>IFERROR(LOOKUP(2,1/([1]!SABADO[[CEDULA ]]=[1]!Tabla9[[#This Row],[CEDULA ]]),[1]!SABADO[HORA]),"No registró")</f>
        <v>No registró</v>
      </c>
      <c r="O79" s="359" t="str">
        <f>IFERROR(VLOOKUP([1]!Tabla9[[CEDULA ]],[1]!DOMINGO[#Data],5,0),"No registró")</f>
        <v>No registró</v>
      </c>
      <c r="P79" s="359" t="str">
        <f>IFERROR(LOOKUP(2,1/([1]!DOMINGO[[CEDULA ]]=[1]!Tabla9[[#This Row],[CEDULA ]]),[1]!DOMINGO[HORA]),"No registró")</f>
        <v>No registró</v>
      </c>
      <c r="Q79" s="240" t="str">
        <f>IFERROR(VLOOKUP(A79,DATOS[],10,0),"")</f>
        <v>0. ALTO NIVEL</v>
      </c>
    </row>
    <row r="80" spans="1:17" x14ac:dyDescent="0.25">
      <c r="A80" s="239">
        <v>6862537</v>
      </c>
      <c r="B80" s="239" t="s">
        <v>1063</v>
      </c>
      <c r="C80" s="359">
        <f>IFERROR(VLOOKUP([1]!Tabla9[[CEDULA ]],[1]!LUNES[#Data],5,0),"No registró")</f>
        <v>0.30836805555555552</v>
      </c>
      <c r="D80" s="359">
        <f>IFERROR(LOOKUP(2,1/([1]!LUNES[[CEDULA ]]=[1]!Tabla9[[#This Row],[CEDULA ]]),[1]!LUNES[HORA]),"No registró")</f>
        <v>0.55460648148148151</v>
      </c>
      <c r="E80" s="359">
        <f>IFERROR(VLOOKUP([1]!Tabla9[[CEDULA ]],[1]!MARTES[#Data],5,0),"No registró")</f>
        <v>0.31461805555555555</v>
      </c>
      <c r="F80" s="359">
        <f>IFERROR(LOOKUP(2,1/([1]!MARTES[[CEDULA ]]=[1]!Tabla9[[#This Row],[CEDULA ]]),[1]!MARTES[HORA]),"No Registró")</f>
        <v>0.58996527777777785</v>
      </c>
      <c r="G80" s="359" t="str">
        <f>IFERROR(VLOOKUP([1]!Tabla9[[CEDULA ]],[1]!MIERCOLES[#Data],5,0),"No registró")</f>
        <v>No registró</v>
      </c>
      <c r="H80" s="359" t="str">
        <f>IFERROR(LOOKUP(2,1/([1]!MIERCOLES[[CEDULA ]]=[1]!Tabla9[[#This Row],[CEDULA ]]),[1]!MIERCOLES[HORA]),"No registró")</f>
        <v>No registró</v>
      </c>
      <c r="I80" s="359" t="str">
        <f>IFERROR(VLOOKUP([1]!Tabla9[[CEDULA ]],[1]!JUEVES[#Data],5,0),"No Registró")</f>
        <v>No Registró</v>
      </c>
      <c r="J80" s="359" t="str">
        <f>IFERROR(LOOKUP(2,1/([1]!JUEVES[[CEDULA ]]=[1]!Tabla9[[#This Row],[CEDULA ]]),[1]!JUEVES[HORA]),"No registró")</f>
        <v>No registró</v>
      </c>
      <c r="K80" s="359" t="str">
        <f>IFERROR(VLOOKUP([1]!Tabla9[[CEDULA ]],[1]!VIERNES[#Data],5,0),"No registró")</f>
        <v>No registró</v>
      </c>
      <c r="L80" s="359" t="str">
        <f>IFERROR(LOOKUP(2,1/([1]!VIERNES[[CEDULA ]]=[1]!Tabla9[[#This Row],[CEDULA ]]),[1]!VIERNES[HORA]),"No registró")</f>
        <v>No registró</v>
      </c>
      <c r="M80" s="359" t="str">
        <f>IFERROR(VLOOKUP([1]!Tabla9[[CEDULA ]],[1]!SABADO[#Data],5,0),"No registró")</f>
        <v>No registró</v>
      </c>
      <c r="N80" s="359" t="str">
        <f>IFERROR(LOOKUP(2,1/([1]!SABADO[[CEDULA ]]=[1]!Tabla9[[#This Row],[CEDULA ]]),[1]!SABADO[HORA]),"No registró")</f>
        <v>No registró</v>
      </c>
      <c r="O80" s="359" t="str">
        <f>IFERROR(VLOOKUP([1]!Tabla9[[CEDULA ]],[1]!DOMINGO[#Data],5,0),"No registró")</f>
        <v>No registró</v>
      </c>
      <c r="P80" s="359" t="str">
        <f>IFERROR(LOOKUP(2,1/([1]!DOMINGO[[CEDULA ]]=[1]!Tabla9[[#This Row],[CEDULA ]]),[1]!DOMINGO[HORA]),"No registró")</f>
        <v>No registró</v>
      </c>
      <c r="Q80" s="240" t="str">
        <f>IFERROR(VLOOKUP(A80,DATOS[],10,0),"")</f>
        <v>2. CATIA</v>
      </c>
    </row>
    <row r="81" spans="1:17" x14ac:dyDescent="0.25">
      <c r="A81" s="239">
        <v>6877349</v>
      </c>
      <c r="B81" s="239" t="s">
        <v>1064</v>
      </c>
      <c r="C81" s="359">
        <f>IFERROR(VLOOKUP([1]!Tabla9[[CEDULA ]],[1]!LUNES[#Data],5,0),"No registró")</f>
        <v>0.31934027777777779</v>
      </c>
      <c r="D81" s="359">
        <f>IFERROR(LOOKUP(2,1/([1]!LUNES[[CEDULA ]]=[1]!Tabla9[[#This Row],[CEDULA ]]),[1]!LUNES[HORA]),"No registró")</f>
        <v>0.58332175925925933</v>
      </c>
      <c r="E81" s="359">
        <f>IFERROR(VLOOKUP([1]!Tabla9[[CEDULA ]],[1]!MARTES[#Data],5,0),"No registró")</f>
        <v>0.31187500000000001</v>
      </c>
      <c r="F81" s="359">
        <f>IFERROR(LOOKUP(2,1/([1]!MARTES[[CEDULA ]]=[1]!Tabla9[[#This Row],[CEDULA ]]),[1]!MARTES[HORA]),"No Registró")</f>
        <v>0.5914814814814815</v>
      </c>
      <c r="G81" s="359" t="str">
        <f>IFERROR(VLOOKUP([1]!Tabla9[[CEDULA ]],[1]!MIERCOLES[#Data],5,0),"No registró")</f>
        <v>No registró</v>
      </c>
      <c r="H81" s="359" t="str">
        <f>IFERROR(LOOKUP(2,1/([1]!MIERCOLES[[CEDULA ]]=[1]!Tabla9[[#This Row],[CEDULA ]]),[1]!MIERCOLES[HORA]),"No registró")</f>
        <v>No registró</v>
      </c>
      <c r="I81" s="359" t="str">
        <f>IFERROR(VLOOKUP([1]!Tabla9[[CEDULA ]],[1]!JUEVES[#Data],5,0),"No Registró")</f>
        <v>No Registró</v>
      </c>
      <c r="J81" s="359" t="str">
        <f>IFERROR(LOOKUP(2,1/([1]!JUEVES[[CEDULA ]]=[1]!Tabla9[[#This Row],[CEDULA ]]),[1]!JUEVES[HORA]),"No registró")</f>
        <v>No registró</v>
      </c>
      <c r="K81" s="359" t="str">
        <f>IFERROR(VLOOKUP([1]!Tabla9[[CEDULA ]],[1]!VIERNES[#Data],5,0),"No registró")</f>
        <v>No registró</v>
      </c>
      <c r="L81" s="359" t="str">
        <f>IFERROR(LOOKUP(2,1/([1]!VIERNES[[CEDULA ]]=[1]!Tabla9[[#This Row],[CEDULA ]]),[1]!VIERNES[HORA]),"No registró")</f>
        <v>No registró</v>
      </c>
      <c r="M81" s="359" t="str">
        <f>IFERROR(VLOOKUP([1]!Tabla9[[CEDULA ]],[1]!SABADO[#Data],5,0),"No registró")</f>
        <v>No registró</v>
      </c>
      <c r="N81" s="359" t="str">
        <f>IFERROR(LOOKUP(2,1/([1]!SABADO[[CEDULA ]]=[1]!Tabla9[[#This Row],[CEDULA ]]),[1]!SABADO[HORA]),"No registró")</f>
        <v>No registró</v>
      </c>
      <c r="O81" s="359" t="str">
        <f>IFERROR(VLOOKUP([1]!Tabla9[[CEDULA ]],[1]!DOMINGO[#Data],5,0),"No registró")</f>
        <v>No registró</v>
      </c>
      <c r="P81" s="359" t="str">
        <f>IFERROR(LOOKUP(2,1/([1]!DOMINGO[[CEDULA ]]=[1]!Tabla9[[#This Row],[CEDULA ]]),[1]!DOMINGO[HORA]),"No registró")</f>
        <v>No registró</v>
      </c>
      <c r="Q81" s="240">
        <f>IFERROR(VLOOKUP(A81,DATOS[],10,0),"")</f>
        <v>0</v>
      </c>
    </row>
    <row r="82" spans="1:17" x14ac:dyDescent="0.25">
      <c r="A82" s="239">
        <v>6892033</v>
      </c>
      <c r="B82" s="239" t="s">
        <v>1065</v>
      </c>
      <c r="C82" s="359" t="str">
        <f>IFERROR(VLOOKUP([1]!Tabla9[[CEDULA ]],[1]!LUNES[#Data],5,0),"No registró")</f>
        <v>No registró</v>
      </c>
      <c r="D82" s="359" t="str">
        <f>IFERROR(LOOKUP(2,1/([1]!LUNES[[CEDULA ]]=[1]!Tabla9[[#This Row],[CEDULA ]]),[1]!LUNES[HORA]),"No registró")</f>
        <v>No registró</v>
      </c>
      <c r="E82" s="359">
        <f>IFERROR(VLOOKUP([1]!Tabla9[[CEDULA ]],[1]!MARTES[#Data],5,0),"No registró")</f>
        <v>0.37474537037037042</v>
      </c>
      <c r="F82" s="359">
        <f>IFERROR(LOOKUP(2,1/([1]!MARTES[[CEDULA ]]=[1]!Tabla9[[#This Row],[CEDULA ]]),[1]!MARTES[HORA]),"No Registró")</f>
        <v>0.55238425925925927</v>
      </c>
      <c r="G82" s="359" t="str">
        <f>IFERROR(VLOOKUP([1]!Tabla9[[CEDULA ]],[1]!MIERCOLES[#Data],5,0),"No registró")</f>
        <v>No registró</v>
      </c>
      <c r="H82" s="359" t="str">
        <f>IFERROR(LOOKUP(2,1/([1]!MIERCOLES[[CEDULA ]]=[1]!Tabla9[[#This Row],[CEDULA ]]),[1]!MIERCOLES[HORA]),"No registró")</f>
        <v>No registró</v>
      </c>
      <c r="I82" s="359" t="str">
        <f>IFERROR(VLOOKUP([1]!Tabla9[[CEDULA ]],[1]!JUEVES[#Data],5,0),"No Registró")</f>
        <v>No Registró</v>
      </c>
      <c r="J82" s="359" t="str">
        <f>IFERROR(LOOKUP(2,1/([1]!JUEVES[[CEDULA ]]=[1]!Tabla9[[#This Row],[CEDULA ]]),[1]!JUEVES[HORA]),"No registró")</f>
        <v>No registró</v>
      </c>
      <c r="K82" s="359" t="str">
        <f>IFERROR(VLOOKUP([1]!Tabla9[[CEDULA ]],[1]!VIERNES[#Data],5,0),"No registró")</f>
        <v>No registró</v>
      </c>
      <c r="L82" s="359" t="str">
        <f>IFERROR(LOOKUP(2,1/([1]!VIERNES[[CEDULA ]]=[1]!Tabla9[[#This Row],[CEDULA ]]),[1]!VIERNES[HORA]),"No registró")</f>
        <v>No registró</v>
      </c>
      <c r="M82" s="359" t="str">
        <f>IFERROR(VLOOKUP([1]!Tabla9[[CEDULA ]],[1]!SABADO[#Data],5,0),"No registró")</f>
        <v>No registró</v>
      </c>
      <c r="N82" s="359" t="str">
        <f>IFERROR(LOOKUP(2,1/([1]!SABADO[[CEDULA ]]=[1]!Tabla9[[#This Row],[CEDULA ]]),[1]!SABADO[HORA]),"No registró")</f>
        <v>No registró</v>
      </c>
      <c r="O82" s="359" t="str">
        <f>IFERROR(VLOOKUP([1]!Tabla9[[CEDULA ]],[1]!DOMINGO[#Data],5,0),"No registró")</f>
        <v>No registró</v>
      </c>
      <c r="P82" s="359" t="str">
        <f>IFERROR(LOOKUP(2,1/([1]!DOMINGO[[CEDULA ]]=[1]!Tabla9[[#This Row],[CEDULA ]]),[1]!DOMINGO[HORA]),"No registró")</f>
        <v>No registró</v>
      </c>
      <c r="Q82" s="240" t="str">
        <f>IFERROR(VLOOKUP(A82,DATOS[],10,0),"")</f>
        <v>4. VALLES DEL TUY</v>
      </c>
    </row>
    <row r="83" spans="1:17" x14ac:dyDescent="0.25">
      <c r="A83" s="239">
        <v>6898719</v>
      </c>
      <c r="B83" s="239" t="s">
        <v>1066</v>
      </c>
      <c r="C83" s="359">
        <f>IFERROR(VLOOKUP([1]!Tabla9[[CEDULA ]],[1]!LUNES[#Data],5,0),"No registró")</f>
        <v>0.29418981481481482</v>
      </c>
      <c r="D83" s="359">
        <f>IFERROR(LOOKUP(2,1/([1]!LUNES[[CEDULA ]]=[1]!Tabla9[[#This Row],[CEDULA ]]),[1]!LUNES[HORA]),"No registró")</f>
        <v>0.55193287037037042</v>
      </c>
      <c r="E83" s="359">
        <f>IFERROR(VLOOKUP([1]!Tabla9[[CEDULA ]],[1]!MARTES[#Data],5,0),"No registró")</f>
        <v>0.30444444444444446</v>
      </c>
      <c r="F83" s="359">
        <f>IFERROR(LOOKUP(2,1/([1]!MARTES[[CEDULA ]]=[1]!Tabla9[[#This Row],[CEDULA ]]),[1]!MARTES[HORA]),"No Registró")</f>
        <v>0.55055555555555558</v>
      </c>
      <c r="G83" s="359" t="str">
        <f>IFERROR(VLOOKUP([1]!Tabla9[[CEDULA ]],[1]!MIERCOLES[#Data],5,0),"No registró")</f>
        <v>No registró</v>
      </c>
      <c r="H83" s="359" t="str">
        <f>IFERROR(LOOKUP(2,1/([1]!MIERCOLES[[CEDULA ]]=[1]!Tabla9[[#This Row],[CEDULA ]]),[1]!MIERCOLES[HORA]),"No registró")</f>
        <v>No registró</v>
      </c>
      <c r="I83" s="359" t="str">
        <f>IFERROR(VLOOKUP([1]!Tabla9[[CEDULA ]],[1]!JUEVES[#Data],5,0),"No Registró")</f>
        <v>No Registró</v>
      </c>
      <c r="J83" s="359" t="str">
        <f>IFERROR(LOOKUP(2,1/([1]!JUEVES[[CEDULA ]]=[1]!Tabla9[[#This Row],[CEDULA ]]),[1]!JUEVES[HORA]),"No registró")</f>
        <v>No registró</v>
      </c>
      <c r="K83" s="359" t="str">
        <f>IFERROR(VLOOKUP([1]!Tabla9[[CEDULA ]],[1]!VIERNES[#Data],5,0),"No registró")</f>
        <v>No registró</v>
      </c>
      <c r="L83" s="359" t="str">
        <f>IFERROR(LOOKUP(2,1/([1]!VIERNES[[CEDULA ]]=[1]!Tabla9[[#This Row],[CEDULA ]]),[1]!VIERNES[HORA]),"No registró")</f>
        <v>No registró</v>
      </c>
      <c r="M83" s="359" t="str">
        <f>IFERROR(VLOOKUP([1]!Tabla9[[CEDULA ]],[1]!SABADO[#Data],5,0),"No registró")</f>
        <v>No registró</v>
      </c>
      <c r="N83" s="359" t="str">
        <f>IFERROR(LOOKUP(2,1/([1]!SABADO[[CEDULA ]]=[1]!Tabla9[[#This Row],[CEDULA ]]),[1]!SABADO[HORA]),"No registró")</f>
        <v>No registró</v>
      </c>
      <c r="O83" s="359" t="str">
        <f>IFERROR(VLOOKUP([1]!Tabla9[[CEDULA ]],[1]!DOMINGO[#Data],5,0),"No registró")</f>
        <v>No registró</v>
      </c>
      <c r="P83" s="359" t="str">
        <f>IFERROR(LOOKUP(2,1/([1]!DOMINGO[[CEDULA ]]=[1]!Tabla9[[#This Row],[CEDULA ]]),[1]!DOMINGO[HORA]),"No registró")</f>
        <v>No registró</v>
      </c>
      <c r="Q83" s="240">
        <f>IFERROR(VLOOKUP(A83,DATOS[],10,0),"")</f>
        <v>0</v>
      </c>
    </row>
    <row r="84" spans="1:17" x14ac:dyDescent="0.25">
      <c r="A84" s="239">
        <v>6899191</v>
      </c>
      <c r="B84" s="239" t="s">
        <v>1067</v>
      </c>
      <c r="C84" s="359">
        <f>IFERROR(VLOOKUP([1]!Tabla9[[CEDULA ]],[1]!LUNES[#Data],5,0),"No registró")</f>
        <v>0.28109953703703705</v>
      </c>
      <c r="D84" s="359">
        <f>IFERROR(LOOKUP(2,1/([1]!LUNES[[CEDULA ]]=[1]!Tabla9[[#This Row],[CEDULA ]]),[1]!LUNES[HORA]),"No registró")</f>
        <v>0.34958333333333336</v>
      </c>
      <c r="E84" s="359">
        <f>IFERROR(VLOOKUP([1]!Tabla9[[CEDULA ]],[1]!MARTES[#Data],5,0),"No registró")</f>
        <v>0.28751157407407407</v>
      </c>
      <c r="F84" s="359">
        <f>IFERROR(LOOKUP(2,1/([1]!MARTES[[CEDULA ]]=[1]!Tabla9[[#This Row],[CEDULA ]]),[1]!MARTES[HORA]),"No Registró")</f>
        <v>0.55233796296296289</v>
      </c>
      <c r="G84" s="359" t="str">
        <f>IFERROR(VLOOKUP([1]!Tabla9[[CEDULA ]],[1]!MIERCOLES[#Data],5,0),"No registró")</f>
        <v>No registró</v>
      </c>
      <c r="H84" s="359" t="str">
        <f>IFERROR(LOOKUP(2,1/([1]!MIERCOLES[[CEDULA ]]=[1]!Tabla9[[#This Row],[CEDULA ]]),[1]!MIERCOLES[HORA]),"No registró")</f>
        <v>No registró</v>
      </c>
      <c r="I84" s="359" t="str">
        <f>IFERROR(VLOOKUP([1]!Tabla9[[CEDULA ]],[1]!JUEVES[#Data],5,0),"No Registró")</f>
        <v>No Registró</v>
      </c>
      <c r="J84" s="359" t="str">
        <f>IFERROR(LOOKUP(2,1/([1]!JUEVES[[CEDULA ]]=[1]!Tabla9[[#This Row],[CEDULA ]]),[1]!JUEVES[HORA]),"No registró")</f>
        <v>No registró</v>
      </c>
      <c r="K84" s="359" t="str">
        <f>IFERROR(VLOOKUP([1]!Tabla9[[CEDULA ]],[1]!VIERNES[#Data],5,0),"No registró")</f>
        <v>No registró</v>
      </c>
      <c r="L84" s="359" t="str">
        <f>IFERROR(LOOKUP(2,1/([1]!VIERNES[[CEDULA ]]=[1]!Tabla9[[#This Row],[CEDULA ]]),[1]!VIERNES[HORA]),"No registró")</f>
        <v>No registró</v>
      </c>
      <c r="M84" s="359" t="str">
        <f>IFERROR(VLOOKUP([1]!Tabla9[[CEDULA ]],[1]!SABADO[#Data],5,0),"No registró")</f>
        <v>No registró</v>
      </c>
      <c r="N84" s="359" t="str">
        <f>IFERROR(LOOKUP(2,1/([1]!SABADO[[CEDULA ]]=[1]!Tabla9[[#This Row],[CEDULA ]]),[1]!SABADO[HORA]),"No registró")</f>
        <v>No registró</v>
      </c>
      <c r="O84" s="359" t="str">
        <f>IFERROR(VLOOKUP([1]!Tabla9[[CEDULA ]],[1]!DOMINGO[#Data],5,0),"No registró")</f>
        <v>No registró</v>
      </c>
      <c r="P84" s="359" t="str">
        <f>IFERROR(LOOKUP(2,1/([1]!DOMINGO[[CEDULA ]]=[1]!Tabla9[[#This Row],[CEDULA ]]),[1]!DOMINGO[HORA]),"No registró")</f>
        <v>No registró</v>
      </c>
      <c r="Q84" s="240" t="str">
        <f>IFERROR(VLOOKUP(A84,DATOS[],10,0),"")</f>
        <v>2. CATIA</v>
      </c>
    </row>
    <row r="85" spans="1:17" x14ac:dyDescent="0.25">
      <c r="A85" s="239">
        <v>6916826</v>
      </c>
      <c r="B85" s="239" t="s">
        <v>1068</v>
      </c>
      <c r="C85" s="359">
        <f>IFERROR(VLOOKUP([1]!Tabla9[[CEDULA ]],[1]!LUNES[#Data],5,0),"No registró")</f>
        <v>0.30268518518518517</v>
      </c>
      <c r="D85" s="359">
        <f>IFERROR(LOOKUP(2,1/([1]!LUNES[[CEDULA ]]=[1]!Tabla9[[#This Row],[CEDULA ]]),[1]!LUNES[HORA]),"No registró")</f>
        <v>0.56270833333333337</v>
      </c>
      <c r="E85" s="359">
        <f>IFERROR(VLOOKUP([1]!Tabla9[[CEDULA ]],[1]!MARTES[#Data],5,0),"No registró")</f>
        <v>0.30085648148148147</v>
      </c>
      <c r="F85" s="359">
        <f>IFERROR(LOOKUP(2,1/([1]!MARTES[[CEDULA ]]=[1]!Tabla9[[#This Row],[CEDULA ]]),[1]!MARTES[HORA]),"No Registró")</f>
        <v>0.55609953703703707</v>
      </c>
      <c r="G85" s="359" t="str">
        <f>IFERROR(VLOOKUP([1]!Tabla9[[CEDULA ]],[1]!MIERCOLES[#Data],5,0),"No registró")</f>
        <v>No registró</v>
      </c>
      <c r="H85" s="359" t="str">
        <f>IFERROR(LOOKUP(2,1/([1]!MIERCOLES[[CEDULA ]]=[1]!Tabla9[[#This Row],[CEDULA ]]),[1]!MIERCOLES[HORA]),"No registró")</f>
        <v>No registró</v>
      </c>
      <c r="I85" s="359" t="str">
        <f>IFERROR(VLOOKUP([1]!Tabla9[[CEDULA ]],[1]!JUEVES[#Data],5,0),"No Registró")</f>
        <v>No Registró</v>
      </c>
      <c r="J85" s="359" t="str">
        <f>IFERROR(LOOKUP(2,1/([1]!JUEVES[[CEDULA ]]=[1]!Tabla9[[#This Row],[CEDULA ]]),[1]!JUEVES[HORA]),"No registró")</f>
        <v>No registró</v>
      </c>
      <c r="K85" s="359" t="str">
        <f>IFERROR(VLOOKUP([1]!Tabla9[[CEDULA ]],[1]!VIERNES[#Data],5,0),"No registró")</f>
        <v>No registró</v>
      </c>
      <c r="L85" s="359" t="str">
        <f>IFERROR(LOOKUP(2,1/([1]!VIERNES[[CEDULA ]]=[1]!Tabla9[[#This Row],[CEDULA ]]),[1]!VIERNES[HORA]),"No registró")</f>
        <v>No registró</v>
      </c>
      <c r="M85" s="359" t="str">
        <f>IFERROR(VLOOKUP([1]!Tabla9[[CEDULA ]],[1]!SABADO[#Data],5,0),"No registró")</f>
        <v>No registró</v>
      </c>
      <c r="N85" s="359" t="str">
        <f>IFERROR(LOOKUP(2,1/([1]!SABADO[[CEDULA ]]=[1]!Tabla9[[#This Row],[CEDULA ]]),[1]!SABADO[HORA]),"No registró")</f>
        <v>No registró</v>
      </c>
      <c r="O85" s="359" t="str">
        <f>IFERROR(VLOOKUP([1]!Tabla9[[CEDULA ]],[1]!DOMINGO[#Data],5,0),"No registró")</f>
        <v>No registró</v>
      </c>
      <c r="P85" s="359" t="str">
        <f>IFERROR(LOOKUP(2,1/([1]!DOMINGO[[CEDULA ]]=[1]!Tabla9[[#This Row],[CEDULA ]]),[1]!DOMINGO[HORA]),"No registró")</f>
        <v>No registró</v>
      </c>
      <c r="Q85" s="240">
        <f>IFERROR(VLOOKUP(A85,DATOS[],10,0),"")</f>
        <v>0</v>
      </c>
    </row>
    <row r="86" spans="1:17" x14ac:dyDescent="0.25">
      <c r="A86" s="239">
        <v>6932228</v>
      </c>
      <c r="B86" s="239" t="s">
        <v>1069</v>
      </c>
      <c r="C86" s="359">
        <f>IFERROR(VLOOKUP([1]!Tabla9[[CEDULA ]],[1]!LUNES[#Data],5,0),"No registró")</f>
        <v>0.30641203703703707</v>
      </c>
      <c r="D86" s="359">
        <f>IFERROR(LOOKUP(2,1/([1]!LUNES[[CEDULA ]]=[1]!Tabla9[[#This Row],[CEDULA ]]),[1]!LUNES[HORA]),"No registró")</f>
        <v>0.59018518518518526</v>
      </c>
      <c r="E86" s="359">
        <f>IFERROR(VLOOKUP([1]!Tabla9[[CEDULA ]],[1]!MARTES[#Data],5,0),"No registró")</f>
        <v>0.30648148148148147</v>
      </c>
      <c r="F86" s="359">
        <f>IFERROR(LOOKUP(2,1/([1]!MARTES[[CEDULA ]]=[1]!Tabla9[[#This Row],[CEDULA ]]),[1]!MARTES[HORA]),"No Registró")</f>
        <v>0.58296296296296302</v>
      </c>
      <c r="G86" s="359" t="str">
        <f>IFERROR(VLOOKUP([1]!Tabla9[[CEDULA ]],[1]!MIERCOLES[#Data],5,0),"No registró")</f>
        <v>No registró</v>
      </c>
      <c r="H86" s="359" t="str">
        <f>IFERROR(LOOKUP(2,1/([1]!MIERCOLES[[CEDULA ]]=[1]!Tabla9[[#This Row],[CEDULA ]]),[1]!MIERCOLES[HORA]),"No registró")</f>
        <v>No registró</v>
      </c>
      <c r="I86" s="359" t="str">
        <f>IFERROR(VLOOKUP([1]!Tabla9[[CEDULA ]],[1]!JUEVES[#Data],5,0),"No Registró")</f>
        <v>No Registró</v>
      </c>
      <c r="J86" s="359" t="str">
        <f>IFERROR(LOOKUP(2,1/([1]!JUEVES[[CEDULA ]]=[1]!Tabla9[[#This Row],[CEDULA ]]),[1]!JUEVES[HORA]),"No registró")</f>
        <v>No registró</v>
      </c>
      <c r="K86" s="359" t="str">
        <f>IFERROR(VLOOKUP([1]!Tabla9[[CEDULA ]],[1]!VIERNES[#Data],5,0),"No registró")</f>
        <v>No registró</v>
      </c>
      <c r="L86" s="359" t="str">
        <f>IFERROR(LOOKUP(2,1/([1]!VIERNES[[CEDULA ]]=[1]!Tabla9[[#This Row],[CEDULA ]]),[1]!VIERNES[HORA]),"No registró")</f>
        <v>No registró</v>
      </c>
      <c r="M86" s="359" t="str">
        <f>IFERROR(VLOOKUP([1]!Tabla9[[CEDULA ]],[1]!SABADO[#Data],5,0),"No registró")</f>
        <v>No registró</v>
      </c>
      <c r="N86" s="359" t="str">
        <f>IFERROR(LOOKUP(2,1/([1]!SABADO[[CEDULA ]]=[1]!Tabla9[[#This Row],[CEDULA ]]),[1]!SABADO[HORA]),"No registró")</f>
        <v>No registró</v>
      </c>
      <c r="O86" s="359" t="str">
        <f>IFERROR(VLOOKUP([1]!Tabla9[[CEDULA ]],[1]!DOMINGO[#Data],5,0),"No registró")</f>
        <v>No registró</v>
      </c>
      <c r="P86" s="359" t="str">
        <f>IFERROR(LOOKUP(2,1/([1]!DOMINGO[[CEDULA ]]=[1]!Tabla9[[#This Row],[CEDULA ]]),[1]!DOMINGO[HORA]),"No registró")</f>
        <v>No registró</v>
      </c>
      <c r="Q86" s="240">
        <f>IFERROR(VLOOKUP(A86,DATOS[],10,0),"")</f>
        <v>0</v>
      </c>
    </row>
    <row r="87" spans="1:17" x14ac:dyDescent="0.25">
      <c r="A87" s="239">
        <v>6963025</v>
      </c>
      <c r="B87" s="239" t="s">
        <v>1070</v>
      </c>
      <c r="C87" s="359">
        <f>IFERROR(VLOOKUP([1]!Tabla9[[CEDULA ]],[1]!LUNES[#Data],5,0),"No registró")</f>
        <v>0.27846064814814814</v>
      </c>
      <c r="D87" s="359">
        <f>IFERROR(LOOKUP(2,1/([1]!LUNES[[CEDULA ]]=[1]!Tabla9[[#This Row],[CEDULA ]]),[1]!LUNES[HORA]),"No registró")</f>
        <v>0.55454861111111109</v>
      </c>
      <c r="E87" s="359">
        <f>IFERROR(VLOOKUP([1]!Tabla9[[CEDULA ]],[1]!MARTES[#Data],5,0),"No registró")</f>
        <v>0.27822916666666669</v>
      </c>
      <c r="F87" s="359">
        <f>IFERROR(LOOKUP(2,1/([1]!MARTES[[CEDULA ]]=[1]!Tabla9[[#This Row],[CEDULA ]]),[1]!MARTES[HORA]),"No Registró")</f>
        <v>0.56795138888888885</v>
      </c>
      <c r="G87" s="359" t="str">
        <f>IFERROR(VLOOKUP([1]!Tabla9[[CEDULA ]],[1]!MIERCOLES[#Data],5,0),"No registró")</f>
        <v>No registró</v>
      </c>
      <c r="H87" s="359" t="str">
        <f>IFERROR(LOOKUP(2,1/([1]!MIERCOLES[[CEDULA ]]=[1]!Tabla9[[#This Row],[CEDULA ]]),[1]!MIERCOLES[HORA]),"No registró")</f>
        <v>No registró</v>
      </c>
      <c r="I87" s="359" t="str">
        <f>IFERROR(VLOOKUP([1]!Tabla9[[CEDULA ]],[1]!JUEVES[#Data],5,0),"No Registró")</f>
        <v>No Registró</v>
      </c>
      <c r="J87" s="359" t="str">
        <f>IFERROR(LOOKUP(2,1/([1]!JUEVES[[CEDULA ]]=[1]!Tabla9[[#This Row],[CEDULA ]]),[1]!JUEVES[HORA]),"No registró")</f>
        <v>No registró</v>
      </c>
      <c r="K87" s="359" t="str">
        <f>IFERROR(VLOOKUP([1]!Tabla9[[CEDULA ]],[1]!VIERNES[#Data],5,0),"No registró")</f>
        <v>No registró</v>
      </c>
      <c r="L87" s="359" t="str">
        <f>IFERROR(LOOKUP(2,1/([1]!VIERNES[[CEDULA ]]=[1]!Tabla9[[#This Row],[CEDULA ]]),[1]!VIERNES[HORA]),"No registró")</f>
        <v>No registró</v>
      </c>
      <c r="M87" s="359" t="str">
        <f>IFERROR(VLOOKUP([1]!Tabla9[[CEDULA ]],[1]!SABADO[#Data],5,0),"No registró")</f>
        <v>No registró</v>
      </c>
      <c r="N87" s="359" t="str">
        <f>IFERROR(LOOKUP(2,1/([1]!SABADO[[CEDULA ]]=[1]!Tabla9[[#This Row],[CEDULA ]]),[1]!SABADO[HORA]),"No registró")</f>
        <v>No registró</v>
      </c>
      <c r="O87" s="359" t="str">
        <f>IFERROR(VLOOKUP([1]!Tabla9[[CEDULA ]],[1]!DOMINGO[#Data],5,0),"No registró")</f>
        <v>No registró</v>
      </c>
      <c r="P87" s="359" t="str">
        <f>IFERROR(LOOKUP(2,1/([1]!DOMINGO[[CEDULA ]]=[1]!Tabla9[[#This Row],[CEDULA ]]),[1]!DOMINGO[HORA]),"No registró")</f>
        <v>No registró</v>
      </c>
      <c r="Q87" s="240" t="str">
        <f>IFERROR(VLOOKUP(A87,DATOS[],10,0),"")</f>
        <v>1. COCHE</v>
      </c>
    </row>
    <row r="88" spans="1:17" x14ac:dyDescent="0.25">
      <c r="A88" s="239">
        <v>6965440</v>
      </c>
      <c r="B88" s="239" t="s">
        <v>1071</v>
      </c>
      <c r="C88" s="359">
        <f>IFERROR(VLOOKUP([1]!Tabla9[[CEDULA ]],[1]!LUNES[#Data],5,0),"No registró")</f>
        <v>0.28194444444444444</v>
      </c>
      <c r="D88" s="359">
        <f>IFERROR(LOOKUP(2,1/([1]!LUNES[[CEDULA ]]=[1]!Tabla9[[#This Row],[CEDULA ]]),[1]!LUNES[HORA]),"No registró")</f>
        <v>0.55331018518518515</v>
      </c>
      <c r="E88" s="359">
        <f>IFERROR(VLOOKUP([1]!Tabla9[[CEDULA ]],[1]!MARTES[#Data],5,0),"No registró")</f>
        <v>0.28203703703703703</v>
      </c>
      <c r="F88" s="359">
        <f>IFERROR(LOOKUP(2,1/([1]!MARTES[[CEDULA ]]=[1]!Tabla9[[#This Row],[CEDULA ]]),[1]!MARTES[HORA]),"No Registró")</f>
        <v>0.55351851851851852</v>
      </c>
      <c r="G88" s="359" t="str">
        <f>IFERROR(VLOOKUP([1]!Tabla9[[CEDULA ]],[1]!MIERCOLES[#Data],5,0),"No registró")</f>
        <v>No registró</v>
      </c>
      <c r="H88" s="359" t="str">
        <f>IFERROR(LOOKUP(2,1/([1]!MIERCOLES[[CEDULA ]]=[1]!Tabla9[[#This Row],[CEDULA ]]),[1]!MIERCOLES[HORA]),"No registró")</f>
        <v>No registró</v>
      </c>
      <c r="I88" s="359" t="str">
        <f>IFERROR(VLOOKUP([1]!Tabla9[[CEDULA ]],[1]!JUEVES[#Data],5,0),"No Registró")</f>
        <v>No Registró</v>
      </c>
      <c r="J88" s="359" t="str">
        <f>IFERROR(LOOKUP(2,1/([1]!JUEVES[[CEDULA ]]=[1]!Tabla9[[#This Row],[CEDULA ]]),[1]!JUEVES[HORA]),"No registró")</f>
        <v>No registró</v>
      </c>
      <c r="K88" s="359" t="str">
        <f>IFERROR(VLOOKUP([1]!Tabla9[[CEDULA ]],[1]!VIERNES[#Data],5,0),"No registró")</f>
        <v>No registró</v>
      </c>
      <c r="L88" s="359" t="str">
        <f>IFERROR(LOOKUP(2,1/([1]!VIERNES[[CEDULA ]]=[1]!Tabla9[[#This Row],[CEDULA ]]),[1]!VIERNES[HORA]),"No registró")</f>
        <v>No registró</v>
      </c>
      <c r="M88" s="359" t="str">
        <f>IFERROR(VLOOKUP([1]!Tabla9[[CEDULA ]],[1]!SABADO[#Data],5,0),"No registró")</f>
        <v>No registró</v>
      </c>
      <c r="N88" s="359" t="str">
        <f>IFERROR(LOOKUP(2,1/([1]!SABADO[[CEDULA ]]=[1]!Tabla9[[#This Row],[CEDULA ]]),[1]!SABADO[HORA]),"No registró")</f>
        <v>No registró</v>
      </c>
      <c r="O88" s="359" t="str">
        <f>IFERROR(VLOOKUP([1]!Tabla9[[CEDULA ]],[1]!DOMINGO[#Data],5,0),"No registró")</f>
        <v>No registró</v>
      </c>
      <c r="P88" s="359" t="str">
        <f>IFERROR(LOOKUP(2,1/([1]!DOMINGO[[CEDULA ]]=[1]!Tabla9[[#This Row],[CEDULA ]]),[1]!DOMINGO[HORA]),"No registró")</f>
        <v>No registró</v>
      </c>
      <c r="Q88" s="240" t="str">
        <f>IFERROR(VLOOKUP(A88,DATOS[],10,0),"")</f>
        <v>3. CARICUAO</v>
      </c>
    </row>
    <row r="89" spans="1:17" x14ac:dyDescent="0.25">
      <c r="A89" s="239">
        <v>6965462</v>
      </c>
      <c r="B89" s="239" t="s">
        <v>1377</v>
      </c>
      <c r="C89" s="359">
        <f>IFERROR(VLOOKUP([1]!Tabla9[[CEDULA ]],[1]!LUNES[#Data],5,0),"No registró")</f>
        <v>0.2777662037037037</v>
      </c>
      <c r="D89" s="359">
        <f>IFERROR(LOOKUP(2,1/([1]!LUNES[[CEDULA ]]=[1]!Tabla9[[#This Row],[CEDULA ]]),[1]!LUNES[HORA]),"No registró")</f>
        <v>0.55333333333333334</v>
      </c>
      <c r="E89" s="359">
        <f>IFERROR(VLOOKUP([1]!Tabla9[[CEDULA ]],[1]!MARTES[#Data],5,0),"No registró")</f>
        <v>0.27761574074074075</v>
      </c>
      <c r="F89" s="359">
        <f>IFERROR(LOOKUP(2,1/([1]!MARTES[[CEDULA ]]=[1]!Tabla9[[#This Row],[CEDULA ]]),[1]!MARTES[HORA]),"No Registró")</f>
        <v>0.55262731481481475</v>
      </c>
      <c r="G89" s="359">
        <f>IFERROR(VLOOKUP([1]!Tabla9[[CEDULA ]],[1]!MIERCOLES[#Data],5,0),"No registró")</f>
        <v>0.38886574074074076</v>
      </c>
      <c r="H89" s="359">
        <f>IFERROR(LOOKUP(2,1/([1]!MIERCOLES[[CEDULA ]]=[1]!Tabla9[[#This Row],[CEDULA ]]),[1]!MIERCOLES[HORA]),"No registró")</f>
        <v>0.56511574074074067</v>
      </c>
      <c r="I89" s="359" t="str">
        <f>IFERROR(VLOOKUP([1]!Tabla9[[CEDULA ]],[1]!JUEVES[#Data],5,0),"No Registró")</f>
        <v>No Registró</v>
      </c>
      <c r="J89" s="359" t="str">
        <f>IFERROR(LOOKUP(2,1/([1]!JUEVES[[CEDULA ]]=[1]!Tabla9[[#This Row],[CEDULA ]]),[1]!JUEVES[HORA]),"No registró")</f>
        <v>No registró</v>
      </c>
      <c r="K89" s="359" t="str">
        <f>IFERROR(VLOOKUP([1]!Tabla9[[CEDULA ]],[1]!VIERNES[#Data],5,0),"No registró")</f>
        <v>No registró</v>
      </c>
      <c r="L89" s="359" t="str">
        <f>IFERROR(LOOKUP(2,1/([1]!VIERNES[[CEDULA ]]=[1]!Tabla9[[#This Row],[CEDULA ]]),[1]!VIERNES[HORA]),"No registró")</f>
        <v>No registró</v>
      </c>
      <c r="M89" s="359">
        <f>IFERROR(VLOOKUP([1]!Tabla9[[CEDULA ]],[1]!SABADO[#Data],5,0),"No registró")</f>
        <v>0.46741898148148148</v>
      </c>
      <c r="N89" s="359">
        <f>IFERROR(LOOKUP(2,1/([1]!SABADO[[CEDULA ]]=[1]!Tabla9[[#This Row],[CEDULA ]]),[1]!SABADO[HORA]),"No registró")</f>
        <v>0.55561342592592589</v>
      </c>
      <c r="O89" s="359" t="str">
        <f>IFERROR(VLOOKUP([1]!Tabla9[[CEDULA ]],[1]!DOMINGO[#Data],5,0),"No registró")</f>
        <v>No registró</v>
      </c>
      <c r="P89" s="359" t="str">
        <f>IFERROR(LOOKUP(2,1/([1]!DOMINGO[[CEDULA ]]=[1]!Tabla9[[#This Row],[CEDULA ]]),[1]!DOMINGO[HORA]),"No registró")</f>
        <v>No registró</v>
      </c>
      <c r="Q89" s="240">
        <f>IFERROR(VLOOKUP(A89,DATOS[],10,0),"")</f>
        <v>0</v>
      </c>
    </row>
    <row r="90" spans="1:17" x14ac:dyDescent="0.25">
      <c r="A90" s="239">
        <v>6968417</v>
      </c>
      <c r="B90" s="239" t="s">
        <v>1072</v>
      </c>
      <c r="C90" s="359">
        <f>IFERROR(VLOOKUP([1]!Tabla9[[CEDULA ]],[1]!LUNES[#Data],5,0),"No registró")</f>
        <v>0.27864583333333331</v>
      </c>
      <c r="D90" s="359">
        <f>IFERROR(LOOKUP(2,1/([1]!LUNES[[CEDULA ]]=[1]!Tabla9[[#This Row],[CEDULA ]]),[1]!LUNES[HORA]),"No registró")</f>
        <v>0.55303240740740744</v>
      </c>
      <c r="E90" s="359">
        <f>IFERROR(VLOOKUP([1]!Tabla9[[CEDULA ]],[1]!MARTES[#Data],5,0),"No registró")</f>
        <v>0.27836805555555555</v>
      </c>
      <c r="F90" s="359">
        <f>IFERROR(LOOKUP(2,1/([1]!MARTES[[CEDULA ]]=[1]!Tabla9[[#This Row],[CEDULA ]]),[1]!MARTES[HORA]),"No Registró")</f>
        <v>0.55530092592592595</v>
      </c>
      <c r="G90" s="359" t="str">
        <f>IFERROR(VLOOKUP([1]!Tabla9[[CEDULA ]],[1]!MIERCOLES[#Data],5,0),"No registró")</f>
        <v>No registró</v>
      </c>
      <c r="H90" s="359" t="str">
        <f>IFERROR(LOOKUP(2,1/([1]!MIERCOLES[[CEDULA ]]=[1]!Tabla9[[#This Row],[CEDULA ]]),[1]!MIERCOLES[HORA]),"No registró")</f>
        <v>No registró</v>
      </c>
      <c r="I90" s="359" t="str">
        <f>IFERROR(VLOOKUP([1]!Tabla9[[CEDULA ]],[1]!JUEVES[#Data],5,0),"No Registró")</f>
        <v>No Registró</v>
      </c>
      <c r="J90" s="359" t="str">
        <f>IFERROR(LOOKUP(2,1/([1]!JUEVES[[CEDULA ]]=[1]!Tabla9[[#This Row],[CEDULA ]]),[1]!JUEVES[HORA]),"No registró")</f>
        <v>No registró</v>
      </c>
      <c r="K90" s="359" t="str">
        <f>IFERROR(VLOOKUP([1]!Tabla9[[CEDULA ]],[1]!VIERNES[#Data],5,0),"No registró")</f>
        <v>No registró</v>
      </c>
      <c r="L90" s="359" t="str">
        <f>IFERROR(LOOKUP(2,1/([1]!VIERNES[[CEDULA ]]=[1]!Tabla9[[#This Row],[CEDULA ]]),[1]!VIERNES[HORA]),"No registró")</f>
        <v>No registró</v>
      </c>
      <c r="M90" s="359" t="str">
        <f>IFERROR(VLOOKUP([1]!Tabla9[[CEDULA ]],[1]!SABADO[#Data],5,0),"No registró")</f>
        <v>No registró</v>
      </c>
      <c r="N90" s="359" t="str">
        <f>IFERROR(LOOKUP(2,1/([1]!SABADO[[CEDULA ]]=[1]!Tabla9[[#This Row],[CEDULA ]]),[1]!SABADO[HORA]),"No registró")</f>
        <v>No registró</v>
      </c>
      <c r="O90" s="359" t="str">
        <f>IFERROR(VLOOKUP([1]!Tabla9[[CEDULA ]],[1]!DOMINGO[#Data],5,0),"No registró")</f>
        <v>No registró</v>
      </c>
      <c r="P90" s="359" t="str">
        <f>IFERROR(LOOKUP(2,1/([1]!DOMINGO[[CEDULA ]]=[1]!Tabla9[[#This Row],[CEDULA ]]),[1]!DOMINGO[HORA]),"No registró")</f>
        <v>No registró</v>
      </c>
      <c r="Q90" s="240" t="str">
        <f>IFERROR(VLOOKUP(A90,DATOS[],10,0),"")</f>
        <v>4. VALLES DEL TUY</v>
      </c>
    </row>
    <row r="91" spans="1:17" x14ac:dyDescent="0.25">
      <c r="A91" s="239">
        <v>6969089</v>
      </c>
      <c r="B91" s="239" t="s">
        <v>1073</v>
      </c>
      <c r="C91" s="359">
        <f>IFERROR(VLOOKUP([1]!Tabla9[[CEDULA ]],[1]!LUNES[#Data],5,0),"No registró")</f>
        <v>0.30701388888888886</v>
      </c>
      <c r="D91" s="359">
        <f>IFERROR(LOOKUP(2,1/([1]!LUNES[[CEDULA ]]=[1]!Tabla9[[#This Row],[CEDULA ]]),[1]!LUNES[HORA]),"No registró")</f>
        <v>0.55390046296296302</v>
      </c>
      <c r="E91" s="359">
        <f>IFERROR(VLOOKUP([1]!Tabla9[[CEDULA ]],[1]!MARTES[#Data],5,0),"No registró")</f>
        <v>0.27797453703703706</v>
      </c>
      <c r="F91" s="359">
        <f>IFERROR(LOOKUP(2,1/([1]!MARTES[[CEDULA ]]=[1]!Tabla9[[#This Row],[CEDULA ]]),[1]!MARTES[HORA]),"No Registró")</f>
        <v>0.55233796296296289</v>
      </c>
      <c r="G91" s="359" t="str">
        <f>IFERROR(VLOOKUP([1]!Tabla9[[CEDULA ]],[1]!MIERCOLES[#Data],5,0),"No registró")</f>
        <v>No registró</v>
      </c>
      <c r="H91" s="359" t="str">
        <f>IFERROR(LOOKUP(2,1/([1]!MIERCOLES[[CEDULA ]]=[1]!Tabla9[[#This Row],[CEDULA ]]),[1]!MIERCOLES[HORA]),"No registró")</f>
        <v>No registró</v>
      </c>
      <c r="I91" s="359" t="str">
        <f>IFERROR(VLOOKUP([1]!Tabla9[[CEDULA ]],[1]!JUEVES[#Data],5,0),"No Registró")</f>
        <v>No Registró</v>
      </c>
      <c r="J91" s="359" t="str">
        <f>IFERROR(LOOKUP(2,1/([1]!JUEVES[[CEDULA ]]=[1]!Tabla9[[#This Row],[CEDULA ]]),[1]!JUEVES[HORA]),"No registró")</f>
        <v>No registró</v>
      </c>
      <c r="K91" s="359" t="str">
        <f>IFERROR(VLOOKUP([1]!Tabla9[[CEDULA ]],[1]!VIERNES[#Data],5,0),"No registró")</f>
        <v>No registró</v>
      </c>
      <c r="L91" s="359" t="str">
        <f>IFERROR(LOOKUP(2,1/([1]!VIERNES[[CEDULA ]]=[1]!Tabla9[[#This Row],[CEDULA ]]),[1]!VIERNES[HORA]),"No registró")</f>
        <v>No registró</v>
      </c>
      <c r="M91" s="359" t="str">
        <f>IFERROR(VLOOKUP([1]!Tabla9[[CEDULA ]],[1]!SABADO[#Data],5,0),"No registró")</f>
        <v>No registró</v>
      </c>
      <c r="N91" s="359" t="str">
        <f>IFERROR(LOOKUP(2,1/([1]!SABADO[[CEDULA ]]=[1]!Tabla9[[#This Row],[CEDULA ]]),[1]!SABADO[HORA]),"No registró")</f>
        <v>No registró</v>
      </c>
      <c r="O91" s="359" t="str">
        <f>IFERROR(VLOOKUP([1]!Tabla9[[CEDULA ]],[1]!DOMINGO[#Data],5,0),"No registró")</f>
        <v>No registró</v>
      </c>
      <c r="P91" s="359" t="str">
        <f>IFERROR(LOOKUP(2,1/([1]!DOMINGO[[CEDULA ]]=[1]!Tabla9[[#This Row],[CEDULA ]]),[1]!DOMINGO[HORA]),"No registró")</f>
        <v>No registró</v>
      </c>
      <c r="Q91" s="240" t="str">
        <f>IFERROR(VLOOKUP(A91,DATOS[],10,0),"")</f>
        <v>1. COCHE</v>
      </c>
    </row>
    <row r="92" spans="1:17" x14ac:dyDescent="0.25">
      <c r="A92" s="239">
        <v>6969577</v>
      </c>
      <c r="B92" s="239" t="s">
        <v>1074</v>
      </c>
      <c r="C92" s="359">
        <f>IFERROR(VLOOKUP([1]!Tabla9[[CEDULA ]],[1]!LUNES[#Data],5,0),"No registró")</f>
        <v>0.27842592592592591</v>
      </c>
      <c r="D92" s="359">
        <f>IFERROR(LOOKUP(2,1/([1]!LUNES[[CEDULA ]]=[1]!Tabla9[[#This Row],[CEDULA ]]),[1]!LUNES[HORA]),"No registró")</f>
        <v>0.5467129629629629</v>
      </c>
      <c r="E92" s="359">
        <f>IFERROR(VLOOKUP([1]!Tabla9[[CEDULA ]],[1]!MARTES[#Data],5,0),"No registró")</f>
        <v>0.28509259259259262</v>
      </c>
      <c r="F92" s="359">
        <f>IFERROR(LOOKUP(2,1/([1]!MARTES[[CEDULA ]]=[1]!Tabla9[[#This Row],[CEDULA ]]),[1]!MARTES[HORA]),"No Registró")</f>
        <v>0.52513888888888893</v>
      </c>
      <c r="G92" s="359" t="str">
        <f>IFERROR(VLOOKUP([1]!Tabla9[[CEDULA ]],[1]!MIERCOLES[#Data],5,0),"No registró")</f>
        <v>No registró</v>
      </c>
      <c r="H92" s="359" t="str">
        <f>IFERROR(LOOKUP(2,1/([1]!MIERCOLES[[CEDULA ]]=[1]!Tabla9[[#This Row],[CEDULA ]]),[1]!MIERCOLES[HORA]),"No registró")</f>
        <v>No registró</v>
      </c>
      <c r="I92" s="359" t="str">
        <f>IFERROR(VLOOKUP([1]!Tabla9[[CEDULA ]],[1]!JUEVES[#Data],5,0),"No Registró")</f>
        <v>No Registró</v>
      </c>
      <c r="J92" s="359" t="str">
        <f>IFERROR(LOOKUP(2,1/([1]!JUEVES[[CEDULA ]]=[1]!Tabla9[[#This Row],[CEDULA ]]),[1]!JUEVES[HORA]),"No registró")</f>
        <v>No registró</v>
      </c>
      <c r="K92" s="359" t="str">
        <f>IFERROR(VLOOKUP([1]!Tabla9[[CEDULA ]],[1]!VIERNES[#Data],5,0),"No registró")</f>
        <v>No registró</v>
      </c>
      <c r="L92" s="359" t="str">
        <f>IFERROR(LOOKUP(2,1/([1]!VIERNES[[CEDULA ]]=[1]!Tabla9[[#This Row],[CEDULA ]]),[1]!VIERNES[HORA]),"No registró")</f>
        <v>No registró</v>
      </c>
      <c r="M92" s="359" t="str">
        <f>IFERROR(VLOOKUP([1]!Tabla9[[CEDULA ]],[1]!SABADO[#Data],5,0),"No registró")</f>
        <v>No registró</v>
      </c>
      <c r="N92" s="359" t="str">
        <f>IFERROR(LOOKUP(2,1/([1]!SABADO[[CEDULA ]]=[1]!Tabla9[[#This Row],[CEDULA ]]),[1]!SABADO[HORA]),"No registró")</f>
        <v>No registró</v>
      </c>
      <c r="O92" s="359" t="str">
        <f>IFERROR(VLOOKUP([1]!Tabla9[[CEDULA ]],[1]!DOMINGO[#Data],5,0),"No registró")</f>
        <v>No registró</v>
      </c>
      <c r="P92" s="359" t="str">
        <f>IFERROR(LOOKUP(2,1/([1]!DOMINGO[[CEDULA ]]=[1]!Tabla9[[#This Row],[CEDULA ]]),[1]!DOMINGO[HORA]),"No registró")</f>
        <v>No registró</v>
      </c>
      <c r="Q92" s="240" t="str">
        <f>IFERROR(VLOOKUP(A92,DATOS[],10,0),"")</f>
        <v>1. COCHE</v>
      </c>
    </row>
    <row r="93" spans="1:17" x14ac:dyDescent="0.25">
      <c r="A93" s="239">
        <v>7082265</v>
      </c>
      <c r="B93" s="239" t="s">
        <v>1075</v>
      </c>
      <c r="C93" s="359">
        <f>IFERROR(VLOOKUP([1]!Tabla9[[CEDULA ]],[1]!LUNES[#Data],5,0),"No registró")</f>
        <v>0.40043981481481478</v>
      </c>
      <c r="D93" s="359">
        <f>IFERROR(LOOKUP(2,1/([1]!LUNES[[CEDULA ]]=[1]!Tabla9[[#This Row],[CEDULA ]]),[1]!LUNES[HORA]),"No registró")</f>
        <v>0.56935185185185189</v>
      </c>
      <c r="E93" s="359">
        <f>IFERROR(VLOOKUP([1]!Tabla9[[CEDULA ]],[1]!MARTES[#Data],5,0),"No registró")</f>
        <v>0.41298611111111111</v>
      </c>
      <c r="F93" s="359">
        <f>IFERROR(LOOKUP(2,1/([1]!MARTES[[CEDULA ]]=[1]!Tabla9[[#This Row],[CEDULA ]]),[1]!MARTES[HORA]),"No Registró")</f>
        <v>0.56765046296296295</v>
      </c>
      <c r="G93" s="359" t="str">
        <f>IFERROR(VLOOKUP([1]!Tabla9[[CEDULA ]],[1]!MIERCOLES[#Data],5,0),"No registró")</f>
        <v>No registró</v>
      </c>
      <c r="H93" s="359" t="str">
        <f>IFERROR(LOOKUP(2,1/([1]!MIERCOLES[[CEDULA ]]=[1]!Tabla9[[#This Row],[CEDULA ]]),[1]!MIERCOLES[HORA]),"No registró")</f>
        <v>No registró</v>
      </c>
      <c r="I93" s="359" t="str">
        <f>IFERROR(VLOOKUP([1]!Tabla9[[CEDULA ]],[1]!JUEVES[#Data],5,0),"No Registró")</f>
        <v>No Registró</v>
      </c>
      <c r="J93" s="359" t="str">
        <f>IFERROR(LOOKUP(2,1/([1]!JUEVES[[CEDULA ]]=[1]!Tabla9[[#This Row],[CEDULA ]]),[1]!JUEVES[HORA]),"No registró")</f>
        <v>No registró</v>
      </c>
      <c r="K93" s="359" t="str">
        <f>IFERROR(VLOOKUP([1]!Tabla9[[CEDULA ]],[1]!VIERNES[#Data],5,0),"No registró")</f>
        <v>No registró</v>
      </c>
      <c r="L93" s="359" t="str">
        <f>IFERROR(LOOKUP(2,1/([1]!VIERNES[[CEDULA ]]=[1]!Tabla9[[#This Row],[CEDULA ]]),[1]!VIERNES[HORA]),"No registró")</f>
        <v>No registró</v>
      </c>
      <c r="M93" s="359" t="str">
        <f>IFERROR(VLOOKUP([1]!Tabla9[[CEDULA ]],[1]!SABADO[#Data],5,0),"No registró")</f>
        <v>No registró</v>
      </c>
      <c r="N93" s="359" t="str">
        <f>IFERROR(LOOKUP(2,1/([1]!SABADO[[CEDULA ]]=[1]!Tabla9[[#This Row],[CEDULA ]]),[1]!SABADO[HORA]),"No registró")</f>
        <v>No registró</v>
      </c>
      <c r="O93" s="359" t="str">
        <f>IFERROR(VLOOKUP([1]!Tabla9[[CEDULA ]],[1]!DOMINGO[#Data],5,0),"No registró")</f>
        <v>No registró</v>
      </c>
      <c r="P93" s="359" t="str">
        <f>IFERROR(LOOKUP(2,1/([1]!DOMINGO[[CEDULA ]]=[1]!Tabla9[[#This Row],[CEDULA ]]),[1]!DOMINGO[HORA]),"No registró")</f>
        <v>No registró</v>
      </c>
      <c r="Q93" s="240">
        <f>IFERROR(VLOOKUP(A93,DATOS[],10,0),"")</f>
        <v>0</v>
      </c>
    </row>
    <row r="94" spans="1:17" x14ac:dyDescent="0.25">
      <c r="A94" s="239">
        <v>7092124</v>
      </c>
      <c r="B94" s="239" t="s">
        <v>1076</v>
      </c>
      <c r="C94" s="359">
        <f>IFERROR(VLOOKUP([1]!Tabla9[[CEDULA ]],[1]!LUNES[#Data],5,0),"No registró")</f>
        <v>0.30986111111111109</v>
      </c>
      <c r="D94" s="359">
        <f>IFERROR(LOOKUP(2,1/([1]!LUNES[[CEDULA ]]=[1]!Tabla9[[#This Row],[CEDULA ]]),[1]!LUNES[HORA]),"No registró")</f>
        <v>0.69339120370370377</v>
      </c>
      <c r="E94" s="359">
        <f>IFERROR(VLOOKUP([1]!Tabla9[[CEDULA ]],[1]!MARTES[#Data],5,0),"No registró")</f>
        <v>0.3382060185185185</v>
      </c>
      <c r="F94" s="359">
        <f>IFERROR(LOOKUP(2,1/([1]!MARTES[[CEDULA ]]=[1]!Tabla9[[#This Row],[CEDULA ]]),[1]!MARTES[HORA]),"No Registró")</f>
        <v>0.6887847222222222</v>
      </c>
      <c r="G94" s="359">
        <f>IFERROR(VLOOKUP([1]!Tabla9[[CEDULA ]],[1]!MIERCOLES[#Data],5,0),"No registró")</f>
        <v>0.30166666666666669</v>
      </c>
      <c r="H94" s="359">
        <f>IFERROR(LOOKUP(2,1/([1]!MIERCOLES[[CEDULA ]]=[1]!Tabla9[[#This Row],[CEDULA ]]),[1]!MIERCOLES[HORA]),"No registró")</f>
        <v>0.60611111111111116</v>
      </c>
      <c r="I94" s="359" t="str">
        <f>IFERROR(VLOOKUP([1]!Tabla9[[CEDULA ]],[1]!JUEVES[#Data],5,0),"No Registró")</f>
        <v>No Registró</v>
      </c>
      <c r="J94" s="359" t="str">
        <f>IFERROR(LOOKUP(2,1/([1]!JUEVES[[CEDULA ]]=[1]!Tabla9[[#This Row],[CEDULA ]]),[1]!JUEVES[HORA]),"No registró")</f>
        <v>No registró</v>
      </c>
      <c r="K94" s="359" t="str">
        <f>IFERROR(VLOOKUP([1]!Tabla9[[CEDULA ]],[1]!VIERNES[#Data],5,0),"No registró")</f>
        <v>No registró</v>
      </c>
      <c r="L94" s="359" t="str">
        <f>IFERROR(LOOKUP(2,1/([1]!VIERNES[[CEDULA ]]=[1]!Tabla9[[#This Row],[CEDULA ]]),[1]!VIERNES[HORA]),"No registró")</f>
        <v>No registró</v>
      </c>
      <c r="M94" s="359">
        <f>IFERROR(VLOOKUP([1]!Tabla9[[CEDULA ]],[1]!SABADO[#Data],5,0),"No registró")</f>
        <v>0.30974537037037037</v>
      </c>
      <c r="N94" s="359">
        <f>IFERROR(LOOKUP(2,1/([1]!SABADO[[CEDULA ]]=[1]!Tabla9[[#This Row],[CEDULA ]]),[1]!SABADO[HORA]),"No registró")</f>
        <v>0.55523148148148149</v>
      </c>
      <c r="O94" s="359" t="str">
        <f>IFERROR(VLOOKUP([1]!Tabla9[[CEDULA ]],[1]!DOMINGO[#Data],5,0),"No registró")</f>
        <v>No registró</v>
      </c>
      <c r="P94" s="359" t="str">
        <f>IFERROR(LOOKUP(2,1/([1]!DOMINGO[[CEDULA ]]=[1]!Tabla9[[#This Row],[CEDULA ]]),[1]!DOMINGO[HORA]),"No registró")</f>
        <v>No registró</v>
      </c>
      <c r="Q94" s="240" t="str">
        <f>IFERROR(VLOOKUP(A94,DATOS[],10,0),"")</f>
        <v>4. VALLES DEL TUY</v>
      </c>
    </row>
    <row r="95" spans="1:17" x14ac:dyDescent="0.25">
      <c r="A95" s="239">
        <v>7095552</v>
      </c>
      <c r="B95" s="239" t="s">
        <v>1077</v>
      </c>
      <c r="C95" s="359">
        <f>IFERROR(VLOOKUP([1]!Tabla9[[CEDULA ]],[1]!LUNES[#Data],5,0),"No registró")</f>
        <v>0.34145833333333336</v>
      </c>
      <c r="D95" s="359">
        <f>IFERROR(LOOKUP(2,1/([1]!LUNES[[CEDULA ]]=[1]!Tabla9[[#This Row],[CEDULA ]]),[1]!LUNES[HORA]),"No registró")</f>
        <v>0.6036921296296297</v>
      </c>
      <c r="E95" s="359">
        <f>IFERROR(VLOOKUP([1]!Tabla9[[CEDULA ]],[1]!MARTES[#Data],5,0),"No registró")</f>
        <v>0.33175925925925925</v>
      </c>
      <c r="F95" s="359">
        <f>IFERROR(LOOKUP(2,1/([1]!MARTES[[CEDULA ]]=[1]!Tabla9[[#This Row],[CEDULA ]]),[1]!MARTES[HORA]),"No Registró")</f>
        <v>0.56246527777777777</v>
      </c>
      <c r="G95" s="359" t="str">
        <f>IFERROR(VLOOKUP([1]!Tabla9[[CEDULA ]],[1]!MIERCOLES[#Data],5,0),"No registró")</f>
        <v>No registró</v>
      </c>
      <c r="H95" s="359" t="str">
        <f>IFERROR(LOOKUP(2,1/([1]!MIERCOLES[[CEDULA ]]=[1]!Tabla9[[#This Row],[CEDULA ]]),[1]!MIERCOLES[HORA]),"No registró")</f>
        <v>No registró</v>
      </c>
      <c r="I95" s="359" t="str">
        <f>IFERROR(VLOOKUP([1]!Tabla9[[CEDULA ]],[1]!JUEVES[#Data],5,0),"No Registró")</f>
        <v>No Registró</v>
      </c>
      <c r="J95" s="359" t="str">
        <f>IFERROR(LOOKUP(2,1/([1]!JUEVES[[CEDULA ]]=[1]!Tabla9[[#This Row],[CEDULA ]]),[1]!JUEVES[HORA]),"No registró")</f>
        <v>No registró</v>
      </c>
      <c r="K95" s="359" t="str">
        <f>IFERROR(VLOOKUP([1]!Tabla9[[CEDULA ]],[1]!VIERNES[#Data],5,0),"No registró")</f>
        <v>No registró</v>
      </c>
      <c r="L95" s="359" t="str">
        <f>IFERROR(LOOKUP(2,1/([1]!VIERNES[[CEDULA ]]=[1]!Tabla9[[#This Row],[CEDULA ]]),[1]!VIERNES[HORA]),"No registró")</f>
        <v>No registró</v>
      </c>
      <c r="M95" s="359" t="str">
        <f>IFERROR(VLOOKUP([1]!Tabla9[[CEDULA ]],[1]!SABADO[#Data],5,0),"No registró")</f>
        <v>No registró</v>
      </c>
      <c r="N95" s="359" t="str">
        <f>IFERROR(LOOKUP(2,1/([1]!SABADO[[CEDULA ]]=[1]!Tabla9[[#This Row],[CEDULA ]]),[1]!SABADO[HORA]),"No registró")</f>
        <v>No registró</v>
      </c>
      <c r="O95" s="359" t="str">
        <f>IFERROR(VLOOKUP([1]!Tabla9[[CEDULA ]],[1]!DOMINGO[#Data],5,0),"No registró")</f>
        <v>No registró</v>
      </c>
      <c r="P95" s="359" t="str">
        <f>IFERROR(LOOKUP(2,1/([1]!DOMINGO[[CEDULA ]]=[1]!Tabla9[[#This Row],[CEDULA ]]),[1]!DOMINGO[HORA]),"No registró")</f>
        <v>No registró</v>
      </c>
      <c r="Q95" s="240">
        <f>IFERROR(VLOOKUP(A95,DATOS[],10,0),"")</f>
        <v>0</v>
      </c>
    </row>
    <row r="96" spans="1:17" x14ac:dyDescent="0.25">
      <c r="A96" s="239">
        <v>7217958</v>
      </c>
      <c r="B96" s="239" t="s">
        <v>1078</v>
      </c>
      <c r="C96" s="359">
        <f>IFERROR(VLOOKUP([1]!Tabla9[[CEDULA ]],[1]!LUNES[#Data],5,0),"No registró")</f>
        <v>0.30879629629629629</v>
      </c>
      <c r="D96" s="359">
        <f>IFERROR(LOOKUP(2,1/([1]!LUNES[[CEDULA ]]=[1]!Tabla9[[#This Row],[CEDULA ]]),[1]!LUNES[HORA]),"No registró")</f>
        <v>0.31422453703703707</v>
      </c>
      <c r="E96" s="359">
        <f>IFERROR(VLOOKUP([1]!Tabla9[[CEDULA ]],[1]!MARTES[#Data],5,0),"No registró")</f>
        <v>0.32124999999999998</v>
      </c>
      <c r="F96" s="359">
        <f>IFERROR(LOOKUP(2,1/([1]!MARTES[[CEDULA ]]=[1]!Tabla9[[#This Row],[CEDULA ]]),[1]!MARTES[HORA]),"No Registró")</f>
        <v>0.57511574074074068</v>
      </c>
      <c r="G96" s="359" t="str">
        <f>IFERROR(VLOOKUP([1]!Tabla9[[CEDULA ]],[1]!MIERCOLES[#Data],5,0),"No registró")</f>
        <v>No registró</v>
      </c>
      <c r="H96" s="359" t="str">
        <f>IFERROR(LOOKUP(2,1/([1]!MIERCOLES[[CEDULA ]]=[1]!Tabla9[[#This Row],[CEDULA ]]),[1]!MIERCOLES[HORA]),"No registró")</f>
        <v>No registró</v>
      </c>
      <c r="I96" s="359" t="str">
        <f>IFERROR(VLOOKUP([1]!Tabla9[[CEDULA ]],[1]!JUEVES[#Data],5,0),"No Registró")</f>
        <v>No Registró</v>
      </c>
      <c r="J96" s="359" t="str">
        <f>IFERROR(LOOKUP(2,1/([1]!JUEVES[[CEDULA ]]=[1]!Tabla9[[#This Row],[CEDULA ]]),[1]!JUEVES[HORA]),"No registró")</f>
        <v>No registró</v>
      </c>
      <c r="K96" s="359" t="str">
        <f>IFERROR(VLOOKUP([1]!Tabla9[[CEDULA ]],[1]!VIERNES[#Data],5,0),"No registró")</f>
        <v>No registró</v>
      </c>
      <c r="L96" s="359" t="str">
        <f>IFERROR(LOOKUP(2,1/([1]!VIERNES[[CEDULA ]]=[1]!Tabla9[[#This Row],[CEDULA ]]),[1]!VIERNES[HORA]),"No registró")</f>
        <v>No registró</v>
      </c>
      <c r="M96" s="359" t="str">
        <f>IFERROR(VLOOKUP([1]!Tabla9[[CEDULA ]],[1]!SABADO[#Data],5,0),"No registró")</f>
        <v>No registró</v>
      </c>
      <c r="N96" s="359" t="str">
        <f>IFERROR(LOOKUP(2,1/([1]!SABADO[[CEDULA ]]=[1]!Tabla9[[#This Row],[CEDULA ]]),[1]!SABADO[HORA]),"No registró")</f>
        <v>No registró</v>
      </c>
      <c r="O96" s="359" t="str">
        <f>IFERROR(VLOOKUP([1]!Tabla9[[CEDULA ]],[1]!DOMINGO[#Data],5,0),"No registró")</f>
        <v>No registró</v>
      </c>
      <c r="P96" s="359" t="str">
        <f>IFERROR(LOOKUP(2,1/([1]!DOMINGO[[CEDULA ]]=[1]!Tabla9[[#This Row],[CEDULA ]]),[1]!DOMINGO[HORA]),"No registró")</f>
        <v>No registró</v>
      </c>
      <c r="Q96" s="240">
        <f>IFERROR(VLOOKUP(A96,DATOS[],10,0),"")</f>
        <v>0</v>
      </c>
    </row>
    <row r="97" spans="1:17" x14ac:dyDescent="0.25">
      <c r="A97" s="239">
        <v>7452015</v>
      </c>
      <c r="B97" s="239" t="s">
        <v>1079</v>
      </c>
      <c r="C97" s="359">
        <f>IFERROR(VLOOKUP([1]!Tabla9[[CEDULA ]],[1]!LUNES[#Data],5,0),"No registró")</f>
        <v>0.2845138888888889</v>
      </c>
      <c r="D97" s="359">
        <f>IFERROR(LOOKUP(2,1/([1]!LUNES[[CEDULA ]]=[1]!Tabla9[[#This Row],[CEDULA ]]),[1]!LUNES[HORA]),"No registró")</f>
        <v>0.36546296296296293</v>
      </c>
      <c r="E97" s="359" t="str">
        <f>IFERROR(VLOOKUP([1]!Tabla9[[CEDULA ]],[1]!MARTES[#Data],5,0),"No registró")</f>
        <v>No registró</v>
      </c>
      <c r="F97" s="359" t="str">
        <f>IFERROR(LOOKUP(2,1/([1]!MARTES[[CEDULA ]]=[1]!Tabla9[[#This Row],[CEDULA ]]),[1]!MARTES[HORA]),"No Registró")</f>
        <v>No Registró</v>
      </c>
      <c r="G97" s="359">
        <f>IFERROR(VLOOKUP([1]!Tabla9[[CEDULA ]],[1]!MIERCOLES[#Data],5,0),"No registró")</f>
        <v>0.38895833333333335</v>
      </c>
      <c r="H97" s="359">
        <f>IFERROR(LOOKUP(2,1/([1]!MIERCOLES[[CEDULA ]]=[1]!Tabla9[[#This Row],[CEDULA ]]),[1]!MIERCOLES[HORA]),"No registró")</f>
        <v>0.88063657407407403</v>
      </c>
      <c r="I97" s="359">
        <f>IFERROR(VLOOKUP([1]!Tabla9[[CEDULA ]],[1]!JUEVES[#Data],5,0),"No Registró")</f>
        <v>0.3767476851851852</v>
      </c>
      <c r="J97" s="360" t="s">
        <v>989</v>
      </c>
      <c r="K97" s="359" t="str">
        <f>IFERROR(VLOOKUP([1]!Tabla9[[CEDULA ]],[1]!VIERNES[#Data],5,0),"No registró")</f>
        <v>No registró</v>
      </c>
      <c r="L97" s="359" t="str">
        <f>IFERROR(LOOKUP(2,1/([1]!VIERNES[[CEDULA ]]=[1]!Tabla9[[#This Row],[CEDULA ]]),[1]!VIERNES[HORA]),"No registró")</f>
        <v>No registró</v>
      </c>
      <c r="M97" s="359">
        <f>IFERROR(VLOOKUP([1]!Tabla9[[CEDULA ]],[1]!SABADO[#Data],5,0),"No registró")</f>
        <v>0.46768518518518515</v>
      </c>
      <c r="N97" s="359">
        <f>IFERROR(LOOKUP(2,1/([1]!SABADO[[CEDULA ]]=[1]!Tabla9[[#This Row],[CEDULA ]]),[1]!SABADO[HORA]),"No registró")</f>
        <v>0.67902777777777779</v>
      </c>
      <c r="O97" s="359">
        <f>IFERROR(VLOOKUP([1]!Tabla9[[CEDULA ]],[1]!DOMINGO[#Data],5,0),"No registró")</f>
        <v>0.45859953703703704</v>
      </c>
      <c r="P97" s="359">
        <f>IFERROR(LOOKUP(2,1/([1]!DOMINGO[[CEDULA ]]=[1]!Tabla9[[#This Row],[CEDULA ]]),[1]!DOMINGO[HORA]),"No registró")</f>
        <v>0.92143518518518519</v>
      </c>
      <c r="Q97" s="240" t="str">
        <f>IFERROR(VLOOKUP(A97,DATOS[],10,0),"")</f>
        <v>0. ALTO NIVEL</v>
      </c>
    </row>
    <row r="98" spans="1:17" x14ac:dyDescent="0.25">
      <c r="A98" s="239">
        <v>7710715</v>
      </c>
      <c r="B98" s="239" t="s">
        <v>1080</v>
      </c>
      <c r="C98" s="359">
        <f>IFERROR(VLOOKUP([1]!Tabla9[[CEDULA ]],[1]!LUNES[#Data],5,0),"No registró")</f>
        <v>0.29121527777777778</v>
      </c>
      <c r="D98" s="359">
        <f>IFERROR(LOOKUP(2,1/([1]!LUNES[[CEDULA ]]=[1]!Tabla9[[#This Row],[CEDULA ]]),[1]!LUNES[HORA]),"No registró")</f>
        <v>0.64850694444444446</v>
      </c>
      <c r="E98" s="359">
        <f>IFERROR(VLOOKUP([1]!Tabla9[[CEDULA ]],[1]!MARTES[#Data],5,0),"No registró")</f>
        <v>0.28917824074074078</v>
      </c>
      <c r="F98" s="359">
        <f>IFERROR(LOOKUP(2,1/([1]!MARTES[[CEDULA ]]=[1]!Tabla9[[#This Row],[CEDULA ]]),[1]!MARTES[HORA]),"No Registró")</f>
        <v>0.29108796296296297</v>
      </c>
      <c r="G98" s="359" t="str">
        <f>IFERROR(VLOOKUP([1]!Tabla9[[CEDULA ]],[1]!MIERCOLES[#Data],5,0),"No registró")</f>
        <v>No registró</v>
      </c>
      <c r="H98" s="359" t="str">
        <f>IFERROR(LOOKUP(2,1/([1]!MIERCOLES[[CEDULA ]]=[1]!Tabla9[[#This Row],[CEDULA ]]),[1]!MIERCOLES[HORA]),"No registró")</f>
        <v>No registró</v>
      </c>
      <c r="I98" s="359" t="str">
        <f>IFERROR(VLOOKUP([1]!Tabla9[[CEDULA ]],[1]!JUEVES[#Data],5,0),"No Registró")</f>
        <v>No Registró</v>
      </c>
      <c r="J98" s="359" t="str">
        <f>IFERROR(LOOKUP(2,1/([1]!JUEVES[[CEDULA ]]=[1]!Tabla9[[#This Row],[CEDULA ]]),[1]!JUEVES[HORA]),"No registró")</f>
        <v>No registró</v>
      </c>
      <c r="K98" s="359" t="str">
        <f>IFERROR(VLOOKUP([1]!Tabla9[[CEDULA ]],[1]!VIERNES[#Data],5,0),"No registró")</f>
        <v>No registró</v>
      </c>
      <c r="L98" s="359" t="str">
        <f>IFERROR(LOOKUP(2,1/([1]!VIERNES[[CEDULA ]]=[1]!Tabla9[[#This Row],[CEDULA ]]),[1]!VIERNES[HORA]),"No registró")</f>
        <v>No registró</v>
      </c>
      <c r="M98" s="359" t="str">
        <f>IFERROR(VLOOKUP([1]!Tabla9[[CEDULA ]],[1]!SABADO[#Data],5,0),"No registró")</f>
        <v>No registró</v>
      </c>
      <c r="N98" s="359" t="str">
        <f>IFERROR(LOOKUP(2,1/([1]!SABADO[[CEDULA ]]=[1]!Tabla9[[#This Row],[CEDULA ]]),[1]!SABADO[HORA]),"No registró")</f>
        <v>No registró</v>
      </c>
      <c r="O98" s="359" t="str">
        <f>IFERROR(VLOOKUP([1]!Tabla9[[CEDULA ]],[1]!DOMINGO[#Data],5,0),"No registró")</f>
        <v>No registró</v>
      </c>
      <c r="P98" s="359" t="str">
        <f>IFERROR(LOOKUP(2,1/([1]!DOMINGO[[CEDULA ]]=[1]!Tabla9[[#This Row],[CEDULA ]]),[1]!DOMINGO[HORA]),"No registró")</f>
        <v>No registró</v>
      </c>
      <c r="Q98" s="240">
        <f>IFERROR(VLOOKUP(A98,DATOS[],10,0),"")</f>
        <v>0</v>
      </c>
    </row>
    <row r="99" spans="1:17" x14ac:dyDescent="0.25">
      <c r="A99" s="239">
        <v>7922201</v>
      </c>
      <c r="B99" s="239" t="s">
        <v>1081</v>
      </c>
      <c r="C99" s="359">
        <f>IFERROR(VLOOKUP([1]!Tabla9[[CEDULA ]],[1]!LUNES[#Data],5,0),"No registró")</f>
        <v>0.2832175925925926</v>
      </c>
      <c r="D99" s="359">
        <f>IFERROR(LOOKUP(2,1/([1]!LUNES[[CEDULA ]]=[1]!Tabla9[[#This Row],[CEDULA ]]),[1]!LUNES[HORA]),"No registró")</f>
        <v>0.56025462962962969</v>
      </c>
      <c r="E99" s="359">
        <f>IFERROR(VLOOKUP([1]!Tabla9[[CEDULA ]],[1]!MARTES[#Data],5,0),"No registró")</f>
        <v>0.2880092592592593</v>
      </c>
      <c r="F99" s="359">
        <f>IFERROR(LOOKUP(2,1/([1]!MARTES[[CEDULA ]]=[1]!Tabla9[[#This Row],[CEDULA ]]),[1]!MARTES[HORA]),"No Registró")</f>
        <v>0.56765046296296295</v>
      </c>
      <c r="G99" s="359" t="str">
        <f>IFERROR(VLOOKUP([1]!Tabla9[[CEDULA ]],[1]!MIERCOLES[#Data],5,0),"No registró")</f>
        <v>No registró</v>
      </c>
      <c r="H99" s="359" t="str">
        <f>IFERROR(LOOKUP(2,1/([1]!MIERCOLES[[CEDULA ]]=[1]!Tabla9[[#This Row],[CEDULA ]]),[1]!MIERCOLES[HORA]),"No registró")</f>
        <v>No registró</v>
      </c>
      <c r="I99" s="359" t="str">
        <f>IFERROR(VLOOKUP([1]!Tabla9[[CEDULA ]],[1]!JUEVES[#Data],5,0),"No Registró")</f>
        <v>No Registró</v>
      </c>
      <c r="J99" s="359" t="str">
        <f>IFERROR(LOOKUP(2,1/([1]!JUEVES[[CEDULA ]]=[1]!Tabla9[[#This Row],[CEDULA ]]),[1]!JUEVES[HORA]),"No registró")</f>
        <v>No registró</v>
      </c>
      <c r="K99" s="359" t="str">
        <f>IFERROR(VLOOKUP([1]!Tabla9[[CEDULA ]],[1]!VIERNES[#Data],5,0),"No registró")</f>
        <v>No registró</v>
      </c>
      <c r="L99" s="359" t="str">
        <f>IFERROR(LOOKUP(2,1/([1]!VIERNES[[CEDULA ]]=[1]!Tabla9[[#This Row],[CEDULA ]]),[1]!VIERNES[HORA]),"No registró")</f>
        <v>No registró</v>
      </c>
      <c r="M99" s="359" t="str">
        <f>IFERROR(VLOOKUP([1]!Tabla9[[CEDULA ]],[1]!SABADO[#Data],5,0),"No registró")</f>
        <v>No registró</v>
      </c>
      <c r="N99" s="359" t="str">
        <f>IFERROR(LOOKUP(2,1/([1]!SABADO[[CEDULA ]]=[1]!Tabla9[[#This Row],[CEDULA ]]),[1]!SABADO[HORA]),"No registró")</f>
        <v>No registró</v>
      </c>
      <c r="O99" s="359" t="str">
        <f>IFERROR(VLOOKUP([1]!Tabla9[[CEDULA ]],[1]!DOMINGO[#Data],5,0),"No registró")</f>
        <v>No registró</v>
      </c>
      <c r="P99" s="359" t="str">
        <f>IFERROR(LOOKUP(2,1/([1]!DOMINGO[[CEDULA ]]=[1]!Tabla9[[#This Row],[CEDULA ]]),[1]!DOMINGO[HORA]),"No registró")</f>
        <v>No registró</v>
      </c>
      <c r="Q99" s="240" t="str">
        <f>IFERROR(VLOOKUP(A99,DATOS[],10,0),"")</f>
        <v>2. CATIA</v>
      </c>
    </row>
    <row r="100" spans="1:17" x14ac:dyDescent="0.25">
      <c r="A100" s="239">
        <v>7928721</v>
      </c>
      <c r="B100" s="239" t="s">
        <v>1082</v>
      </c>
      <c r="C100" s="359">
        <f>IFERROR(VLOOKUP([1]!Tabla9[[CEDULA ]],[1]!LUNES[#Data],5,0),"No registró")</f>
        <v>0.28140046296296295</v>
      </c>
      <c r="D100" s="359">
        <f>IFERROR(LOOKUP(2,1/([1]!LUNES[[CEDULA ]]=[1]!Tabla9[[#This Row],[CEDULA ]]),[1]!LUNES[HORA]),"No registró")</f>
        <v>0.55136574074074074</v>
      </c>
      <c r="E100" s="359">
        <f>IFERROR(VLOOKUP([1]!Tabla9[[CEDULA ]],[1]!MARTES[#Data],5,0),"No registró")</f>
        <v>0.29312500000000002</v>
      </c>
      <c r="F100" s="359">
        <f>IFERROR(LOOKUP(2,1/([1]!MARTES[[CEDULA ]]=[1]!Tabla9[[#This Row],[CEDULA ]]),[1]!MARTES[HORA]),"No Registró")</f>
        <v>0.55030092592592594</v>
      </c>
      <c r="G100" s="359" t="str">
        <f>IFERROR(VLOOKUP([1]!Tabla9[[CEDULA ]],[1]!MIERCOLES[#Data],5,0),"No registró")</f>
        <v>No registró</v>
      </c>
      <c r="H100" s="359" t="str">
        <f>IFERROR(LOOKUP(2,1/([1]!MIERCOLES[[CEDULA ]]=[1]!Tabla9[[#This Row],[CEDULA ]]),[1]!MIERCOLES[HORA]),"No registró")</f>
        <v>No registró</v>
      </c>
      <c r="I100" s="359" t="str">
        <f>IFERROR(VLOOKUP([1]!Tabla9[[CEDULA ]],[1]!JUEVES[#Data],5,0),"No Registró")</f>
        <v>No Registró</v>
      </c>
      <c r="J100" s="359" t="str">
        <f>IFERROR(LOOKUP(2,1/([1]!JUEVES[[CEDULA ]]=[1]!Tabla9[[#This Row],[CEDULA ]]),[1]!JUEVES[HORA]),"No registró")</f>
        <v>No registró</v>
      </c>
      <c r="K100" s="359" t="str">
        <f>IFERROR(VLOOKUP([1]!Tabla9[[CEDULA ]],[1]!VIERNES[#Data],5,0),"No registró")</f>
        <v>No registró</v>
      </c>
      <c r="L100" s="359" t="str">
        <f>IFERROR(LOOKUP(2,1/([1]!VIERNES[[CEDULA ]]=[1]!Tabla9[[#This Row],[CEDULA ]]),[1]!VIERNES[HORA]),"No registró")</f>
        <v>No registró</v>
      </c>
      <c r="M100" s="359" t="str">
        <f>IFERROR(VLOOKUP([1]!Tabla9[[CEDULA ]],[1]!SABADO[#Data],5,0),"No registró")</f>
        <v>No registró</v>
      </c>
      <c r="N100" s="359" t="str">
        <f>IFERROR(LOOKUP(2,1/([1]!SABADO[[CEDULA ]]=[1]!Tabla9[[#This Row],[CEDULA ]]),[1]!SABADO[HORA]),"No registró")</f>
        <v>No registró</v>
      </c>
      <c r="O100" s="359" t="str">
        <f>IFERROR(VLOOKUP([1]!Tabla9[[CEDULA ]],[1]!DOMINGO[#Data],5,0),"No registró")</f>
        <v>No registró</v>
      </c>
      <c r="P100" s="359" t="str">
        <f>IFERROR(LOOKUP(2,1/([1]!DOMINGO[[CEDULA ]]=[1]!Tabla9[[#This Row],[CEDULA ]]),[1]!DOMINGO[HORA]),"No registró")</f>
        <v>No registró</v>
      </c>
      <c r="Q100" s="240" t="str">
        <f>IFERROR(VLOOKUP(A100,DATOS[],10,0),"")</f>
        <v>2. CATIA</v>
      </c>
    </row>
    <row r="101" spans="1:17" x14ac:dyDescent="0.25">
      <c r="A101" s="239">
        <v>7948797</v>
      </c>
      <c r="B101" s="239" t="s">
        <v>1083</v>
      </c>
      <c r="C101" s="359">
        <f>IFERROR(VLOOKUP([1]!Tabla9[[CEDULA ]],[1]!LUNES[#Data],5,0),"No registró")</f>
        <v>0.27787037037037038</v>
      </c>
      <c r="D101" s="359">
        <f>IFERROR(LOOKUP(2,1/([1]!LUNES[[CEDULA ]]=[1]!Tabla9[[#This Row],[CEDULA ]]),[1]!LUNES[HORA]),"No registró")</f>
        <v>0.55480324074074072</v>
      </c>
      <c r="E101" s="359">
        <f>IFERROR(VLOOKUP([1]!Tabla9[[CEDULA ]],[1]!MARTES[#Data],5,0),"No registró")</f>
        <v>0.26018518518518519</v>
      </c>
      <c r="F101" s="359">
        <f>IFERROR(LOOKUP(2,1/([1]!MARTES[[CEDULA ]]=[1]!Tabla9[[#This Row],[CEDULA ]]),[1]!MARTES[HORA]),"No Registró")</f>
        <v>0.55328703703703697</v>
      </c>
      <c r="G101" s="359" t="str">
        <f>IFERROR(VLOOKUP([1]!Tabla9[[CEDULA ]],[1]!MIERCOLES[#Data],5,0),"No registró")</f>
        <v>No registró</v>
      </c>
      <c r="H101" s="359" t="str">
        <f>IFERROR(LOOKUP(2,1/([1]!MIERCOLES[[CEDULA ]]=[1]!Tabla9[[#This Row],[CEDULA ]]),[1]!MIERCOLES[HORA]),"No registró")</f>
        <v>No registró</v>
      </c>
      <c r="I101" s="359" t="str">
        <f>IFERROR(VLOOKUP([1]!Tabla9[[CEDULA ]],[1]!JUEVES[#Data],5,0),"No Registró")</f>
        <v>No Registró</v>
      </c>
      <c r="J101" s="359" t="str">
        <f>IFERROR(LOOKUP(2,1/([1]!JUEVES[[CEDULA ]]=[1]!Tabla9[[#This Row],[CEDULA ]]),[1]!JUEVES[HORA]),"No registró")</f>
        <v>No registró</v>
      </c>
      <c r="K101" s="359" t="str">
        <f>IFERROR(VLOOKUP([1]!Tabla9[[CEDULA ]],[1]!VIERNES[#Data],5,0),"No registró")</f>
        <v>No registró</v>
      </c>
      <c r="L101" s="359" t="str">
        <f>IFERROR(LOOKUP(2,1/([1]!VIERNES[[CEDULA ]]=[1]!Tabla9[[#This Row],[CEDULA ]]),[1]!VIERNES[HORA]),"No registró")</f>
        <v>No registró</v>
      </c>
      <c r="M101" s="359">
        <f>IFERROR(VLOOKUP([1]!Tabla9[[CEDULA ]],[1]!SABADO[#Data],5,0),"No registró")</f>
        <v>0.28017361111111111</v>
      </c>
      <c r="N101" s="359">
        <f>IFERROR(LOOKUP(2,1/([1]!SABADO[[CEDULA ]]=[1]!Tabla9[[#This Row],[CEDULA ]]),[1]!SABADO[HORA]),"No registró")</f>
        <v>0.53531249999999997</v>
      </c>
      <c r="O101" s="359" t="str">
        <f>IFERROR(VLOOKUP([1]!Tabla9[[CEDULA ]],[1]!DOMINGO[#Data],5,0),"No registró")</f>
        <v>No registró</v>
      </c>
      <c r="P101" s="359" t="str">
        <f>IFERROR(LOOKUP(2,1/([1]!DOMINGO[[CEDULA ]]=[1]!Tabla9[[#This Row],[CEDULA ]]),[1]!DOMINGO[HORA]),"No registró")</f>
        <v>No registró</v>
      </c>
      <c r="Q101" s="240" t="str">
        <f>IFERROR(VLOOKUP(A101,DATOS[],10,0),"")</f>
        <v>1. COCHE</v>
      </c>
    </row>
    <row r="102" spans="1:17" x14ac:dyDescent="0.25">
      <c r="A102" s="239">
        <v>7953727</v>
      </c>
      <c r="B102" s="239" t="s">
        <v>1084</v>
      </c>
      <c r="C102" s="359">
        <f>IFERROR(VLOOKUP([1]!Tabla9[[CEDULA ]],[1]!LUNES[#Data],5,0),"No registró")</f>
        <v>0.283287037037037</v>
      </c>
      <c r="D102" s="359">
        <f>IFERROR(LOOKUP(2,1/([1]!LUNES[[CEDULA ]]=[1]!Tabla9[[#This Row],[CEDULA ]]),[1]!LUNES[HORA]),"No registró")</f>
        <v>0.28569444444444442</v>
      </c>
      <c r="E102" s="359">
        <f>IFERROR(VLOOKUP([1]!Tabla9[[CEDULA ]],[1]!MARTES[#Data],5,0),"No registró")</f>
        <v>0.28745370370370371</v>
      </c>
      <c r="F102" s="359">
        <f>IFERROR(LOOKUP(2,1/([1]!MARTES[[CEDULA ]]=[1]!Tabla9[[#This Row],[CEDULA ]]),[1]!MARTES[HORA]),"No Registró")</f>
        <v>0.28892361111111109</v>
      </c>
      <c r="G102" s="359" t="str">
        <f>IFERROR(VLOOKUP([1]!Tabla9[[CEDULA ]],[1]!MIERCOLES[#Data],5,0),"No registró")</f>
        <v>No registró</v>
      </c>
      <c r="H102" s="359" t="str">
        <f>IFERROR(LOOKUP(2,1/([1]!MIERCOLES[[CEDULA ]]=[1]!Tabla9[[#This Row],[CEDULA ]]),[1]!MIERCOLES[HORA]),"No registró")</f>
        <v>No registró</v>
      </c>
      <c r="I102" s="359" t="str">
        <f>IFERROR(VLOOKUP([1]!Tabla9[[CEDULA ]],[1]!JUEVES[#Data],5,0),"No Registró")</f>
        <v>No Registró</v>
      </c>
      <c r="J102" s="359" t="str">
        <f>IFERROR(LOOKUP(2,1/([1]!JUEVES[[CEDULA ]]=[1]!Tabla9[[#This Row],[CEDULA ]]),[1]!JUEVES[HORA]),"No registró")</f>
        <v>No registró</v>
      </c>
      <c r="K102" s="359" t="str">
        <f>IFERROR(VLOOKUP([1]!Tabla9[[CEDULA ]],[1]!VIERNES[#Data],5,0),"No registró")</f>
        <v>No registró</v>
      </c>
      <c r="L102" s="359" t="str">
        <f>IFERROR(LOOKUP(2,1/([1]!VIERNES[[CEDULA ]]=[1]!Tabla9[[#This Row],[CEDULA ]]),[1]!VIERNES[HORA]),"No registró")</f>
        <v>No registró</v>
      </c>
      <c r="M102" s="359" t="str">
        <f>IFERROR(VLOOKUP([1]!Tabla9[[CEDULA ]],[1]!SABADO[#Data],5,0),"No registró")</f>
        <v>No registró</v>
      </c>
      <c r="N102" s="359" t="str">
        <f>IFERROR(LOOKUP(2,1/([1]!SABADO[[CEDULA ]]=[1]!Tabla9[[#This Row],[CEDULA ]]),[1]!SABADO[HORA]),"No registró")</f>
        <v>No registró</v>
      </c>
      <c r="O102" s="359" t="str">
        <f>IFERROR(VLOOKUP([1]!Tabla9[[CEDULA ]],[1]!DOMINGO[#Data],5,0),"No registró")</f>
        <v>No registró</v>
      </c>
      <c r="P102" s="359" t="str">
        <f>IFERROR(LOOKUP(2,1/([1]!DOMINGO[[CEDULA ]]=[1]!Tabla9[[#This Row],[CEDULA ]]),[1]!DOMINGO[HORA]),"No registró")</f>
        <v>No registró</v>
      </c>
      <c r="Q102" s="240" t="str">
        <f>IFERROR(VLOOKUP(A102,DATOS[],10,0),"")</f>
        <v>2. CATIA</v>
      </c>
    </row>
    <row r="103" spans="1:17" x14ac:dyDescent="0.25">
      <c r="A103" s="239">
        <v>7953728</v>
      </c>
      <c r="B103" s="239" t="s">
        <v>1085</v>
      </c>
      <c r="C103" s="359">
        <f>IFERROR(VLOOKUP([1]!Tabla9[[CEDULA ]],[1]!LUNES[#Data],5,0),"No registró")</f>
        <v>0.28115740740740741</v>
      </c>
      <c r="D103" s="359">
        <f>IFERROR(LOOKUP(2,1/([1]!LUNES[[CEDULA ]]=[1]!Tabla9[[#This Row],[CEDULA ]]),[1]!LUNES[HORA]),"No registró")</f>
        <v>0.55381944444444442</v>
      </c>
      <c r="E103" s="359">
        <f>IFERROR(VLOOKUP([1]!Tabla9[[CEDULA ]],[1]!MARTES[#Data],5,0),"No registró")</f>
        <v>0.28734953703703703</v>
      </c>
      <c r="F103" s="359">
        <f>IFERROR(LOOKUP(2,1/([1]!MARTES[[CEDULA ]]=[1]!Tabla9[[#This Row],[CEDULA ]]),[1]!MARTES[HORA]),"No Registró")</f>
        <v>0.55346064814814822</v>
      </c>
      <c r="G103" s="359" t="str">
        <f>IFERROR(VLOOKUP([1]!Tabla9[[CEDULA ]],[1]!MIERCOLES[#Data],5,0),"No registró")</f>
        <v>No registró</v>
      </c>
      <c r="H103" s="359" t="str">
        <f>IFERROR(LOOKUP(2,1/([1]!MIERCOLES[[CEDULA ]]=[1]!Tabla9[[#This Row],[CEDULA ]]),[1]!MIERCOLES[HORA]),"No registró")</f>
        <v>No registró</v>
      </c>
      <c r="I103" s="359" t="str">
        <f>IFERROR(VLOOKUP([1]!Tabla9[[CEDULA ]],[1]!JUEVES[#Data],5,0),"No Registró")</f>
        <v>No Registró</v>
      </c>
      <c r="J103" s="359" t="str">
        <f>IFERROR(LOOKUP(2,1/([1]!JUEVES[[CEDULA ]]=[1]!Tabla9[[#This Row],[CEDULA ]]),[1]!JUEVES[HORA]),"No registró")</f>
        <v>No registró</v>
      </c>
      <c r="K103" s="359" t="str">
        <f>IFERROR(VLOOKUP([1]!Tabla9[[CEDULA ]],[1]!VIERNES[#Data],5,0),"No registró")</f>
        <v>No registró</v>
      </c>
      <c r="L103" s="359" t="str">
        <f>IFERROR(LOOKUP(2,1/([1]!VIERNES[[CEDULA ]]=[1]!Tabla9[[#This Row],[CEDULA ]]),[1]!VIERNES[HORA]),"No registró")</f>
        <v>No registró</v>
      </c>
      <c r="M103" s="359" t="str">
        <f>IFERROR(VLOOKUP([1]!Tabla9[[CEDULA ]],[1]!SABADO[#Data],5,0),"No registró")</f>
        <v>No registró</v>
      </c>
      <c r="N103" s="359" t="str">
        <f>IFERROR(LOOKUP(2,1/([1]!SABADO[[CEDULA ]]=[1]!Tabla9[[#This Row],[CEDULA ]]),[1]!SABADO[HORA]),"No registró")</f>
        <v>No registró</v>
      </c>
      <c r="O103" s="359" t="str">
        <f>IFERROR(VLOOKUP([1]!Tabla9[[CEDULA ]],[1]!DOMINGO[#Data],5,0),"No registró")</f>
        <v>No registró</v>
      </c>
      <c r="P103" s="359" t="str">
        <f>IFERROR(LOOKUP(2,1/([1]!DOMINGO[[CEDULA ]]=[1]!Tabla9[[#This Row],[CEDULA ]]),[1]!DOMINGO[HORA]),"No registró")</f>
        <v>No registró</v>
      </c>
      <c r="Q103" s="240" t="str">
        <f>IFERROR(VLOOKUP(A103,DATOS[],10,0),"")</f>
        <v>2. CATIA</v>
      </c>
    </row>
    <row r="104" spans="1:17" x14ac:dyDescent="0.25">
      <c r="A104" s="239">
        <v>7990710</v>
      </c>
      <c r="B104" s="239" t="s">
        <v>1378</v>
      </c>
      <c r="C104" s="359">
        <f>IFERROR(VLOOKUP([1]!Tabla9[[CEDULA ]],[1]!LUNES[#Data],5,0),"No registró")</f>
        <v>0.29981481481481481</v>
      </c>
      <c r="D104" s="359">
        <f>IFERROR(LOOKUP(2,1/([1]!LUNES[[CEDULA ]]=[1]!Tabla9[[#This Row],[CEDULA ]]),[1]!LUNES[HORA]),"No registró")</f>
        <v>0.55318287037037039</v>
      </c>
      <c r="E104" s="359">
        <f>IFERROR(VLOOKUP([1]!Tabla9[[CEDULA ]],[1]!MARTES[#Data],5,0),"No registró")</f>
        <v>0.30097222222222225</v>
      </c>
      <c r="F104" s="359">
        <f>IFERROR(LOOKUP(2,1/([1]!MARTES[[CEDULA ]]=[1]!Tabla9[[#This Row],[CEDULA ]]),[1]!MARTES[HORA]),"No Registró")</f>
        <v>0.55273148148148155</v>
      </c>
      <c r="G104" s="359" t="str">
        <f>IFERROR(VLOOKUP([1]!Tabla9[[CEDULA ]],[1]!MIERCOLES[#Data],5,0),"No registró")</f>
        <v>No registró</v>
      </c>
      <c r="H104" s="359" t="str">
        <f>IFERROR(LOOKUP(2,1/([1]!MIERCOLES[[CEDULA ]]=[1]!Tabla9[[#This Row],[CEDULA ]]),[1]!MIERCOLES[HORA]),"No registró")</f>
        <v>No registró</v>
      </c>
      <c r="I104" s="359" t="str">
        <f>IFERROR(VLOOKUP([1]!Tabla9[[CEDULA ]],[1]!JUEVES[#Data],5,0),"No Registró")</f>
        <v>No Registró</v>
      </c>
      <c r="J104" s="359" t="str">
        <f>IFERROR(LOOKUP(2,1/([1]!JUEVES[[CEDULA ]]=[1]!Tabla9[[#This Row],[CEDULA ]]),[1]!JUEVES[HORA]),"No registró")</f>
        <v>No registró</v>
      </c>
      <c r="K104" s="359" t="str">
        <f>IFERROR(VLOOKUP([1]!Tabla9[[CEDULA ]],[1]!VIERNES[#Data],5,0),"No registró")</f>
        <v>No registró</v>
      </c>
      <c r="L104" s="359" t="str">
        <f>IFERROR(LOOKUP(2,1/([1]!VIERNES[[CEDULA ]]=[1]!Tabla9[[#This Row],[CEDULA ]]),[1]!VIERNES[HORA]),"No registró")</f>
        <v>No registró</v>
      </c>
      <c r="M104" s="359" t="str">
        <f>IFERROR(VLOOKUP([1]!Tabla9[[CEDULA ]],[1]!SABADO[#Data],5,0),"No registró")</f>
        <v>No registró</v>
      </c>
      <c r="N104" s="359" t="str">
        <f>IFERROR(LOOKUP(2,1/([1]!SABADO[[CEDULA ]]=[1]!Tabla9[[#This Row],[CEDULA ]]),[1]!SABADO[HORA]),"No registró")</f>
        <v>No registró</v>
      </c>
      <c r="O104" s="359" t="str">
        <f>IFERROR(VLOOKUP([1]!Tabla9[[CEDULA ]],[1]!DOMINGO[#Data],5,0),"No registró")</f>
        <v>No registró</v>
      </c>
      <c r="P104" s="359" t="str">
        <f>IFERROR(LOOKUP(2,1/([1]!DOMINGO[[CEDULA ]]=[1]!Tabla9[[#This Row],[CEDULA ]]),[1]!DOMINGO[HORA]),"No registró")</f>
        <v>No registró</v>
      </c>
      <c r="Q104" s="240">
        <f>IFERROR(VLOOKUP(A104,DATOS[],10,0),"")</f>
        <v>0</v>
      </c>
    </row>
    <row r="105" spans="1:17" x14ac:dyDescent="0.25">
      <c r="A105" s="239">
        <v>7991468</v>
      </c>
      <c r="B105" s="239" t="s">
        <v>1086</v>
      </c>
      <c r="C105" s="359">
        <f>IFERROR(VLOOKUP([1]!Tabla9[[CEDULA ]],[1]!LUNES[#Data],5,0),"No registró")</f>
        <v>0.28069444444444441</v>
      </c>
      <c r="D105" s="359">
        <f>IFERROR(LOOKUP(2,1/([1]!LUNES[[CEDULA ]]=[1]!Tabla9[[#This Row],[CEDULA ]]),[1]!LUNES[HORA]),"No registró")</f>
        <v>0.55473379629629627</v>
      </c>
      <c r="E105" s="359">
        <f>IFERROR(VLOOKUP([1]!Tabla9[[CEDULA ]],[1]!MARTES[#Data],5,0),"No registró")</f>
        <v>0.2865625</v>
      </c>
      <c r="F105" s="359">
        <f>IFERROR(LOOKUP(2,1/([1]!MARTES[[CEDULA ]]=[1]!Tabla9[[#This Row],[CEDULA ]]),[1]!MARTES[HORA]),"No Registró")</f>
        <v>0.55354166666666671</v>
      </c>
      <c r="G105" s="359" t="str">
        <f>IFERROR(VLOOKUP([1]!Tabla9[[CEDULA ]],[1]!MIERCOLES[#Data],5,0),"No registró")</f>
        <v>No registró</v>
      </c>
      <c r="H105" s="359" t="str">
        <f>IFERROR(LOOKUP(2,1/([1]!MIERCOLES[[CEDULA ]]=[1]!Tabla9[[#This Row],[CEDULA ]]),[1]!MIERCOLES[HORA]),"No registró")</f>
        <v>No registró</v>
      </c>
      <c r="I105" s="359" t="str">
        <f>IFERROR(VLOOKUP([1]!Tabla9[[CEDULA ]],[1]!JUEVES[#Data],5,0),"No Registró")</f>
        <v>No Registró</v>
      </c>
      <c r="J105" s="359" t="str">
        <f>IFERROR(LOOKUP(2,1/([1]!JUEVES[[CEDULA ]]=[1]!Tabla9[[#This Row],[CEDULA ]]),[1]!JUEVES[HORA]),"No registró")</f>
        <v>No registró</v>
      </c>
      <c r="K105" s="359" t="str">
        <f>IFERROR(VLOOKUP([1]!Tabla9[[CEDULA ]],[1]!VIERNES[#Data],5,0),"No registró")</f>
        <v>No registró</v>
      </c>
      <c r="L105" s="359" t="str">
        <f>IFERROR(LOOKUP(2,1/([1]!VIERNES[[CEDULA ]]=[1]!Tabla9[[#This Row],[CEDULA ]]),[1]!VIERNES[HORA]),"No registró")</f>
        <v>No registró</v>
      </c>
      <c r="M105" s="359" t="str">
        <f>IFERROR(VLOOKUP([1]!Tabla9[[CEDULA ]],[1]!SABADO[#Data],5,0),"No registró")</f>
        <v>No registró</v>
      </c>
      <c r="N105" s="359" t="str">
        <f>IFERROR(LOOKUP(2,1/([1]!SABADO[[CEDULA ]]=[1]!Tabla9[[#This Row],[CEDULA ]]),[1]!SABADO[HORA]),"No registró")</f>
        <v>No registró</v>
      </c>
      <c r="O105" s="359" t="str">
        <f>IFERROR(VLOOKUP([1]!Tabla9[[CEDULA ]],[1]!DOMINGO[#Data],5,0),"No registró")</f>
        <v>No registró</v>
      </c>
      <c r="P105" s="359" t="str">
        <f>IFERROR(LOOKUP(2,1/([1]!DOMINGO[[CEDULA ]]=[1]!Tabla9[[#This Row],[CEDULA ]]),[1]!DOMINGO[HORA]),"No registró")</f>
        <v>No registró</v>
      </c>
      <c r="Q105" s="240">
        <f>IFERROR(VLOOKUP(A105,DATOS[],10,0),"")</f>
        <v>0</v>
      </c>
    </row>
    <row r="106" spans="1:17" x14ac:dyDescent="0.25">
      <c r="A106" s="239">
        <v>8040854</v>
      </c>
      <c r="B106" s="239" t="s">
        <v>1087</v>
      </c>
      <c r="C106" s="359" t="str">
        <f>IFERROR(VLOOKUP([1]!Tabla9[[CEDULA ]],[1]!LUNES[#Data],5,0),"No registró")</f>
        <v>No registró</v>
      </c>
      <c r="D106" s="359" t="str">
        <f>IFERROR(LOOKUP(2,1/([1]!LUNES[[CEDULA ]]=[1]!Tabla9[[#This Row],[CEDULA ]]),[1]!LUNES[HORA]),"No registró")</f>
        <v>No registró</v>
      </c>
      <c r="E106" s="359">
        <f>IFERROR(VLOOKUP([1]!Tabla9[[CEDULA ]],[1]!MARTES[#Data],5,0),"No registró")</f>
        <v>0.28174768518518517</v>
      </c>
      <c r="F106" s="359">
        <f>IFERROR(LOOKUP(2,1/([1]!MARTES[[CEDULA ]]=[1]!Tabla9[[#This Row],[CEDULA ]]),[1]!MARTES[HORA]),"No Registró")</f>
        <v>0.54967592592592596</v>
      </c>
      <c r="G106" s="359" t="str">
        <f>IFERROR(VLOOKUP([1]!Tabla9[[CEDULA ]],[1]!MIERCOLES[#Data],5,0),"No registró")</f>
        <v>No registró</v>
      </c>
      <c r="H106" s="359" t="str">
        <f>IFERROR(LOOKUP(2,1/([1]!MIERCOLES[[CEDULA ]]=[1]!Tabla9[[#This Row],[CEDULA ]]),[1]!MIERCOLES[HORA]),"No registró")</f>
        <v>No registró</v>
      </c>
      <c r="I106" s="359" t="str">
        <f>IFERROR(VLOOKUP([1]!Tabla9[[CEDULA ]],[1]!JUEVES[#Data],5,0),"No Registró")</f>
        <v>No Registró</v>
      </c>
      <c r="J106" s="359" t="str">
        <f>IFERROR(LOOKUP(2,1/([1]!JUEVES[[CEDULA ]]=[1]!Tabla9[[#This Row],[CEDULA ]]),[1]!JUEVES[HORA]),"No registró")</f>
        <v>No registró</v>
      </c>
      <c r="K106" s="359" t="str">
        <f>IFERROR(VLOOKUP([1]!Tabla9[[CEDULA ]],[1]!VIERNES[#Data],5,0),"No registró")</f>
        <v>No registró</v>
      </c>
      <c r="L106" s="359" t="str">
        <f>IFERROR(LOOKUP(2,1/([1]!VIERNES[[CEDULA ]]=[1]!Tabla9[[#This Row],[CEDULA ]]),[1]!VIERNES[HORA]),"No registró")</f>
        <v>No registró</v>
      </c>
      <c r="M106" s="359" t="str">
        <f>IFERROR(VLOOKUP([1]!Tabla9[[CEDULA ]],[1]!SABADO[#Data],5,0),"No registró")</f>
        <v>No registró</v>
      </c>
      <c r="N106" s="359" t="str">
        <f>IFERROR(LOOKUP(2,1/([1]!SABADO[[CEDULA ]]=[1]!Tabla9[[#This Row],[CEDULA ]]),[1]!SABADO[HORA]),"No registró")</f>
        <v>No registró</v>
      </c>
      <c r="O106" s="359" t="str">
        <f>IFERROR(VLOOKUP([1]!Tabla9[[CEDULA ]],[1]!DOMINGO[#Data],5,0),"No registró")</f>
        <v>No registró</v>
      </c>
      <c r="P106" s="359" t="str">
        <f>IFERROR(LOOKUP(2,1/([1]!DOMINGO[[CEDULA ]]=[1]!Tabla9[[#This Row],[CEDULA ]]),[1]!DOMINGO[HORA]),"No registró")</f>
        <v>No registró</v>
      </c>
      <c r="Q106" s="240" t="str">
        <f>IFERROR(VLOOKUP(A106,DATOS[],10,0),"")</f>
        <v>3. CARICUAO</v>
      </c>
    </row>
    <row r="107" spans="1:17" x14ac:dyDescent="0.25">
      <c r="A107" s="239">
        <v>8050347</v>
      </c>
      <c r="B107" s="239" t="s">
        <v>1088</v>
      </c>
      <c r="C107" s="359">
        <f>IFERROR(VLOOKUP([1]!Tabla9[[CEDULA ]],[1]!LUNES[#Data],5,0),"No registró")</f>
        <v>0.2820023148148148</v>
      </c>
      <c r="D107" s="359">
        <f>IFERROR(LOOKUP(2,1/([1]!LUNES[[CEDULA ]]=[1]!Tabla9[[#This Row],[CEDULA ]]),[1]!LUNES[HORA]),"No registró")</f>
        <v>0.55307870370370371</v>
      </c>
      <c r="E107" s="359">
        <f>IFERROR(VLOOKUP([1]!Tabla9[[CEDULA ]],[1]!MARTES[#Data],5,0),"No registró")</f>
        <v>0.28189814814814812</v>
      </c>
      <c r="F107" s="359">
        <f>IFERROR(LOOKUP(2,1/([1]!MARTES[[CEDULA ]]=[1]!Tabla9[[#This Row],[CEDULA ]]),[1]!MARTES[HORA]),"No Registró")</f>
        <v>0.5521759259259259</v>
      </c>
      <c r="G107" s="359" t="str">
        <f>IFERROR(VLOOKUP([1]!Tabla9[[CEDULA ]],[1]!MIERCOLES[#Data],5,0),"No registró")</f>
        <v>No registró</v>
      </c>
      <c r="H107" s="359" t="str">
        <f>IFERROR(LOOKUP(2,1/([1]!MIERCOLES[[CEDULA ]]=[1]!Tabla9[[#This Row],[CEDULA ]]),[1]!MIERCOLES[HORA]),"No registró")</f>
        <v>No registró</v>
      </c>
      <c r="I107" s="359" t="str">
        <f>IFERROR(VLOOKUP([1]!Tabla9[[CEDULA ]],[1]!JUEVES[#Data],5,0),"No Registró")</f>
        <v>No Registró</v>
      </c>
      <c r="J107" s="359" t="str">
        <f>IFERROR(LOOKUP(2,1/([1]!JUEVES[[CEDULA ]]=[1]!Tabla9[[#This Row],[CEDULA ]]),[1]!JUEVES[HORA]),"No registró")</f>
        <v>No registró</v>
      </c>
      <c r="K107" s="359" t="str">
        <f>IFERROR(VLOOKUP([1]!Tabla9[[CEDULA ]],[1]!VIERNES[#Data],5,0),"No registró")</f>
        <v>No registró</v>
      </c>
      <c r="L107" s="359" t="str">
        <f>IFERROR(LOOKUP(2,1/([1]!VIERNES[[CEDULA ]]=[1]!Tabla9[[#This Row],[CEDULA ]]),[1]!VIERNES[HORA]),"No registró")</f>
        <v>No registró</v>
      </c>
      <c r="M107" s="359" t="str">
        <f>IFERROR(VLOOKUP([1]!Tabla9[[CEDULA ]],[1]!SABADO[#Data],5,0),"No registró")</f>
        <v>No registró</v>
      </c>
      <c r="N107" s="359" t="str">
        <f>IFERROR(LOOKUP(2,1/([1]!SABADO[[CEDULA ]]=[1]!Tabla9[[#This Row],[CEDULA ]]),[1]!SABADO[HORA]),"No registró")</f>
        <v>No registró</v>
      </c>
      <c r="O107" s="359" t="str">
        <f>IFERROR(VLOOKUP([1]!Tabla9[[CEDULA ]],[1]!DOMINGO[#Data],5,0),"No registró")</f>
        <v>No registró</v>
      </c>
      <c r="P107" s="359" t="str">
        <f>IFERROR(LOOKUP(2,1/([1]!DOMINGO[[CEDULA ]]=[1]!Tabla9[[#This Row],[CEDULA ]]),[1]!DOMINGO[HORA]),"No registró")</f>
        <v>No registró</v>
      </c>
      <c r="Q107" s="240" t="str">
        <f>IFERROR(VLOOKUP(A107,DATOS[],10,0),"")</f>
        <v>3. CARICUAO</v>
      </c>
    </row>
    <row r="108" spans="1:17" x14ac:dyDescent="0.25">
      <c r="A108" s="239">
        <v>8104790</v>
      </c>
      <c r="B108" s="239" t="s">
        <v>1089</v>
      </c>
      <c r="C108" s="359">
        <f>IFERROR(VLOOKUP([1]!Tabla9[[CEDULA ]],[1]!LUNES[#Data],5,0),"No registró")</f>
        <v>0.28188657407407408</v>
      </c>
      <c r="D108" s="359">
        <f>IFERROR(LOOKUP(2,1/([1]!LUNES[[CEDULA ]]=[1]!Tabla9[[#This Row],[CEDULA ]]),[1]!LUNES[HORA]),"No registró")</f>
        <v>0.55228009259259259</v>
      </c>
      <c r="E108" s="359">
        <f>IFERROR(VLOOKUP([1]!Tabla9[[CEDULA ]],[1]!MARTES[#Data],5,0),"No registró")</f>
        <v>0.28160879629629632</v>
      </c>
      <c r="F108" s="359">
        <f>IFERROR(LOOKUP(2,1/([1]!MARTES[[CEDULA ]]=[1]!Tabla9[[#This Row],[CEDULA ]]),[1]!MARTES[HORA]),"No Registró")</f>
        <v>0.55283564814814812</v>
      </c>
      <c r="G108" s="359" t="str">
        <f>IFERROR(VLOOKUP([1]!Tabla9[[CEDULA ]],[1]!MIERCOLES[#Data],5,0),"No registró")</f>
        <v>No registró</v>
      </c>
      <c r="H108" s="359" t="str">
        <f>IFERROR(LOOKUP(2,1/([1]!MIERCOLES[[CEDULA ]]=[1]!Tabla9[[#This Row],[CEDULA ]]),[1]!MIERCOLES[HORA]),"No registró")</f>
        <v>No registró</v>
      </c>
      <c r="I108" s="359" t="str">
        <f>IFERROR(VLOOKUP([1]!Tabla9[[CEDULA ]],[1]!JUEVES[#Data],5,0),"No Registró")</f>
        <v>No Registró</v>
      </c>
      <c r="J108" s="359" t="str">
        <f>IFERROR(LOOKUP(2,1/([1]!JUEVES[[CEDULA ]]=[1]!Tabla9[[#This Row],[CEDULA ]]),[1]!JUEVES[HORA]),"No registró")</f>
        <v>No registró</v>
      </c>
      <c r="K108" s="359" t="str">
        <f>IFERROR(VLOOKUP([1]!Tabla9[[CEDULA ]],[1]!VIERNES[#Data],5,0),"No registró")</f>
        <v>No registró</v>
      </c>
      <c r="L108" s="359" t="str">
        <f>IFERROR(LOOKUP(2,1/([1]!VIERNES[[CEDULA ]]=[1]!Tabla9[[#This Row],[CEDULA ]]),[1]!VIERNES[HORA]),"No registró")</f>
        <v>No registró</v>
      </c>
      <c r="M108" s="359" t="str">
        <f>IFERROR(VLOOKUP([1]!Tabla9[[CEDULA ]],[1]!SABADO[#Data],5,0),"No registró")</f>
        <v>No registró</v>
      </c>
      <c r="N108" s="359" t="str">
        <f>IFERROR(LOOKUP(2,1/([1]!SABADO[[CEDULA ]]=[1]!Tabla9[[#This Row],[CEDULA ]]),[1]!SABADO[HORA]),"No registró")</f>
        <v>No registró</v>
      </c>
      <c r="O108" s="359" t="str">
        <f>IFERROR(VLOOKUP([1]!Tabla9[[CEDULA ]],[1]!DOMINGO[#Data],5,0),"No registró")</f>
        <v>No registró</v>
      </c>
      <c r="P108" s="359" t="str">
        <f>IFERROR(LOOKUP(2,1/([1]!DOMINGO[[CEDULA ]]=[1]!Tabla9[[#This Row],[CEDULA ]]),[1]!DOMINGO[HORA]),"No registró")</f>
        <v>No registró</v>
      </c>
      <c r="Q108" s="240" t="str">
        <f>IFERROR(VLOOKUP(A108,DATOS[],10,0),"")</f>
        <v>3. CARICUAO</v>
      </c>
    </row>
    <row r="109" spans="1:17" x14ac:dyDescent="0.25">
      <c r="A109" s="239">
        <v>8185922</v>
      </c>
      <c r="B109" s="239" t="s">
        <v>1090</v>
      </c>
      <c r="C109" s="359">
        <f>IFERROR(VLOOKUP([1]!Tabla9[[CEDULA ]],[1]!LUNES[#Data],5,0),"No registró")</f>
        <v>0.32947916666666666</v>
      </c>
      <c r="D109" s="359">
        <f>IFERROR(LOOKUP(2,1/([1]!LUNES[[CEDULA ]]=[1]!Tabla9[[#This Row],[CEDULA ]]),[1]!LUNES[HORA]),"No registró")</f>
        <v>0.55343750000000003</v>
      </c>
      <c r="E109" s="359">
        <f>IFERROR(VLOOKUP([1]!Tabla9[[CEDULA ]],[1]!MARTES[#Data],5,0),"No registró")</f>
        <v>0.33953703703703703</v>
      </c>
      <c r="F109" s="359">
        <f>IFERROR(LOOKUP(2,1/([1]!MARTES[[CEDULA ]]=[1]!Tabla9[[#This Row],[CEDULA ]]),[1]!MARTES[HORA]),"No Registró")</f>
        <v>0.58327546296296295</v>
      </c>
      <c r="G109" s="359" t="str">
        <f>IFERROR(VLOOKUP([1]!Tabla9[[CEDULA ]],[1]!MIERCOLES[#Data],5,0),"No registró")</f>
        <v>No registró</v>
      </c>
      <c r="H109" s="359" t="str">
        <f>IFERROR(LOOKUP(2,1/([1]!MIERCOLES[[CEDULA ]]=[1]!Tabla9[[#This Row],[CEDULA ]]),[1]!MIERCOLES[HORA]),"No registró")</f>
        <v>No registró</v>
      </c>
      <c r="I109" s="359" t="str">
        <f>IFERROR(VLOOKUP([1]!Tabla9[[CEDULA ]],[1]!JUEVES[#Data],5,0),"No Registró")</f>
        <v>No Registró</v>
      </c>
      <c r="J109" s="359" t="str">
        <f>IFERROR(LOOKUP(2,1/([1]!JUEVES[[CEDULA ]]=[1]!Tabla9[[#This Row],[CEDULA ]]),[1]!JUEVES[HORA]),"No registró")</f>
        <v>No registró</v>
      </c>
      <c r="K109" s="359" t="str">
        <f>IFERROR(VLOOKUP([1]!Tabla9[[CEDULA ]],[1]!VIERNES[#Data],5,0),"No registró")</f>
        <v>No registró</v>
      </c>
      <c r="L109" s="359" t="str">
        <f>IFERROR(LOOKUP(2,1/([1]!VIERNES[[CEDULA ]]=[1]!Tabla9[[#This Row],[CEDULA ]]),[1]!VIERNES[HORA]),"No registró")</f>
        <v>No registró</v>
      </c>
      <c r="M109" s="359" t="str">
        <f>IFERROR(VLOOKUP([1]!Tabla9[[CEDULA ]],[1]!SABADO[#Data],5,0),"No registró")</f>
        <v>No registró</v>
      </c>
      <c r="N109" s="359" t="str">
        <f>IFERROR(LOOKUP(2,1/([1]!SABADO[[CEDULA ]]=[1]!Tabla9[[#This Row],[CEDULA ]]),[1]!SABADO[HORA]),"No registró")</f>
        <v>No registró</v>
      </c>
      <c r="O109" s="359" t="str">
        <f>IFERROR(VLOOKUP([1]!Tabla9[[CEDULA ]],[1]!DOMINGO[#Data],5,0),"No registró")</f>
        <v>No registró</v>
      </c>
      <c r="P109" s="359" t="str">
        <f>IFERROR(LOOKUP(2,1/([1]!DOMINGO[[CEDULA ]]=[1]!Tabla9[[#This Row],[CEDULA ]]),[1]!DOMINGO[HORA]),"No registró")</f>
        <v>No registró</v>
      </c>
      <c r="Q109" s="240" t="str">
        <f>IFERROR(VLOOKUP(A109,DATOS[],10,0),"")</f>
        <v>4. VALLES DEL TUY</v>
      </c>
    </row>
    <row r="110" spans="1:17" x14ac:dyDescent="0.25">
      <c r="A110" s="239">
        <v>8209338</v>
      </c>
      <c r="B110" s="239" t="s">
        <v>1091</v>
      </c>
      <c r="C110" s="359" t="str">
        <f>IFERROR(VLOOKUP([1]!Tabla9[[CEDULA ]],[1]!LUNES[#Data],5,0),"No registró")</f>
        <v>No registró</v>
      </c>
      <c r="D110" s="359" t="str">
        <f>IFERROR(LOOKUP(2,1/([1]!LUNES[[CEDULA ]]=[1]!Tabla9[[#This Row],[CEDULA ]]),[1]!LUNES[HORA]),"No registró")</f>
        <v>No registró</v>
      </c>
      <c r="E110" s="359">
        <f>IFERROR(VLOOKUP([1]!Tabla9[[CEDULA ]],[1]!MARTES[#Data],5,0),"No registró")</f>
        <v>0.34021990740740743</v>
      </c>
      <c r="F110" s="359">
        <f>IFERROR(LOOKUP(2,1/([1]!MARTES[[CEDULA ]]=[1]!Tabla9[[#This Row],[CEDULA ]]),[1]!MARTES[HORA]),"No Registró")</f>
        <v>0.56774305555555549</v>
      </c>
      <c r="G110" s="359" t="str">
        <f>IFERROR(VLOOKUP([1]!Tabla9[[CEDULA ]],[1]!MIERCOLES[#Data],5,0),"No registró")</f>
        <v>No registró</v>
      </c>
      <c r="H110" s="359" t="str">
        <f>IFERROR(LOOKUP(2,1/([1]!MIERCOLES[[CEDULA ]]=[1]!Tabla9[[#This Row],[CEDULA ]]),[1]!MIERCOLES[HORA]),"No registró")</f>
        <v>No registró</v>
      </c>
      <c r="I110" s="359" t="str">
        <f>IFERROR(VLOOKUP([1]!Tabla9[[CEDULA ]],[1]!JUEVES[#Data],5,0),"No Registró")</f>
        <v>No Registró</v>
      </c>
      <c r="J110" s="359" t="str">
        <f>IFERROR(LOOKUP(2,1/([1]!JUEVES[[CEDULA ]]=[1]!Tabla9[[#This Row],[CEDULA ]]),[1]!JUEVES[HORA]),"No registró")</f>
        <v>No registró</v>
      </c>
      <c r="K110" s="359" t="str">
        <f>IFERROR(VLOOKUP([1]!Tabla9[[CEDULA ]],[1]!VIERNES[#Data],5,0),"No registró")</f>
        <v>No registró</v>
      </c>
      <c r="L110" s="359" t="str">
        <f>IFERROR(LOOKUP(2,1/([1]!VIERNES[[CEDULA ]]=[1]!Tabla9[[#This Row],[CEDULA ]]),[1]!VIERNES[HORA]),"No registró")</f>
        <v>No registró</v>
      </c>
      <c r="M110" s="359" t="str">
        <f>IFERROR(VLOOKUP([1]!Tabla9[[CEDULA ]],[1]!SABADO[#Data],5,0),"No registró")</f>
        <v>No registró</v>
      </c>
      <c r="N110" s="359" t="str">
        <f>IFERROR(LOOKUP(2,1/([1]!SABADO[[CEDULA ]]=[1]!Tabla9[[#This Row],[CEDULA ]]),[1]!SABADO[HORA]),"No registró")</f>
        <v>No registró</v>
      </c>
      <c r="O110" s="359" t="str">
        <f>IFERROR(VLOOKUP([1]!Tabla9[[CEDULA ]],[1]!DOMINGO[#Data],5,0),"No registró")</f>
        <v>No registró</v>
      </c>
      <c r="P110" s="359" t="str">
        <f>IFERROR(LOOKUP(2,1/([1]!DOMINGO[[CEDULA ]]=[1]!Tabla9[[#This Row],[CEDULA ]]),[1]!DOMINGO[HORA]),"No registró")</f>
        <v>No registró</v>
      </c>
      <c r="Q110" s="240">
        <f>IFERROR(VLOOKUP(A110,DATOS[],10,0),"")</f>
        <v>0</v>
      </c>
    </row>
    <row r="111" spans="1:17" x14ac:dyDescent="0.25">
      <c r="A111" s="239">
        <v>8479170</v>
      </c>
      <c r="B111" s="239" t="s">
        <v>1092</v>
      </c>
      <c r="C111" s="359">
        <f>IFERROR(VLOOKUP([1]!Tabla9[[CEDULA ]],[1]!LUNES[#Data],5,0),"No registró")</f>
        <v>0.28284722222222219</v>
      </c>
      <c r="D111" s="359">
        <f>IFERROR(LOOKUP(2,1/([1]!LUNES[[CEDULA ]]=[1]!Tabla9[[#This Row],[CEDULA ]]),[1]!LUNES[HORA]),"No registró")</f>
        <v>0.54944444444444451</v>
      </c>
      <c r="E111" s="359">
        <f>IFERROR(VLOOKUP([1]!Tabla9[[CEDULA ]],[1]!MARTES[#Data],5,0),"No registró")</f>
        <v>0.28163194444444445</v>
      </c>
      <c r="F111" s="359">
        <f>IFERROR(LOOKUP(2,1/([1]!MARTES[[CEDULA ]]=[1]!Tabla9[[#This Row],[CEDULA ]]),[1]!MARTES[HORA]),"No Registró")</f>
        <v>0.55844907407407407</v>
      </c>
      <c r="G111" s="359" t="str">
        <f>IFERROR(VLOOKUP([1]!Tabla9[[CEDULA ]],[1]!MIERCOLES[#Data],5,0),"No registró")</f>
        <v>No registró</v>
      </c>
      <c r="H111" s="359" t="str">
        <f>IFERROR(LOOKUP(2,1/([1]!MIERCOLES[[CEDULA ]]=[1]!Tabla9[[#This Row],[CEDULA ]]),[1]!MIERCOLES[HORA]),"No registró")</f>
        <v>No registró</v>
      </c>
      <c r="I111" s="359" t="str">
        <f>IFERROR(VLOOKUP([1]!Tabla9[[CEDULA ]],[1]!JUEVES[#Data],5,0),"No Registró")</f>
        <v>No Registró</v>
      </c>
      <c r="J111" s="359" t="str">
        <f>IFERROR(LOOKUP(2,1/([1]!JUEVES[[CEDULA ]]=[1]!Tabla9[[#This Row],[CEDULA ]]),[1]!JUEVES[HORA]),"No registró")</f>
        <v>No registró</v>
      </c>
      <c r="K111" s="359" t="str">
        <f>IFERROR(VLOOKUP([1]!Tabla9[[CEDULA ]],[1]!VIERNES[#Data],5,0),"No registró")</f>
        <v>No registró</v>
      </c>
      <c r="L111" s="359" t="str">
        <f>IFERROR(LOOKUP(2,1/([1]!VIERNES[[CEDULA ]]=[1]!Tabla9[[#This Row],[CEDULA ]]),[1]!VIERNES[HORA]),"No registró")</f>
        <v>No registró</v>
      </c>
      <c r="M111" s="359" t="str">
        <f>IFERROR(VLOOKUP([1]!Tabla9[[CEDULA ]],[1]!SABADO[#Data],5,0),"No registró")</f>
        <v>No registró</v>
      </c>
      <c r="N111" s="359" t="str">
        <f>IFERROR(LOOKUP(2,1/([1]!SABADO[[CEDULA ]]=[1]!Tabla9[[#This Row],[CEDULA ]]),[1]!SABADO[HORA]),"No registró")</f>
        <v>No registró</v>
      </c>
      <c r="O111" s="359" t="str">
        <f>IFERROR(VLOOKUP([1]!Tabla9[[CEDULA ]],[1]!DOMINGO[#Data],5,0),"No registró")</f>
        <v>No registró</v>
      </c>
      <c r="P111" s="359" t="str">
        <f>IFERROR(LOOKUP(2,1/([1]!DOMINGO[[CEDULA ]]=[1]!Tabla9[[#This Row],[CEDULA ]]),[1]!DOMINGO[HORA]),"No registró")</f>
        <v>No registró</v>
      </c>
      <c r="Q111" s="240" t="str">
        <f>IFERROR(VLOOKUP(A111,DATOS[],10,0),"")</f>
        <v>3. CARICUAO</v>
      </c>
    </row>
    <row r="112" spans="1:17" x14ac:dyDescent="0.25">
      <c r="A112" s="239">
        <v>8593916</v>
      </c>
      <c r="B112" s="239" t="s">
        <v>1093</v>
      </c>
      <c r="C112" s="359">
        <f>IFERROR(VLOOKUP([1]!Tabla9[[CEDULA ]],[1]!LUNES[#Data],5,0),"No registró")</f>
        <v>0.34488425925925931</v>
      </c>
      <c r="D112" s="359">
        <f>IFERROR(LOOKUP(2,1/([1]!LUNES[[CEDULA ]]=[1]!Tabla9[[#This Row],[CEDULA ]]),[1]!LUNES[HORA]),"No registró")</f>
        <v>0.57609953703703709</v>
      </c>
      <c r="E112" s="359">
        <f>IFERROR(VLOOKUP([1]!Tabla9[[CEDULA ]],[1]!MARTES[#Data],5,0),"No registró")</f>
        <v>0.3261574074074074</v>
      </c>
      <c r="F112" s="359">
        <f>IFERROR(LOOKUP(2,1/([1]!MARTES[[CEDULA ]]=[1]!Tabla9[[#This Row],[CEDULA ]]),[1]!MARTES[HORA]),"No Registró")</f>
        <v>0.56115740740740738</v>
      </c>
      <c r="G112" s="359" t="str">
        <f>IFERROR(VLOOKUP([1]!Tabla9[[CEDULA ]],[1]!MIERCOLES[#Data],5,0),"No registró")</f>
        <v>No registró</v>
      </c>
      <c r="H112" s="359" t="str">
        <f>IFERROR(LOOKUP(2,1/([1]!MIERCOLES[[CEDULA ]]=[1]!Tabla9[[#This Row],[CEDULA ]]),[1]!MIERCOLES[HORA]),"No registró")</f>
        <v>No registró</v>
      </c>
      <c r="I112" s="359" t="str">
        <f>IFERROR(VLOOKUP([1]!Tabla9[[CEDULA ]],[1]!JUEVES[#Data],5,0),"No Registró")</f>
        <v>No Registró</v>
      </c>
      <c r="J112" s="359" t="str">
        <f>IFERROR(LOOKUP(2,1/([1]!JUEVES[[CEDULA ]]=[1]!Tabla9[[#This Row],[CEDULA ]]),[1]!JUEVES[HORA]),"No registró")</f>
        <v>No registró</v>
      </c>
      <c r="K112" s="359" t="str">
        <f>IFERROR(VLOOKUP([1]!Tabla9[[CEDULA ]],[1]!VIERNES[#Data],5,0),"No registró")</f>
        <v>No registró</v>
      </c>
      <c r="L112" s="359" t="str">
        <f>IFERROR(LOOKUP(2,1/([1]!VIERNES[[CEDULA ]]=[1]!Tabla9[[#This Row],[CEDULA ]]),[1]!VIERNES[HORA]),"No registró")</f>
        <v>No registró</v>
      </c>
      <c r="M112" s="360" t="s">
        <v>989</v>
      </c>
      <c r="N112" s="359">
        <f>IFERROR(LOOKUP(2,1/([1]!SABADO[[CEDULA ]]=[1]!Tabla9[[#This Row],[CEDULA ]]),[1]!SABADO[HORA]),"No registró")</f>
        <v>0.53993055555555558</v>
      </c>
      <c r="O112" s="359" t="str">
        <f>IFERROR(VLOOKUP([1]!Tabla9[[CEDULA ]],[1]!DOMINGO[#Data],5,0),"No registró")</f>
        <v>No registró</v>
      </c>
      <c r="P112" s="359" t="str">
        <f>IFERROR(LOOKUP(2,1/([1]!DOMINGO[[CEDULA ]]=[1]!Tabla9[[#This Row],[CEDULA ]]),[1]!DOMINGO[HORA]),"No registró")</f>
        <v>No registró</v>
      </c>
      <c r="Q112" s="240">
        <f>IFERROR(VLOOKUP(A112,DATOS[],10,0),"")</f>
        <v>0</v>
      </c>
    </row>
    <row r="113" spans="1:17" x14ac:dyDescent="0.25">
      <c r="A113" s="239">
        <v>8643689</v>
      </c>
      <c r="B113" s="239" t="s">
        <v>1094</v>
      </c>
      <c r="C113" s="359" t="str">
        <f>IFERROR(VLOOKUP([1]!Tabla9[[CEDULA ]],[1]!LUNES[#Data],5,0),"No registró")</f>
        <v>No registró</v>
      </c>
      <c r="D113" s="359" t="str">
        <f>IFERROR(LOOKUP(2,1/([1]!LUNES[[CEDULA ]]=[1]!Tabla9[[#This Row],[CEDULA ]]),[1]!LUNES[HORA]),"No registró")</f>
        <v>No registró</v>
      </c>
      <c r="E113" s="359">
        <f>IFERROR(VLOOKUP([1]!Tabla9[[CEDULA ]],[1]!MARTES[#Data],5,0),"No registró")</f>
        <v>0.21954861111111112</v>
      </c>
      <c r="F113" s="360" t="s">
        <v>988</v>
      </c>
      <c r="G113" s="359">
        <f>IFERROR(VLOOKUP([1]!Tabla9[[CEDULA ]],[1]!MIERCOLES[#Data],5,0),"No registró")</f>
        <v>0.28247685185185184</v>
      </c>
      <c r="H113" s="359">
        <f>IFERROR(LOOKUP(2,1/([1]!MIERCOLES[[CEDULA ]]=[1]!Tabla9[[#This Row],[CEDULA ]]),[1]!MIERCOLES[HORA]),"No registró")</f>
        <v>0.28400462962962963</v>
      </c>
      <c r="I113" s="359" t="str">
        <f>IFERROR(VLOOKUP([1]!Tabla9[[CEDULA ]],[1]!JUEVES[#Data],5,0),"No Registró")</f>
        <v>No Registró</v>
      </c>
      <c r="J113" s="359" t="str">
        <f>IFERROR(LOOKUP(2,1/([1]!JUEVES[[CEDULA ]]=[1]!Tabla9[[#This Row],[CEDULA ]]),[1]!JUEVES[HORA]),"No registró")</f>
        <v>No registró</v>
      </c>
      <c r="K113" s="359" t="str">
        <f>IFERROR(VLOOKUP([1]!Tabla9[[CEDULA ]],[1]!VIERNES[#Data],5,0),"No registró")</f>
        <v>No registró</v>
      </c>
      <c r="L113" s="359" t="str">
        <f>IFERROR(LOOKUP(2,1/([1]!VIERNES[[CEDULA ]]=[1]!Tabla9[[#This Row],[CEDULA ]]),[1]!VIERNES[HORA]),"No registró")</f>
        <v>No registró</v>
      </c>
      <c r="M113" s="359">
        <f>IFERROR(VLOOKUP([1]!Tabla9[[CEDULA ]],[1]!SABADO[#Data],5,0),"No registró")</f>
        <v>0.29671296296296296</v>
      </c>
      <c r="N113" s="360" t="s">
        <v>989</v>
      </c>
      <c r="O113" s="359">
        <f>IFERROR(VLOOKUP([1]!Tabla9[[CEDULA ]],[1]!DOMINGO[#Data],5,0),"No registró")</f>
        <v>0.2878472222222222</v>
      </c>
      <c r="P113" s="360" t="s">
        <v>989</v>
      </c>
      <c r="Q113" s="240" t="str">
        <f>IFERROR(VLOOKUP(A113,DATOS[],10,0),"")</f>
        <v>1. COCHE</v>
      </c>
    </row>
    <row r="114" spans="1:17" x14ac:dyDescent="0.25">
      <c r="A114" s="239">
        <v>8744969</v>
      </c>
      <c r="B114" s="239" t="s">
        <v>1095</v>
      </c>
      <c r="C114" s="359">
        <f>IFERROR(VLOOKUP([1]!Tabla9[[CEDULA ]],[1]!LUNES[#Data],5,0),"No registró")</f>
        <v>0.33334490740740735</v>
      </c>
      <c r="D114" s="359">
        <f>IFERROR(LOOKUP(2,1/([1]!LUNES[[CEDULA ]]=[1]!Tabla9[[#This Row],[CEDULA ]]),[1]!LUNES[HORA]),"No registró")</f>
        <v>0.55163194444444441</v>
      </c>
      <c r="E114" s="359">
        <f>IFERROR(VLOOKUP([1]!Tabla9[[CEDULA ]],[1]!MARTES[#Data],5,0),"No registró")</f>
        <v>0.33581018518518518</v>
      </c>
      <c r="F114" s="359">
        <f>IFERROR(LOOKUP(2,1/([1]!MARTES[[CEDULA ]]=[1]!Tabla9[[#This Row],[CEDULA ]]),[1]!MARTES[HORA]),"No Registró")</f>
        <v>0.59203703703703703</v>
      </c>
      <c r="G114" s="359" t="str">
        <f>IFERROR(VLOOKUP([1]!Tabla9[[CEDULA ]],[1]!MIERCOLES[#Data],5,0),"No registró")</f>
        <v>No registró</v>
      </c>
      <c r="H114" s="359" t="str">
        <f>IFERROR(LOOKUP(2,1/([1]!MIERCOLES[[CEDULA ]]=[1]!Tabla9[[#This Row],[CEDULA ]]),[1]!MIERCOLES[HORA]),"No registró")</f>
        <v>No registró</v>
      </c>
      <c r="I114" s="359" t="str">
        <f>IFERROR(VLOOKUP([1]!Tabla9[[CEDULA ]],[1]!JUEVES[#Data],5,0),"No Registró")</f>
        <v>No Registró</v>
      </c>
      <c r="J114" s="359" t="str">
        <f>IFERROR(LOOKUP(2,1/([1]!JUEVES[[CEDULA ]]=[1]!Tabla9[[#This Row],[CEDULA ]]),[1]!JUEVES[HORA]),"No registró")</f>
        <v>No registró</v>
      </c>
      <c r="K114" s="359" t="str">
        <f>IFERROR(VLOOKUP([1]!Tabla9[[CEDULA ]],[1]!VIERNES[#Data],5,0),"No registró")</f>
        <v>No registró</v>
      </c>
      <c r="L114" s="359" t="str">
        <f>IFERROR(LOOKUP(2,1/([1]!VIERNES[[CEDULA ]]=[1]!Tabla9[[#This Row],[CEDULA ]]),[1]!VIERNES[HORA]),"No registró")</f>
        <v>No registró</v>
      </c>
      <c r="M114" s="359" t="str">
        <f>IFERROR(VLOOKUP([1]!Tabla9[[CEDULA ]],[1]!SABADO[#Data],5,0),"No registró")</f>
        <v>No registró</v>
      </c>
      <c r="N114" s="359" t="str">
        <f>IFERROR(LOOKUP(2,1/([1]!SABADO[[CEDULA ]]=[1]!Tabla9[[#This Row],[CEDULA ]]),[1]!SABADO[HORA]),"No registró")</f>
        <v>No registró</v>
      </c>
      <c r="O114" s="359" t="str">
        <f>IFERROR(VLOOKUP([1]!Tabla9[[CEDULA ]],[1]!DOMINGO[#Data],5,0),"No registró")</f>
        <v>No registró</v>
      </c>
      <c r="P114" s="359" t="str">
        <f>IFERROR(LOOKUP(2,1/([1]!DOMINGO[[CEDULA ]]=[1]!Tabla9[[#This Row],[CEDULA ]]),[1]!DOMINGO[HORA]),"No registró")</f>
        <v>No registró</v>
      </c>
      <c r="Q114" s="240">
        <f>IFERROR(VLOOKUP(A114,DATOS[],10,0),"")</f>
        <v>0</v>
      </c>
    </row>
    <row r="115" spans="1:17" x14ac:dyDescent="0.25">
      <c r="A115" s="239">
        <v>8928635</v>
      </c>
      <c r="B115" s="239" t="s">
        <v>1096</v>
      </c>
      <c r="C115" s="359">
        <f>IFERROR(VLOOKUP([1]!Tabla9[[CEDULA ]],[1]!LUNES[#Data],5,0),"No registró")</f>
        <v>0.28207175925925926</v>
      </c>
      <c r="D115" s="359">
        <f>IFERROR(LOOKUP(2,1/([1]!LUNES[[CEDULA ]]=[1]!Tabla9[[#This Row],[CEDULA ]]),[1]!LUNES[HORA]),"No registró")</f>
        <v>0.47612268518518519</v>
      </c>
      <c r="E115" s="359">
        <f>IFERROR(VLOOKUP([1]!Tabla9[[CEDULA ]],[1]!MARTES[#Data],5,0),"No registró")</f>
        <v>0.28209490740740745</v>
      </c>
      <c r="F115" s="359">
        <f>IFERROR(LOOKUP(2,1/([1]!MARTES[[CEDULA ]]=[1]!Tabla9[[#This Row],[CEDULA ]]),[1]!MARTES[HORA]),"No Registró")</f>
        <v>0.60960648148148155</v>
      </c>
      <c r="G115" s="359" t="str">
        <f>IFERROR(VLOOKUP([1]!Tabla9[[CEDULA ]],[1]!MIERCOLES[#Data],5,0),"No registró")</f>
        <v>No registró</v>
      </c>
      <c r="H115" s="359" t="str">
        <f>IFERROR(LOOKUP(2,1/([1]!MIERCOLES[[CEDULA ]]=[1]!Tabla9[[#This Row],[CEDULA ]]),[1]!MIERCOLES[HORA]),"No registró")</f>
        <v>No registró</v>
      </c>
      <c r="I115" s="359" t="str">
        <f>IFERROR(VLOOKUP([1]!Tabla9[[CEDULA ]],[1]!JUEVES[#Data],5,0),"No Registró")</f>
        <v>No Registró</v>
      </c>
      <c r="J115" s="359" t="str">
        <f>IFERROR(LOOKUP(2,1/([1]!JUEVES[[CEDULA ]]=[1]!Tabla9[[#This Row],[CEDULA ]]),[1]!JUEVES[HORA]),"No registró")</f>
        <v>No registró</v>
      </c>
      <c r="K115" s="359" t="str">
        <f>IFERROR(VLOOKUP([1]!Tabla9[[CEDULA ]],[1]!VIERNES[#Data],5,0),"No registró")</f>
        <v>No registró</v>
      </c>
      <c r="L115" s="359" t="str">
        <f>IFERROR(LOOKUP(2,1/([1]!VIERNES[[CEDULA ]]=[1]!Tabla9[[#This Row],[CEDULA ]]),[1]!VIERNES[HORA]),"No registró")</f>
        <v>No registró</v>
      </c>
      <c r="M115" s="359" t="str">
        <f>IFERROR(VLOOKUP([1]!Tabla9[[CEDULA ]],[1]!SABADO[#Data],5,0),"No registró")</f>
        <v>No registró</v>
      </c>
      <c r="N115" s="359" t="str">
        <f>IFERROR(LOOKUP(2,1/([1]!SABADO[[CEDULA ]]=[1]!Tabla9[[#This Row],[CEDULA ]]),[1]!SABADO[HORA]),"No registró")</f>
        <v>No registró</v>
      </c>
      <c r="O115" s="359" t="str">
        <f>IFERROR(VLOOKUP([1]!Tabla9[[CEDULA ]],[1]!DOMINGO[#Data],5,0),"No registró")</f>
        <v>No registró</v>
      </c>
      <c r="P115" s="359" t="str">
        <f>IFERROR(LOOKUP(2,1/([1]!DOMINGO[[CEDULA ]]=[1]!Tabla9[[#This Row],[CEDULA ]]),[1]!DOMINGO[HORA]),"No registró")</f>
        <v>No registró</v>
      </c>
      <c r="Q115" s="240" t="str">
        <f>IFERROR(VLOOKUP(A115,DATOS[],10,0),"")</f>
        <v>3. CARICUAO</v>
      </c>
    </row>
    <row r="116" spans="1:17" x14ac:dyDescent="0.25">
      <c r="A116" s="239">
        <v>9062557</v>
      </c>
      <c r="B116" s="239" t="s">
        <v>1097</v>
      </c>
      <c r="C116" s="359" t="str">
        <f>IFERROR(VLOOKUP([1]!Tabla9[[CEDULA ]],[1]!LUNES[#Data],5,0),"No registró")</f>
        <v>No registró</v>
      </c>
      <c r="D116" s="359" t="str">
        <f>IFERROR(LOOKUP(2,1/([1]!LUNES[[CEDULA ]]=[1]!Tabla9[[#This Row],[CEDULA ]]),[1]!LUNES[HORA]),"No registró")</f>
        <v>No registró</v>
      </c>
      <c r="E116" s="359">
        <f>IFERROR(VLOOKUP([1]!Tabla9[[CEDULA ]],[1]!MARTES[#Data],5,0),"No registró")</f>
        <v>0.27875</v>
      </c>
      <c r="F116" s="359">
        <f>IFERROR(LOOKUP(2,1/([1]!MARTES[[CEDULA ]]=[1]!Tabla9[[#This Row],[CEDULA ]]),[1]!MARTES[HORA]),"No Registró")</f>
        <v>0.66031249999999997</v>
      </c>
      <c r="G116" s="359">
        <f>IFERROR(VLOOKUP([1]!Tabla9[[CEDULA ]],[1]!MIERCOLES[#Data],5,0),"No registró")</f>
        <v>0.28461805555555558</v>
      </c>
      <c r="H116" s="360" t="s">
        <v>989</v>
      </c>
      <c r="I116" s="359" t="str">
        <f>IFERROR(VLOOKUP([1]!Tabla9[[CEDULA ]],[1]!JUEVES[#Data],5,0),"No Registró")</f>
        <v>No Registró</v>
      </c>
      <c r="J116" s="359" t="str">
        <f>IFERROR(LOOKUP(2,1/([1]!JUEVES[[CEDULA ]]=[1]!Tabla9[[#This Row],[CEDULA ]]),[1]!JUEVES[HORA]),"No registró")</f>
        <v>No registró</v>
      </c>
      <c r="K116" s="359" t="str">
        <f>IFERROR(VLOOKUP([1]!Tabla9[[CEDULA ]],[1]!VIERNES[#Data],5,0),"No registró")</f>
        <v>No registró</v>
      </c>
      <c r="L116" s="359" t="str">
        <f>IFERROR(LOOKUP(2,1/([1]!VIERNES[[CEDULA ]]=[1]!Tabla9[[#This Row],[CEDULA ]]),[1]!VIERNES[HORA]),"No registró")</f>
        <v>No registró</v>
      </c>
      <c r="M116" s="359">
        <f>IFERROR(VLOOKUP([1]!Tabla9[[CEDULA ]],[1]!SABADO[#Data],5,0),"No registró")</f>
        <v>0.30199074074074073</v>
      </c>
      <c r="N116" s="359">
        <f>IFERROR(LOOKUP(2,1/([1]!SABADO[[CEDULA ]]=[1]!Tabla9[[#This Row],[CEDULA ]]),[1]!SABADO[HORA]),"No registró")</f>
        <v>0.33737268518518521</v>
      </c>
      <c r="O116" s="359">
        <f>IFERROR(VLOOKUP([1]!Tabla9[[CEDULA ]],[1]!DOMINGO[#Data],5,0),"No registró")</f>
        <v>0.28817129629629629</v>
      </c>
      <c r="P116" s="360" t="s">
        <v>989</v>
      </c>
      <c r="Q116" s="240" t="str">
        <f>IFERROR(VLOOKUP(A116,DATOS[],10,0),"")</f>
        <v>1. COCHE</v>
      </c>
    </row>
    <row r="117" spans="1:17" x14ac:dyDescent="0.25">
      <c r="A117" s="239">
        <v>9097597</v>
      </c>
      <c r="B117" s="239" t="s">
        <v>1098</v>
      </c>
      <c r="C117" s="359">
        <f>IFERROR(VLOOKUP([1]!Tabla9[[CEDULA ]],[1]!LUNES[#Data],5,0),"No registró")</f>
        <v>0.28171296296296294</v>
      </c>
      <c r="D117" s="359">
        <f>IFERROR(LOOKUP(2,1/([1]!LUNES[[CEDULA ]]=[1]!Tabla9[[#This Row],[CEDULA ]]),[1]!LUNES[HORA]),"No registró")</f>
        <v>0.55146990740740742</v>
      </c>
      <c r="E117" s="359">
        <f>IFERROR(VLOOKUP([1]!Tabla9[[CEDULA ]],[1]!MARTES[#Data],5,0),"No registró")</f>
        <v>0.28153935185185186</v>
      </c>
      <c r="F117" s="359">
        <f>IFERROR(LOOKUP(2,1/([1]!MARTES[[CEDULA ]]=[1]!Tabla9[[#This Row],[CEDULA ]]),[1]!MARTES[HORA]),"No Registró")</f>
        <v>0.55077546296296298</v>
      </c>
      <c r="G117" s="359" t="str">
        <f>IFERROR(VLOOKUP([1]!Tabla9[[CEDULA ]],[1]!MIERCOLES[#Data],5,0),"No registró")</f>
        <v>No registró</v>
      </c>
      <c r="H117" s="359" t="str">
        <f>IFERROR(LOOKUP(2,1/([1]!MIERCOLES[[CEDULA ]]=[1]!Tabla9[[#This Row],[CEDULA ]]),[1]!MIERCOLES[HORA]),"No registró")</f>
        <v>No registró</v>
      </c>
      <c r="I117" s="359" t="str">
        <f>IFERROR(VLOOKUP([1]!Tabla9[[CEDULA ]],[1]!JUEVES[#Data],5,0),"No Registró")</f>
        <v>No Registró</v>
      </c>
      <c r="J117" s="359" t="str">
        <f>IFERROR(LOOKUP(2,1/([1]!JUEVES[[CEDULA ]]=[1]!Tabla9[[#This Row],[CEDULA ]]),[1]!JUEVES[HORA]),"No registró")</f>
        <v>No registró</v>
      </c>
      <c r="K117" s="359" t="str">
        <f>IFERROR(VLOOKUP([1]!Tabla9[[CEDULA ]],[1]!VIERNES[#Data],5,0),"No registró")</f>
        <v>No registró</v>
      </c>
      <c r="L117" s="359" t="str">
        <f>IFERROR(LOOKUP(2,1/([1]!VIERNES[[CEDULA ]]=[1]!Tabla9[[#This Row],[CEDULA ]]),[1]!VIERNES[HORA]),"No registró")</f>
        <v>No registró</v>
      </c>
      <c r="M117" s="359" t="str">
        <f>IFERROR(VLOOKUP([1]!Tabla9[[CEDULA ]],[1]!SABADO[#Data],5,0),"No registró")</f>
        <v>No registró</v>
      </c>
      <c r="N117" s="359" t="str">
        <f>IFERROR(LOOKUP(2,1/([1]!SABADO[[CEDULA ]]=[1]!Tabla9[[#This Row],[CEDULA ]]),[1]!SABADO[HORA]),"No registró")</f>
        <v>No registró</v>
      </c>
      <c r="O117" s="359" t="str">
        <f>IFERROR(VLOOKUP([1]!Tabla9[[CEDULA ]],[1]!DOMINGO[#Data],5,0),"No registró")</f>
        <v>No registró</v>
      </c>
      <c r="P117" s="359" t="str">
        <f>IFERROR(LOOKUP(2,1/([1]!DOMINGO[[CEDULA ]]=[1]!Tabla9[[#This Row],[CEDULA ]]),[1]!DOMINGO[HORA]),"No registró")</f>
        <v>No registró</v>
      </c>
      <c r="Q117" s="240" t="str">
        <f>IFERROR(VLOOKUP(A117,DATOS[],10,0),"")</f>
        <v>3. CARICUAO</v>
      </c>
    </row>
    <row r="118" spans="1:17" x14ac:dyDescent="0.25">
      <c r="A118" s="239">
        <v>9120768</v>
      </c>
      <c r="B118" s="239" t="s">
        <v>1099</v>
      </c>
      <c r="C118" s="359">
        <f>IFERROR(VLOOKUP([1]!Tabla9[[CEDULA ]],[1]!LUNES[#Data],5,0),"No registró")</f>
        <v>0.38086805555555553</v>
      </c>
      <c r="D118" s="359">
        <f>IFERROR(LOOKUP(2,1/([1]!LUNES[[CEDULA ]]=[1]!Tabla9[[#This Row],[CEDULA ]]),[1]!LUNES[HORA]),"No registró")</f>
        <v>0.72969907407407408</v>
      </c>
      <c r="E118" s="359">
        <f>IFERROR(VLOOKUP([1]!Tabla9[[CEDULA ]],[1]!MARTES[#Data],5,0),"No registró")</f>
        <v>0.33871527777777777</v>
      </c>
      <c r="F118" s="359">
        <f>IFERROR(LOOKUP(2,1/([1]!MARTES[[CEDULA ]]=[1]!Tabla9[[#This Row],[CEDULA ]]),[1]!MARTES[HORA]),"No Registró")</f>
        <v>0.73182870370370379</v>
      </c>
      <c r="G118" s="359" t="str">
        <f>IFERROR(VLOOKUP([1]!Tabla9[[CEDULA ]],[1]!MIERCOLES[#Data],5,0),"No registró")</f>
        <v>No registró</v>
      </c>
      <c r="H118" s="359" t="str">
        <f>IFERROR(LOOKUP(2,1/([1]!MIERCOLES[[CEDULA ]]=[1]!Tabla9[[#This Row],[CEDULA ]]),[1]!MIERCOLES[HORA]),"No registró")</f>
        <v>No registró</v>
      </c>
      <c r="I118" s="359" t="str">
        <f>IFERROR(VLOOKUP([1]!Tabla9[[CEDULA ]],[1]!JUEVES[#Data],5,0),"No Registró")</f>
        <v>No Registró</v>
      </c>
      <c r="J118" s="359" t="str">
        <f>IFERROR(LOOKUP(2,1/([1]!JUEVES[[CEDULA ]]=[1]!Tabla9[[#This Row],[CEDULA ]]),[1]!JUEVES[HORA]),"No registró")</f>
        <v>No registró</v>
      </c>
      <c r="K118" s="359" t="str">
        <f>IFERROR(VLOOKUP([1]!Tabla9[[CEDULA ]],[1]!VIERNES[#Data],5,0),"No registró")</f>
        <v>No registró</v>
      </c>
      <c r="L118" s="359" t="str">
        <f>IFERROR(LOOKUP(2,1/([1]!VIERNES[[CEDULA ]]=[1]!Tabla9[[#This Row],[CEDULA ]]),[1]!VIERNES[HORA]),"No registró")</f>
        <v>No registró</v>
      </c>
      <c r="M118" s="359" t="str">
        <f>IFERROR(VLOOKUP([1]!Tabla9[[CEDULA ]],[1]!SABADO[#Data],5,0),"No registró")</f>
        <v>No registró</v>
      </c>
      <c r="N118" s="359" t="str">
        <f>IFERROR(LOOKUP(2,1/([1]!SABADO[[CEDULA ]]=[1]!Tabla9[[#This Row],[CEDULA ]]),[1]!SABADO[HORA]),"No registró")</f>
        <v>No registró</v>
      </c>
      <c r="O118" s="359" t="str">
        <f>IFERROR(VLOOKUP([1]!Tabla9[[CEDULA ]],[1]!DOMINGO[#Data],5,0),"No registró")</f>
        <v>No registró</v>
      </c>
      <c r="P118" s="359" t="str">
        <f>IFERROR(LOOKUP(2,1/([1]!DOMINGO[[CEDULA ]]=[1]!Tabla9[[#This Row],[CEDULA ]]),[1]!DOMINGO[HORA]),"No registró")</f>
        <v>No registró</v>
      </c>
      <c r="Q118" s="240" t="str">
        <f>IFERROR(VLOOKUP(A118,DATOS[],10,0),"")</f>
        <v>0. ALTO NIVEL</v>
      </c>
    </row>
    <row r="119" spans="1:17" x14ac:dyDescent="0.25">
      <c r="A119" s="239">
        <v>9416185</v>
      </c>
      <c r="B119" s="239" t="s">
        <v>1100</v>
      </c>
      <c r="C119" s="359">
        <f>IFERROR(VLOOKUP([1]!Tabla9[[CEDULA ]],[1]!LUNES[#Data],5,0),"No registró")</f>
        <v>0.28243055555555557</v>
      </c>
      <c r="D119" s="359">
        <f>IFERROR(LOOKUP(2,1/([1]!LUNES[[CEDULA ]]=[1]!Tabla9[[#This Row],[CEDULA ]]),[1]!LUNES[HORA]),"No registró")</f>
        <v>0.43215277777777777</v>
      </c>
      <c r="E119" s="359">
        <f>IFERROR(VLOOKUP([1]!Tabla9[[CEDULA ]],[1]!MARTES[#Data],5,0),"No registró")</f>
        <v>0.28217592592592594</v>
      </c>
      <c r="F119" s="359">
        <f>IFERROR(LOOKUP(2,1/([1]!MARTES[[CEDULA ]]=[1]!Tabla9[[#This Row],[CEDULA ]]),[1]!MARTES[HORA]),"No Registró")</f>
        <v>0.4256597222222222</v>
      </c>
      <c r="G119" s="359" t="str">
        <f>IFERROR(VLOOKUP([1]!Tabla9[[CEDULA ]],[1]!MIERCOLES[#Data],5,0),"No registró")</f>
        <v>No registró</v>
      </c>
      <c r="H119" s="359" t="str">
        <f>IFERROR(LOOKUP(2,1/([1]!MIERCOLES[[CEDULA ]]=[1]!Tabla9[[#This Row],[CEDULA ]]),[1]!MIERCOLES[HORA]),"No registró")</f>
        <v>No registró</v>
      </c>
      <c r="I119" s="359" t="str">
        <f>IFERROR(VLOOKUP([1]!Tabla9[[CEDULA ]],[1]!JUEVES[#Data],5,0),"No Registró")</f>
        <v>No Registró</v>
      </c>
      <c r="J119" s="359" t="str">
        <f>IFERROR(LOOKUP(2,1/([1]!JUEVES[[CEDULA ]]=[1]!Tabla9[[#This Row],[CEDULA ]]),[1]!JUEVES[HORA]),"No registró")</f>
        <v>No registró</v>
      </c>
      <c r="K119" s="359" t="str">
        <f>IFERROR(VLOOKUP([1]!Tabla9[[CEDULA ]],[1]!VIERNES[#Data],5,0),"No registró")</f>
        <v>No registró</v>
      </c>
      <c r="L119" s="359" t="str">
        <f>IFERROR(LOOKUP(2,1/([1]!VIERNES[[CEDULA ]]=[1]!Tabla9[[#This Row],[CEDULA ]]),[1]!VIERNES[HORA]),"No registró")</f>
        <v>No registró</v>
      </c>
      <c r="M119" s="359" t="str">
        <f>IFERROR(VLOOKUP([1]!Tabla9[[CEDULA ]],[1]!SABADO[#Data],5,0),"No registró")</f>
        <v>No registró</v>
      </c>
      <c r="N119" s="359" t="str">
        <f>IFERROR(LOOKUP(2,1/([1]!SABADO[[CEDULA ]]=[1]!Tabla9[[#This Row],[CEDULA ]]),[1]!SABADO[HORA]),"No registró")</f>
        <v>No registró</v>
      </c>
      <c r="O119" s="359" t="str">
        <f>IFERROR(VLOOKUP([1]!Tabla9[[CEDULA ]],[1]!DOMINGO[#Data],5,0),"No registró")</f>
        <v>No registró</v>
      </c>
      <c r="P119" s="359" t="str">
        <f>IFERROR(LOOKUP(2,1/([1]!DOMINGO[[CEDULA ]]=[1]!Tabla9[[#This Row],[CEDULA ]]),[1]!DOMINGO[HORA]),"No registró")</f>
        <v>No registró</v>
      </c>
      <c r="Q119" s="240" t="str">
        <f>IFERROR(VLOOKUP(A119,DATOS[],10,0),"")</f>
        <v>3. CARICUAO</v>
      </c>
    </row>
    <row r="120" spans="1:17" x14ac:dyDescent="0.25">
      <c r="A120" s="239">
        <v>9417315</v>
      </c>
      <c r="B120" s="239" t="s">
        <v>1413</v>
      </c>
      <c r="C120" s="359">
        <f>IFERROR(VLOOKUP([1]!Tabla9[[CEDULA ]],[1]!LUNES[#Data],5,0),"No registró")</f>
        <v>0.28234953703703702</v>
      </c>
      <c r="D120" s="360" t="s">
        <v>989</v>
      </c>
      <c r="E120" s="359" t="str">
        <f>IFERROR(VLOOKUP([1]!Tabla9[[CEDULA ]],[1]!MARTES[#Data],5,0),"No registró")</f>
        <v>No registró</v>
      </c>
      <c r="F120" s="359" t="str">
        <f>IFERROR(LOOKUP(2,1/([1]!MARTES[[CEDULA ]]=[1]!Tabla9[[#This Row],[CEDULA ]]),[1]!MARTES[HORA]),"No Registró")</f>
        <v>No Registró</v>
      </c>
      <c r="G120" s="359" t="str">
        <f>IFERROR(VLOOKUP([1]!Tabla9[[CEDULA ]],[1]!MIERCOLES[#Data],5,0),"No registró")</f>
        <v>No registró</v>
      </c>
      <c r="H120" s="359" t="str">
        <f>IFERROR(LOOKUP(2,1/([1]!MIERCOLES[[CEDULA ]]=[1]!Tabla9[[#This Row],[CEDULA ]]),[1]!MIERCOLES[HORA]),"No registró")</f>
        <v>No registró</v>
      </c>
      <c r="I120" s="359" t="str">
        <f>IFERROR(VLOOKUP([1]!Tabla9[[CEDULA ]],[1]!JUEVES[#Data],5,0),"No Registró")</f>
        <v>No Registró</v>
      </c>
      <c r="J120" s="359" t="str">
        <f>IFERROR(LOOKUP(2,1/([1]!JUEVES[[CEDULA ]]=[1]!Tabla9[[#This Row],[CEDULA ]]),[1]!JUEVES[HORA]),"No registró")</f>
        <v>No registró</v>
      </c>
      <c r="K120" s="359" t="str">
        <f>IFERROR(VLOOKUP([1]!Tabla9[[CEDULA ]],[1]!VIERNES[#Data],5,0),"No registró")</f>
        <v>No registró</v>
      </c>
      <c r="L120" s="359" t="str">
        <f>IFERROR(LOOKUP(2,1/([1]!VIERNES[[CEDULA ]]=[1]!Tabla9[[#This Row],[CEDULA ]]),[1]!VIERNES[HORA]),"No registró")</f>
        <v>No registró</v>
      </c>
      <c r="M120" s="359" t="str">
        <f>IFERROR(VLOOKUP([1]!Tabla9[[CEDULA ]],[1]!SABADO[#Data],5,0),"No registró")</f>
        <v>No registró</v>
      </c>
      <c r="N120" s="359" t="str">
        <f>IFERROR(LOOKUP(2,1/([1]!SABADO[[CEDULA ]]=[1]!Tabla9[[#This Row],[CEDULA ]]),[1]!SABADO[HORA]),"No registró")</f>
        <v>No registró</v>
      </c>
      <c r="O120" s="359" t="str">
        <f>IFERROR(VLOOKUP([1]!Tabla9[[CEDULA ]],[1]!DOMINGO[#Data],5,0),"No registró")</f>
        <v>No registró</v>
      </c>
      <c r="P120" s="359" t="str">
        <f>IFERROR(LOOKUP(2,1/([1]!DOMINGO[[CEDULA ]]=[1]!Tabla9[[#This Row],[CEDULA ]]),[1]!DOMINGO[HORA]),"No registró")</f>
        <v>No registró</v>
      </c>
      <c r="Q120" s="240" t="str">
        <f>IFERROR(VLOOKUP(A120,DATOS[],10,0),"")</f>
        <v>3. CARICUAO</v>
      </c>
    </row>
    <row r="121" spans="1:17" x14ac:dyDescent="0.25">
      <c r="A121" s="239">
        <v>9420460</v>
      </c>
      <c r="B121" s="239" t="s">
        <v>1101</v>
      </c>
      <c r="C121" s="359">
        <f>IFERROR(VLOOKUP([1]!Tabla9[[CEDULA ]],[1]!LUNES[#Data],5,0),"No registró")</f>
        <v>0.40792824074074074</v>
      </c>
      <c r="D121" s="359">
        <f>IFERROR(LOOKUP(2,1/([1]!LUNES[[CEDULA ]]=[1]!Tabla9[[#This Row],[CEDULA ]]),[1]!LUNES[HORA]),"No registró")</f>
        <v>0.60100694444444447</v>
      </c>
      <c r="E121" s="359">
        <f>IFERROR(VLOOKUP([1]!Tabla9[[CEDULA ]],[1]!MARTES[#Data],5,0),"No registró")</f>
        <v>0.32388888888888889</v>
      </c>
      <c r="F121" s="359">
        <f>IFERROR(LOOKUP(2,1/([1]!MARTES[[CEDULA ]]=[1]!Tabla9[[#This Row],[CEDULA ]]),[1]!MARTES[HORA]),"No Registró")</f>
        <v>0.62788194444444445</v>
      </c>
      <c r="G121" s="359" t="str">
        <f>IFERROR(VLOOKUP([1]!Tabla9[[CEDULA ]],[1]!MIERCOLES[#Data],5,0),"No registró")</f>
        <v>No registró</v>
      </c>
      <c r="H121" s="359" t="str">
        <f>IFERROR(LOOKUP(2,1/([1]!MIERCOLES[[CEDULA ]]=[1]!Tabla9[[#This Row],[CEDULA ]]),[1]!MIERCOLES[HORA]),"No registró")</f>
        <v>No registró</v>
      </c>
      <c r="I121" s="359" t="str">
        <f>IFERROR(VLOOKUP([1]!Tabla9[[CEDULA ]],[1]!JUEVES[#Data],5,0),"No Registró")</f>
        <v>No Registró</v>
      </c>
      <c r="J121" s="359" t="str">
        <f>IFERROR(LOOKUP(2,1/([1]!JUEVES[[CEDULA ]]=[1]!Tabla9[[#This Row],[CEDULA ]]),[1]!JUEVES[HORA]),"No registró")</f>
        <v>No registró</v>
      </c>
      <c r="K121" s="359" t="str">
        <f>IFERROR(VLOOKUP([1]!Tabla9[[CEDULA ]],[1]!VIERNES[#Data],5,0),"No registró")</f>
        <v>No registró</v>
      </c>
      <c r="L121" s="359" t="str">
        <f>IFERROR(LOOKUP(2,1/([1]!VIERNES[[CEDULA ]]=[1]!Tabla9[[#This Row],[CEDULA ]]),[1]!VIERNES[HORA]),"No registró")</f>
        <v>No registró</v>
      </c>
      <c r="M121" s="359" t="str">
        <f>IFERROR(VLOOKUP([1]!Tabla9[[CEDULA ]],[1]!SABADO[#Data],5,0),"No registró")</f>
        <v>No registró</v>
      </c>
      <c r="N121" s="359" t="str">
        <f>IFERROR(LOOKUP(2,1/([1]!SABADO[[CEDULA ]]=[1]!Tabla9[[#This Row],[CEDULA ]]),[1]!SABADO[HORA]),"No registró")</f>
        <v>No registró</v>
      </c>
      <c r="O121" s="359" t="str">
        <f>IFERROR(VLOOKUP([1]!Tabla9[[CEDULA ]],[1]!DOMINGO[#Data],5,0),"No registró")</f>
        <v>No registró</v>
      </c>
      <c r="P121" s="359" t="str">
        <f>IFERROR(LOOKUP(2,1/([1]!DOMINGO[[CEDULA ]]=[1]!Tabla9[[#This Row],[CEDULA ]]),[1]!DOMINGO[HORA]),"No registró")</f>
        <v>No registró</v>
      </c>
      <c r="Q121" s="240" t="str">
        <f>IFERROR(VLOOKUP(A121,DATOS[],10,0),"")</f>
        <v>0. ALTO NIVEL</v>
      </c>
    </row>
    <row r="122" spans="1:17" x14ac:dyDescent="0.25">
      <c r="A122" s="239">
        <v>9482632</v>
      </c>
      <c r="B122" s="239" t="s">
        <v>1102</v>
      </c>
      <c r="C122" s="359">
        <f>IFERROR(VLOOKUP([1]!Tabla9[[CEDULA ]],[1]!LUNES[#Data],5,0),"No registró")</f>
        <v>0.38739583333333333</v>
      </c>
      <c r="D122" s="359">
        <f>IFERROR(LOOKUP(2,1/([1]!LUNES[[CEDULA ]]=[1]!Tabla9[[#This Row],[CEDULA ]]),[1]!LUNES[HORA]),"No registró")</f>
        <v>0.55342592592592588</v>
      </c>
      <c r="E122" s="359">
        <f>IFERROR(VLOOKUP([1]!Tabla9[[CEDULA ]],[1]!MARTES[#Data],5,0),"No registró")</f>
        <v>0.40434027777777781</v>
      </c>
      <c r="F122" s="359">
        <f>IFERROR(LOOKUP(2,1/([1]!MARTES[[CEDULA ]]=[1]!Tabla9[[#This Row],[CEDULA ]]),[1]!MARTES[HORA]),"No Registró")</f>
        <v>0.55130787037037032</v>
      </c>
      <c r="G122" s="359" t="str">
        <f>IFERROR(VLOOKUP([1]!Tabla9[[CEDULA ]],[1]!MIERCOLES[#Data],5,0),"No registró")</f>
        <v>No registró</v>
      </c>
      <c r="H122" s="359" t="str">
        <f>IFERROR(LOOKUP(2,1/([1]!MIERCOLES[[CEDULA ]]=[1]!Tabla9[[#This Row],[CEDULA ]]),[1]!MIERCOLES[HORA]),"No registró")</f>
        <v>No registró</v>
      </c>
      <c r="I122" s="359" t="str">
        <f>IFERROR(VLOOKUP([1]!Tabla9[[CEDULA ]],[1]!JUEVES[#Data],5,0),"No Registró")</f>
        <v>No Registró</v>
      </c>
      <c r="J122" s="359" t="str">
        <f>IFERROR(LOOKUP(2,1/([1]!JUEVES[[CEDULA ]]=[1]!Tabla9[[#This Row],[CEDULA ]]),[1]!JUEVES[HORA]),"No registró")</f>
        <v>No registró</v>
      </c>
      <c r="K122" s="359" t="str">
        <f>IFERROR(VLOOKUP([1]!Tabla9[[CEDULA ]],[1]!VIERNES[#Data],5,0),"No registró")</f>
        <v>No registró</v>
      </c>
      <c r="L122" s="359" t="str">
        <f>IFERROR(LOOKUP(2,1/([1]!VIERNES[[CEDULA ]]=[1]!Tabla9[[#This Row],[CEDULA ]]),[1]!VIERNES[HORA]),"No registró")</f>
        <v>No registró</v>
      </c>
      <c r="M122" s="359" t="str">
        <f>IFERROR(VLOOKUP([1]!Tabla9[[CEDULA ]],[1]!SABADO[#Data],5,0),"No registró")</f>
        <v>No registró</v>
      </c>
      <c r="N122" s="359" t="str">
        <f>IFERROR(LOOKUP(2,1/([1]!SABADO[[CEDULA ]]=[1]!Tabla9[[#This Row],[CEDULA ]]),[1]!SABADO[HORA]),"No registró")</f>
        <v>No registró</v>
      </c>
      <c r="O122" s="359" t="str">
        <f>IFERROR(VLOOKUP([1]!Tabla9[[CEDULA ]],[1]!DOMINGO[#Data],5,0),"No registró")</f>
        <v>No registró</v>
      </c>
      <c r="P122" s="359" t="str">
        <f>IFERROR(LOOKUP(2,1/([1]!DOMINGO[[CEDULA ]]=[1]!Tabla9[[#This Row],[CEDULA ]]),[1]!DOMINGO[HORA]),"No registró")</f>
        <v>No registró</v>
      </c>
      <c r="Q122" s="240">
        <f>IFERROR(VLOOKUP(A122,DATOS[],10,0),"")</f>
        <v>0</v>
      </c>
    </row>
    <row r="123" spans="1:17" x14ac:dyDescent="0.25">
      <c r="A123" s="239">
        <v>9489511</v>
      </c>
      <c r="B123" s="239" t="s">
        <v>1414</v>
      </c>
      <c r="C123" s="359">
        <f>IFERROR(VLOOKUP([1]!Tabla9[[CEDULA ]],[1]!LUNES[#Data],5,0),"No registró")</f>
        <v>0.22940972222222222</v>
      </c>
      <c r="D123" s="359">
        <f>IFERROR(LOOKUP(2,1/([1]!LUNES[[CEDULA ]]=[1]!Tabla9[[#This Row],[CEDULA ]]),[1]!LUNES[HORA]),"No registró")</f>
        <v>0.6318287037037037</v>
      </c>
      <c r="E123" s="359">
        <f>IFERROR(VLOOKUP([1]!Tabla9[[CEDULA ]],[1]!MARTES[#Data],5,0),"No registró")</f>
        <v>0.19925925925925925</v>
      </c>
      <c r="F123" s="359">
        <f>IFERROR(LOOKUP(2,1/([1]!MARTES[[CEDULA ]]=[1]!Tabla9[[#This Row],[CEDULA ]]),[1]!MARTES[HORA]),"No Registró")</f>
        <v>0.63358796296296294</v>
      </c>
      <c r="G123" s="359" t="str">
        <f>IFERROR(VLOOKUP([1]!Tabla9[[CEDULA ]],[1]!MIERCOLES[#Data],5,0),"No registró")</f>
        <v>No registró</v>
      </c>
      <c r="H123" s="359" t="str">
        <f>IFERROR(LOOKUP(2,1/([1]!MIERCOLES[[CEDULA ]]=[1]!Tabla9[[#This Row],[CEDULA ]]),[1]!MIERCOLES[HORA]),"No registró")</f>
        <v>No registró</v>
      </c>
      <c r="I123" s="359" t="str">
        <f>IFERROR(VLOOKUP([1]!Tabla9[[CEDULA ]],[1]!JUEVES[#Data],5,0),"No Registró")</f>
        <v>No Registró</v>
      </c>
      <c r="J123" s="359" t="str">
        <f>IFERROR(LOOKUP(2,1/([1]!JUEVES[[CEDULA ]]=[1]!Tabla9[[#This Row],[CEDULA ]]),[1]!JUEVES[HORA]),"No registró")</f>
        <v>No registró</v>
      </c>
      <c r="K123" s="359" t="str">
        <f>IFERROR(VLOOKUP([1]!Tabla9[[CEDULA ]],[1]!VIERNES[#Data],5,0),"No registró")</f>
        <v>No registró</v>
      </c>
      <c r="L123" s="359" t="str">
        <f>IFERROR(LOOKUP(2,1/([1]!VIERNES[[CEDULA ]]=[1]!Tabla9[[#This Row],[CEDULA ]]),[1]!VIERNES[HORA]),"No registró")</f>
        <v>No registró</v>
      </c>
      <c r="M123" s="359">
        <f>IFERROR(VLOOKUP([1]!Tabla9[[CEDULA ]],[1]!SABADO[#Data],5,0),"No registró")</f>
        <v>0.31886574074074076</v>
      </c>
      <c r="N123" s="359">
        <f>IFERROR(LOOKUP(2,1/([1]!SABADO[[CEDULA ]]=[1]!Tabla9[[#This Row],[CEDULA ]]),[1]!SABADO[HORA]),"No registró")</f>
        <v>0.5184375</v>
      </c>
      <c r="O123" s="359" t="str">
        <f>IFERROR(VLOOKUP([1]!Tabla9[[CEDULA ]],[1]!DOMINGO[#Data],5,0),"No registró")</f>
        <v>No registró</v>
      </c>
      <c r="P123" s="359" t="str">
        <f>IFERROR(LOOKUP(2,1/([1]!DOMINGO[[CEDULA ]]=[1]!Tabla9[[#This Row],[CEDULA ]]),[1]!DOMINGO[HORA]),"No registró")</f>
        <v>No registró</v>
      </c>
      <c r="Q123" s="240">
        <f>IFERROR(VLOOKUP(A123,DATOS[],10,0),"")</f>
        <v>0</v>
      </c>
    </row>
    <row r="124" spans="1:17" x14ac:dyDescent="0.25">
      <c r="A124" s="239">
        <v>9953242</v>
      </c>
      <c r="B124" s="239" t="s">
        <v>1103</v>
      </c>
      <c r="C124" s="359">
        <f>IFERROR(VLOOKUP([1]!Tabla9[[CEDULA ]],[1]!LUNES[#Data],5,0),"No registró")</f>
        <v>0.28038194444444448</v>
      </c>
      <c r="D124" s="359">
        <f>IFERROR(LOOKUP(2,1/([1]!LUNES[[CEDULA ]]=[1]!Tabla9[[#This Row],[CEDULA ]]),[1]!LUNES[HORA]),"No registró")</f>
        <v>0.55292824074074076</v>
      </c>
      <c r="E124" s="359">
        <f>IFERROR(VLOOKUP([1]!Tabla9[[CEDULA ]],[1]!MARTES[#Data],5,0),"No registró")</f>
        <v>0.28646990740740741</v>
      </c>
      <c r="F124" s="359">
        <f>IFERROR(LOOKUP(2,1/([1]!MARTES[[CEDULA ]]=[1]!Tabla9[[#This Row],[CEDULA ]]),[1]!MARTES[HORA]),"No Registró")</f>
        <v>0.55289351851851853</v>
      </c>
      <c r="G124" s="359" t="str">
        <f>IFERROR(VLOOKUP([1]!Tabla9[[CEDULA ]],[1]!MIERCOLES[#Data],5,0),"No registró")</f>
        <v>No registró</v>
      </c>
      <c r="H124" s="359" t="str">
        <f>IFERROR(LOOKUP(2,1/([1]!MIERCOLES[[CEDULA ]]=[1]!Tabla9[[#This Row],[CEDULA ]]),[1]!MIERCOLES[HORA]),"No registró")</f>
        <v>No registró</v>
      </c>
      <c r="I124" s="359" t="str">
        <f>IFERROR(VLOOKUP([1]!Tabla9[[CEDULA ]],[1]!JUEVES[#Data],5,0),"No Registró")</f>
        <v>No Registró</v>
      </c>
      <c r="J124" s="359" t="str">
        <f>IFERROR(LOOKUP(2,1/([1]!JUEVES[[CEDULA ]]=[1]!Tabla9[[#This Row],[CEDULA ]]),[1]!JUEVES[HORA]),"No registró")</f>
        <v>No registró</v>
      </c>
      <c r="K124" s="359" t="str">
        <f>IFERROR(VLOOKUP([1]!Tabla9[[CEDULA ]],[1]!VIERNES[#Data],5,0),"No registró")</f>
        <v>No registró</v>
      </c>
      <c r="L124" s="359" t="str">
        <f>IFERROR(LOOKUP(2,1/([1]!VIERNES[[CEDULA ]]=[1]!Tabla9[[#This Row],[CEDULA ]]),[1]!VIERNES[HORA]),"No registró")</f>
        <v>No registró</v>
      </c>
      <c r="M124" s="359" t="str">
        <f>IFERROR(VLOOKUP([1]!Tabla9[[CEDULA ]],[1]!SABADO[#Data],5,0),"No registró")</f>
        <v>No registró</v>
      </c>
      <c r="N124" s="359" t="str">
        <f>IFERROR(LOOKUP(2,1/([1]!SABADO[[CEDULA ]]=[1]!Tabla9[[#This Row],[CEDULA ]]),[1]!SABADO[HORA]),"No registró")</f>
        <v>No registró</v>
      </c>
      <c r="O124" s="359" t="str">
        <f>IFERROR(VLOOKUP([1]!Tabla9[[CEDULA ]],[1]!DOMINGO[#Data],5,0),"No registró")</f>
        <v>No registró</v>
      </c>
      <c r="P124" s="359" t="str">
        <f>IFERROR(LOOKUP(2,1/([1]!DOMINGO[[CEDULA ]]=[1]!Tabla9[[#This Row],[CEDULA ]]),[1]!DOMINGO[HORA]),"No registró")</f>
        <v>No registró</v>
      </c>
      <c r="Q124" s="240" t="str">
        <f>IFERROR(VLOOKUP(A124,DATOS[],10,0),"")</f>
        <v>2. CATIA</v>
      </c>
    </row>
    <row r="125" spans="1:17" x14ac:dyDescent="0.25">
      <c r="A125" s="239">
        <v>9955642</v>
      </c>
      <c r="B125" s="239" t="s">
        <v>1104</v>
      </c>
      <c r="C125" s="359" t="str">
        <f>IFERROR(VLOOKUP([1]!Tabla9[[CEDULA ]],[1]!LUNES[#Data],5,0),"No registró")</f>
        <v>No registró</v>
      </c>
      <c r="D125" s="359" t="str">
        <f>IFERROR(LOOKUP(2,1/([1]!LUNES[[CEDULA ]]=[1]!Tabla9[[#This Row],[CEDULA ]]),[1]!LUNES[HORA]),"No registró")</f>
        <v>No registró</v>
      </c>
      <c r="E125" s="359">
        <f>IFERROR(VLOOKUP([1]!Tabla9[[CEDULA ]],[1]!MARTES[#Data],5,0),"No registró")</f>
        <v>0.38384259259259257</v>
      </c>
      <c r="F125" s="359">
        <f>IFERROR(LOOKUP(2,1/([1]!MARTES[[CEDULA ]]=[1]!Tabla9[[#This Row],[CEDULA ]]),[1]!MARTES[HORA]),"No Registró")</f>
        <v>0.74600694444444438</v>
      </c>
      <c r="G125" s="359" t="str">
        <f>IFERROR(VLOOKUP([1]!Tabla9[[CEDULA ]],[1]!MIERCOLES[#Data],5,0),"No registró")</f>
        <v>No registró</v>
      </c>
      <c r="H125" s="359" t="str">
        <f>IFERROR(LOOKUP(2,1/([1]!MIERCOLES[[CEDULA ]]=[1]!Tabla9[[#This Row],[CEDULA ]]),[1]!MIERCOLES[HORA]),"No registró")</f>
        <v>No registró</v>
      </c>
      <c r="I125" s="359" t="str">
        <f>IFERROR(VLOOKUP([1]!Tabla9[[CEDULA ]],[1]!JUEVES[#Data],5,0),"No Registró")</f>
        <v>No Registró</v>
      </c>
      <c r="J125" s="359" t="str">
        <f>IFERROR(LOOKUP(2,1/([1]!JUEVES[[CEDULA ]]=[1]!Tabla9[[#This Row],[CEDULA ]]),[1]!JUEVES[HORA]),"No registró")</f>
        <v>No registró</v>
      </c>
      <c r="K125" s="359" t="str">
        <f>IFERROR(VLOOKUP([1]!Tabla9[[CEDULA ]],[1]!VIERNES[#Data],5,0),"No registró")</f>
        <v>No registró</v>
      </c>
      <c r="L125" s="359" t="str">
        <f>IFERROR(LOOKUP(2,1/([1]!VIERNES[[CEDULA ]]=[1]!Tabla9[[#This Row],[CEDULA ]]),[1]!VIERNES[HORA]),"No registró")</f>
        <v>No registró</v>
      </c>
      <c r="M125" s="359" t="str">
        <f>IFERROR(VLOOKUP([1]!Tabla9[[CEDULA ]],[1]!SABADO[#Data],5,0),"No registró")</f>
        <v>No registró</v>
      </c>
      <c r="N125" s="359" t="str">
        <f>IFERROR(LOOKUP(2,1/([1]!SABADO[[CEDULA ]]=[1]!Tabla9[[#This Row],[CEDULA ]]),[1]!SABADO[HORA]),"No registró")</f>
        <v>No registró</v>
      </c>
      <c r="O125" s="359" t="str">
        <f>IFERROR(VLOOKUP([1]!Tabla9[[CEDULA ]],[1]!DOMINGO[#Data],5,0),"No registró")</f>
        <v>No registró</v>
      </c>
      <c r="P125" s="359" t="str">
        <f>IFERROR(LOOKUP(2,1/([1]!DOMINGO[[CEDULA ]]=[1]!Tabla9[[#This Row],[CEDULA ]]),[1]!DOMINGO[HORA]),"No registró")</f>
        <v>No registró</v>
      </c>
      <c r="Q125" s="240">
        <f>IFERROR(VLOOKUP(A125,DATOS[],10,0),"")</f>
        <v>0</v>
      </c>
    </row>
    <row r="126" spans="1:17" x14ac:dyDescent="0.25">
      <c r="A126" s="239">
        <v>9960427</v>
      </c>
      <c r="B126" s="239" t="s">
        <v>1105</v>
      </c>
      <c r="C126" s="359">
        <f>IFERROR(VLOOKUP([1]!Tabla9[[CEDULA ]],[1]!LUNES[#Data],5,0),"No registró")</f>
        <v>0.32060185185185186</v>
      </c>
      <c r="D126" s="359">
        <f>IFERROR(LOOKUP(2,1/([1]!LUNES[[CEDULA ]]=[1]!Tabla9[[#This Row],[CEDULA ]]),[1]!LUNES[HORA]),"No registró")</f>
        <v>0.55554398148148143</v>
      </c>
      <c r="E126" s="359" t="str">
        <f>IFERROR(VLOOKUP([1]!Tabla9[[CEDULA ]],[1]!MARTES[#Data],5,0),"No registró")</f>
        <v>No registró</v>
      </c>
      <c r="F126" s="359" t="str">
        <f>IFERROR(LOOKUP(2,1/([1]!MARTES[[CEDULA ]]=[1]!Tabla9[[#This Row],[CEDULA ]]),[1]!MARTES[HORA]),"No Registró")</f>
        <v>No Registró</v>
      </c>
      <c r="G126" s="359" t="str">
        <f>IFERROR(VLOOKUP([1]!Tabla9[[CEDULA ]],[1]!MIERCOLES[#Data],5,0),"No registró")</f>
        <v>No registró</v>
      </c>
      <c r="H126" s="359" t="str">
        <f>IFERROR(LOOKUP(2,1/([1]!MIERCOLES[[CEDULA ]]=[1]!Tabla9[[#This Row],[CEDULA ]]),[1]!MIERCOLES[HORA]),"No registró")</f>
        <v>No registró</v>
      </c>
      <c r="I126" s="359" t="str">
        <f>IFERROR(VLOOKUP([1]!Tabla9[[CEDULA ]],[1]!JUEVES[#Data],5,0),"No Registró")</f>
        <v>No Registró</v>
      </c>
      <c r="J126" s="359" t="str">
        <f>IFERROR(LOOKUP(2,1/([1]!JUEVES[[CEDULA ]]=[1]!Tabla9[[#This Row],[CEDULA ]]),[1]!JUEVES[HORA]),"No registró")</f>
        <v>No registró</v>
      </c>
      <c r="K126" s="359" t="str">
        <f>IFERROR(VLOOKUP([1]!Tabla9[[CEDULA ]],[1]!VIERNES[#Data],5,0),"No registró")</f>
        <v>No registró</v>
      </c>
      <c r="L126" s="359" t="str">
        <f>IFERROR(LOOKUP(2,1/([1]!VIERNES[[CEDULA ]]=[1]!Tabla9[[#This Row],[CEDULA ]]),[1]!VIERNES[HORA]),"No registró")</f>
        <v>No registró</v>
      </c>
      <c r="M126" s="359" t="str">
        <f>IFERROR(VLOOKUP([1]!Tabla9[[CEDULA ]],[1]!SABADO[#Data],5,0),"No registró")</f>
        <v>No registró</v>
      </c>
      <c r="N126" s="359" t="str">
        <f>IFERROR(LOOKUP(2,1/([1]!SABADO[[CEDULA ]]=[1]!Tabla9[[#This Row],[CEDULA ]]),[1]!SABADO[HORA]),"No registró")</f>
        <v>No registró</v>
      </c>
      <c r="O126" s="359" t="str">
        <f>IFERROR(VLOOKUP([1]!Tabla9[[CEDULA ]],[1]!DOMINGO[#Data],5,0),"No registró")</f>
        <v>No registró</v>
      </c>
      <c r="P126" s="359" t="str">
        <f>IFERROR(LOOKUP(2,1/([1]!DOMINGO[[CEDULA ]]=[1]!Tabla9[[#This Row],[CEDULA ]]),[1]!DOMINGO[HORA]),"No registró")</f>
        <v>No registró</v>
      </c>
      <c r="Q126" s="240" t="str">
        <f>IFERROR(VLOOKUP(A126,DATOS[],10,0),"")</f>
        <v>5. GUARENAS</v>
      </c>
    </row>
    <row r="127" spans="1:17" x14ac:dyDescent="0.25">
      <c r="A127" s="239">
        <v>9961370</v>
      </c>
      <c r="B127" s="239" t="s">
        <v>1106</v>
      </c>
      <c r="C127" s="359">
        <f>IFERROR(VLOOKUP([1]!Tabla9[[CEDULA ]],[1]!LUNES[#Data],5,0),"No registró")</f>
        <v>0.28509259259259262</v>
      </c>
      <c r="D127" s="359">
        <f>IFERROR(LOOKUP(2,1/([1]!LUNES[[CEDULA ]]=[1]!Tabla9[[#This Row],[CEDULA ]]),[1]!LUNES[HORA]),"No registró")</f>
        <v>0.55907407407407406</v>
      </c>
      <c r="E127" s="359">
        <f>IFERROR(VLOOKUP([1]!Tabla9[[CEDULA ]],[1]!MARTES[#Data],5,0),"No registró")</f>
        <v>0.28765046296296298</v>
      </c>
      <c r="F127" s="359">
        <f>IFERROR(LOOKUP(2,1/([1]!MARTES[[CEDULA ]]=[1]!Tabla9[[#This Row],[CEDULA ]]),[1]!MARTES[HORA]),"No Registró")</f>
        <v>0.57337962962962963</v>
      </c>
      <c r="G127" s="359" t="str">
        <f>IFERROR(VLOOKUP([1]!Tabla9[[CEDULA ]],[1]!MIERCOLES[#Data],5,0),"No registró")</f>
        <v>No registró</v>
      </c>
      <c r="H127" s="359" t="str">
        <f>IFERROR(LOOKUP(2,1/([1]!MIERCOLES[[CEDULA ]]=[1]!Tabla9[[#This Row],[CEDULA ]]),[1]!MIERCOLES[HORA]),"No registró")</f>
        <v>No registró</v>
      </c>
      <c r="I127" s="359" t="str">
        <f>IFERROR(VLOOKUP([1]!Tabla9[[CEDULA ]],[1]!JUEVES[#Data],5,0),"No Registró")</f>
        <v>No Registró</v>
      </c>
      <c r="J127" s="359" t="str">
        <f>IFERROR(LOOKUP(2,1/([1]!JUEVES[[CEDULA ]]=[1]!Tabla9[[#This Row],[CEDULA ]]),[1]!JUEVES[HORA]),"No registró")</f>
        <v>No registró</v>
      </c>
      <c r="K127" s="359" t="str">
        <f>IFERROR(VLOOKUP([1]!Tabla9[[CEDULA ]],[1]!VIERNES[#Data],5,0),"No registró")</f>
        <v>No registró</v>
      </c>
      <c r="L127" s="359" t="str">
        <f>IFERROR(LOOKUP(2,1/([1]!VIERNES[[CEDULA ]]=[1]!Tabla9[[#This Row],[CEDULA ]]),[1]!VIERNES[HORA]),"No registró")</f>
        <v>No registró</v>
      </c>
      <c r="M127" s="359" t="str">
        <f>IFERROR(VLOOKUP([1]!Tabla9[[CEDULA ]],[1]!SABADO[#Data],5,0),"No registró")</f>
        <v>No registró</v>
      </c>
      <c r="N127" s="359" t="str">
        <f>IFERROR(LOOKUP(2,1/([1]!SABADO[[CEDULA ]]=[1]!Tabla9[[#This Row],[CEDULA ]]),[1]!SABADO[HORA]),"No registró")</f>
        <v>No registró</v>
      </c>
      <c r="O127" s="359" t="str">
        <f>IFERROR(VLOOKUP([1]!Tabla9[[CEDULA ]],[1]!DOMINGO[#Data],5,0),"No registró")</f>
        <v>No registró</v>
      </c>
      <c r="P127" s="359" t="str">
        <f>IFERROR(LOOKUP(2,1/([1]!DOMINGO[[CEDULA ]]=[1]!Tabla9[[#This Row],[CEDULA ]]),[1]!DOMINGO[HORA]),"No registró")</f>
        <v>No registró</v>
      </c>
      <c r="Q127" s="240">
        <f>IFERROR(VLOOKUP(A127,DATOS[],10,0),"")</f>
        <v>0</v>
      </c>
    </row>
    <row r="128" spans="1:17" x14ac:dyDescent="0.25">
      <c r="A128" s="239">
        <v>9995555</v>
      </c>
      <c r="B128" s="239" t="s">
        <v>1107</v>
      </c>
      <c r="C128" s="359">
        <f>IFERROR(VLOOKUP([1]!Tabla9[[CEDULA ]],[1]!LUNES[#Data],5,0),"No registró")</f>
        <v>0.33351851851851855</v>
      </c>
      <c r="D128" s="359">
        <f>IFERROR(LOOKUP(2,1/([1]!LUNES[[CEDULA ]]=[1]!Tabla9[[#This Row],[CEDULA ]]),[1]!LUNES[HORA]),"No registró")</f>
        <v>0.5496064814814815</v>
      </c>
      <c r="E128" s="359">
        <f>IFERROR(VLOOKUP([1]!Tabla9[[CEDULA ]],[1]!MARTES[#Data],5,0),"No registró")</f>
        <v>0.34387731481481482</v>
      </c>
      <c r="F128" s="359">
        <f>IFERROR(LOOKUP(2,1/([1]!MARTES[[CEDULA ]]=[1]!Tabla9[[#This Row],[CEDULA ]]),[1]!MARTES[HORA]),"No Registró")</f>
        <v>0.55386574074074069</v>
      </c>
      <c r="G128" s="359" t="str">
        <f>IFERROR(VLOOKUP([1]!Tabla9[[CEDULA ]],[1]!MIERCOLES[#Data],5,0),"No registró")</f>
        <v>No registró</v>
      </c>
      <c r="H128" s="359" t="str">
        <f>IFERROR(LOOKUP(2,1/([1]!MIERCOLES[[CEDULA ]]=[1]!Tabla9[[#This Row],[CEDULA ]]),[1]!MIERCOLES[HORA]),"No registró")</f>
        <v>No registró</v>
      </c>
      <c r="I128" s="359" t="str">
        <f>IFERROR(VLOOKUP([1]!Tabla9[[CEDULA ]],[1]!JUEVES[#Data],5,0),"No Registró")</f>
        <v>No Registró</v>
      </c>
      <c r="J128" s="359" t="str">
        <f>IFERROR(LOOKUP(2,1/([1]!JUEVES[[CEDULA ]]=[1]!Tabla9[[#This Row],[CEDULA ]]),[1]!JUEVES[HORA]),"No registró")</f>
        <v>No registró</v>
      </c>
      <c r="K128" s="359" t="str">
        <f>IFERROR(VLOOKUP([1]!Tabla9[[CEDULA ]],[1]!VIERNES[#Data],5,0),"No registró")</f>
        <v>No registró</v>
      </c>
      <c r="L128" s="359" t="str">
        <f>IFERROR(LOOKUP(2,1/([1]!VIERNES[[CEDULA ]]=[1]!Tabla9[[#This Row],[CEDULA ]]),[1]!VIERNES[HORA]),"No registró")</f>
        <v>No registró</v>
      </c>
      <c r="M128" s="359" t="str">
        <f>IFERROR(VLOOKUP([1]!Tabla9[[CEDULA ]],[1]!SABADO[#Data],5,0),"No registró")</f>
        <v>No registró</v>
      </c>
      <c r="N128" s="359" t="str">
        <f>IFERROR(LOOKUP(2,1/([1]!SABADO[[CEDULA ]]=[1]!Tabla9[[#This Row],[CEDULA ]]),[1]!SABADO[HORA]),"No registró")</f>
        <v>No registró</v>
      </c>
      <c r="O128" s="359" t="str">
        <f>IFERROR(VLOOKUP([1]!Tabla9[[CEDULA ]],[1]!DOMINGO[#Data],5,0),"No registró")</f>
        <v>No registró</v>
      </c>
      <c r="P128" s="359" t="str">
        <f>IFERROR(LOOKUP(2,1/([1]!DOMINGO[[CEDULA ]]=[1]!Tabla9[[#This Row],[CEDULA ]]),[1]!DOMINGO[HORA]),"No registró")</f>
        <v>No registró</v>
      </c>
      <c r="Q128" s="240" t="str">
        <f>IFERROR(VLOOKUP(A128,DATOS[],10,0),"")</f>
        <v>6. LA GUAIRA</v>
      </c>
    </row>
    <row r="129" spans="1:17" x14ac:dyDescent="0.25">
      <c r="A129" s="239">
        <v>10091853</v>
      </c>
      <c r="B129" s="239" t="s">
        <v>1108</v>
      </c>
      <c r="C129" s="359" t="str">
        <f>IFERROR(VLOOKUP([1]!Tabla9[[CEDULA ]],[1]!LUNES[#Data],5,0),"No registró")</f>
        <v>No registró</v>
      </c>
      <c r="D129" s="359" t="str">
        <f>IFERROR(LOOKUP(2,1/([1]!LUNES[[CEDULA ]]=[1]!Tabla9[[#This Row],[CEDULA ]]),[1]!LUNES[HORA]),"No registró")</f>
        <v>No registró</v>
      </c>
      <c r="E129" s="359">
        <f>IFERROR(VLOOKUP([1]!Tabla9[[CEDULA ]],[1]!MARTES[#Data],5,0),"No registró")</f>
        <v>0.34679398148148149</v>
      </c>
      <c r="F129" s="359">
        <f>IFERROR(LOOKUP(2,1/([1]!MARTES[[CEDULA ]]=[1]!Tabla9[[#This Row],[CEDULA ]]),[1]!MARTES[HORA]),"No Registró")</f>
        <v>0.54312499999999997</v>
      </c>
      <c r="G129" s="359" t="str">
        <f>IFERROR(VLOOKUP([1]!Tabla9[[CEDULA ]],[1]!MIERCOLES[#Data],5,0),"No registró")</f>
        <v>No registró</v>
      </c>
      <c r="H129" s="359" t="str">
        <f>IFERROR(LOOKUP(2,1/([1]!MIERCOLES[[CEDULA ]]=[1]!Tabla9[[#This Row],[CEDULA ]]),[1]!MIERCOLES[HORA]),"No registró")</f>
        <v>No registró</v>
      </c>
      <c r="I129" s="359" t="str">
        <f>IFERROR(VLOOKUP([1]!Tabla9[[CEDULA ]],[1]!JUEVES[#Data],5,0),"No Registró")</f>
        <v>No Registró</v>
      </c>
      <c r="J129" s="359" t="str">
        <f>IFERROR(LOOKUP(2,1/([1]!JUEVES[[CEDULA ]]=[1]!Tabla9[[#This Row],[CEDULA ]]),[1]!JUEVES[HORA]),"No registró")</f>
        <v>No registró</v>
      </c>
      <c r="K129" s="359" t="str">
        <f>IFERROR(VLOOKUP([1]!Tabla9[[CEDULA ]],[1]!VIERNES[#Data],5,0),"No registró")</f>
        <v>No registró</v>
      </c>
      <c r="L129" s="359" t="str">
        <f>IFERROR(LOOKUP(2,1/([1]!VIERNES[[CEDULA ]]=[1]!Tabla9[[#This Row],[CEDULA ]]),[1]!VIERNES[HORA]),"No registró")</f>
        <v>No registró</v>
      </c>
      <c r="M129" s="359" t="str">
        <f>IFERROR(VLOOKUP([1]!Tabla9[[CEDULA ]],[1]!SABADO[#Data],5,0),"No registró")</f>
        <v>No registró</v>
      </c>
      <c r="N129" s="359" t="str">
        <f>IFERROR(LOOKUP(2,1/([1]!SABADO[[CEDULA ]]=[1]!Tabla9[[#This Row],[CEDULA ]]),[1]!SABADO[HORA]),"No registró")</f>
        <v>No registró</v>
      </c>
      <c r="O129" s="359" t="str">
        <f>IFERROR(VLOOKUP([1]!Tabla9[[CEDULA ]],[1]!DOMINGO[#Data],5,0),"No registró")</f>
        <v>No registró</v>
      </c>
      <c r="P129" s="359" t="str">
        <f>IFERROR(LOOKUP(2,1/([1]!DOMINGO[[CEDULA ]]=[1]!Tabla9[[#This Row],[CEDULA ]]),[1]!DOMINGO[HORA]),"No registró")</f>
        <v>No registró</v>
      </c>
      <c r="Q129" s="240">
        <f>IFERROR(VLOOKUP(A129,DATOS[],10,0),"")</f>
        <v>0</v>
      </c>
    </row>
    <row r="130" spans="1:17" x14ac:dyDescent="0.25">
      <c r="A130" s="239">
        <v>10219318</v>
      </c>
      <c r="B130" s="239" t="s">
        <v>1109</v>
      </c>
      <c r="C130" s="359">
        <f>IFERROR(VLOOKUP([1]!Tabla9[[CEDULA ]],[1]!LUNES[#Data],5,0),"No registró")</f>
        <v>0.29681712962962964</v>
      </c>
      <c r="D130" s="359">
        <f>IFERROR(LOOKUP(2,1/([1]!LUNES[[CEDULA ]]=[1]!Tabla9[[#This Row],[CEDULA ]]),[1]!LUNES[HORA]),"No registró")</f>
        <v>0.5623379629629629</v>
      </c>
      <c r="E130" s="359">
        <f>IFERROR(VLOOKUP([1]!Tabla9[[CEDULA ]],[1]!MARTES[#Data],5,0),"No registró")</f>
        <v>0.29996527777777776</v>
      </c>
      <c r="F130" s="359">
        <f>IFERROR(LOOKUP(2,1/([1]!MARTES[[CEDULA ]]=[1]!Tabla9[[#This Row],[CEDULA ]]),[1]!MARTES[HORA]),"No Registró")</f>
        <v>0.55398148148148152</v>
      </c>
      <c r="G130" s="359">
        <f>IFERROR(VLOOKUP([1]!Tabla9[[CEDULA ]],[1]!MIERCOLES[#Data],5,0),"No registró")</f>
        <v>0.31521990740740741</v>
      </c>
      <c r="H130" s="359">
        <f>IFERROR(LOOKUP(2,1/([1]!MIERCOLES[[CEDULA ]]=[1]!Tabla9[[#This Row],[CEDULA ]]),[1]!MIERCOLES[HORA]),"No registró")</f>
        <v>0.50662037037037033</v>
      </c>
      <c r="I130" s="359" t="str">
        <f>IFERROR(VLOOKUP([1]!Tabla9[[CEDULA ]],[1]!JUEVES[#Data],5,0),"No Registró")</f>
        <v>No Registró</v>
      </c>
      <c r="J130" s="359" t="str">
        <f>IFERROR(LOOKUP(2,1/([1]!JUEVES[[CEDULA ]]=[1]!Tabla9[[#This Row],[CEDULA ]]),[1]!JUEVES[HORA]),"No registró")</f>
        <v>No registró</v>
      </c>
      <c r="K130" s="359" t="str">
        <f>IFERROR(VLOOKUP([1]!Tabla9[[CEDULA ]],[1]!VIERNES[#Data],5,0),"No registró")</f>
        <v>No registró</v>
      </c>
      <c r="L130" s="359" t="str">
        <f>IFERROR(LOOKUP(2,1/([1]!VIERNES[[CEDULA ]]=[1]!Tabla9[[#This Row],[CEDULA ]]),[1]!VIERNES[HORA]),"No registró")</f>
        <v>No registró</v>
      </c>
      <c r="M130" s="359" t="str">
        <f>IFERROR(VLOOKUP([1]!Tabla9[[CEDULA ]],[1]!SABADO[#Data],5,0),"No registró")</f>
        <v>No registró</v>
      </c>
      <c r="N130" s="359" t="str">
        <f>IFERROR(LOOKUP(2,1/([1]!SABADO[[CEDULA ]]=[1]!Tabla9[[#This Row],[CEDULA ]]),[1]!SABADO[HORA]),"No registró")</f>
        <v>No registró</v>
      </c>
      <c r="O130" s="359" t="str">
        <f>IFERROR(VLOOKUP([1]!Tabla9[[CEDULA ]],[1]!DOMINGO[#Data],5,0),"No registró")</f>
        <v>No registró</v>
      </c>
      <c r="P130" s="359" t="str">
        <f>IFERROR(LOOKUP(2,1/([1]!DOMINGO[[CEDULA ]]=[1]!Tabla9[[#This Row],[CEDULA ]]),[1]!DOMINGO[HORA]),"No registró")</f>
        <v>No registró</v>
      </c>
      <c r="Q130" s="240" t="str">
        <f>IFERROR(VLOOKUP(A130,DATOS[],10,0),"")</f>
        <v>5. GUARENAS</v>
      </c>
    </row>
    <row r="131" spans="1:17" x14ac:dyDescent="0.25">
      <c r="A131" s="239">
        <v>10313631</v>
      </c>
      <c r="B131" s="239" t="s">
        <v>1110</v>
      </c>
      <c r="C131" s="359">
        <f>IFERROR(VLOOKUP([1]!Tabla9[[CEDULA ]],[1]!LUNES[#Data],5,0),"No registró")</f>
        <v>0.29618055555555556</v>
      </c>
      <c r="D131" s="359">
        <f>IFERROR(LOOKUP(2,1/([1]!LUNES[[CEDULA ]]=[1]!Tabla9[[#This Row],[CEDULA ]]),[1]!LUNES[HORA]),"No registró")</f>
        <v>0.55410879629629628</v>
      </c>
      <c r="E131" s="359">
        <f>IFERROR(VLOOKUP([1]!Tabla9[[CEDULA ]],[1]!MARTES[#Data],5,0),"No registró")</f>
        <v>0.28744212962962962</v>
      </c>
      <c r="F131" s="359">
        <f>IFERROR(LOOKUP(2,1/([1]!MARTES[[CEDULA ]]=[1]!Tabla9[[#This Row],[CEDULA ]]),[1]!MARTES[HORA]),"No Registró")</f>
        <v>0.55387731481481484</v>
      </c>
      <c r="G131" s="359" t="str">
        <f>IFERROR(VLOOKUP([1]!Tabla9[[CEDULA ]],[1]!MIERCOLES[#Data],5,0),"No registró")</f>
        <v>No registró</v>
      </c>
      <c r="H131" s="359" t="str">
        <f>IFERROR(LOOKUP(2,1/([1]!MIERCOLES[[CEDULA ]]=[1]!Tabla9[[#This Row],[CEDULA ]]),[1]!MIERCOLES[HORA]),"No registró")</f>
        <v>No registró</v>
      </c>
      <c r="I131" s="359" t="str">
        <f>IFERROR(VLOOKUP([1]!Tabla9[[CEDULA ]],[1]!JUEVES[#Data],5,0),"No Registró")</f>
        <v>No Registró</v>
      </c>
      <c r="J131" s="359" t="str">
        <f>IFERROR(LOOKUP(2,1/([1]!JUEVES[[CEDULA ]]=[1]!Tabla9[[#This Row],[CEDULA ]]),[1]!JUEVES[HORA]),"No registró")</f>
        <v>No registró</v>
      </c>
      <c r="K131" s="359" t="str">
        <f>IFERROR(VLOOKUP([1]!Tabla9[[CEDULA ]],[1]!VIERNES[#Data],5,0),"No registró")</f>
        <v>No registró</v>
      </c>
      <c r="L131" s="359" t="str">
        <f>IFERROR(LOOKUP(2,1/([1]!VIERNES[[CEDULA ]]=[1]!Tabla9[[#This Row],[CEDULA ]]),[1]!VIERNES[HORA]),"No registró")</f>
        <v>No registró</v>
      </c>
      <c r="M131" s="359" t="str">
        <f>IFERROR(VLOOKUP([1]!Tabla9[[CEDULA ]],[1]!SABADO[#Data],5,0),"No registró")</f>
        <v>No registró</v>
      </c>
      <c r="N131" s="359" t="str">
        <f>IFERROR(LOOKUP(2,1/([1]!SABADO[[CEDULA ]]=[1]!Tabla9[[#This Row],[CEDULA ]]),[1]!SABADO[HORA]),"No registró")</f>
        <v>No registró</v>
      </c>
      <c r="O131" s="359" t="str">
        <f>IFERROR(VLOOKUP([1]!Tabla9[[CEDULA ]],[1]!DOMINGO[#Data],5,0),"No registró")</f>
        <v>No registró</v>
      </c>
      <c r="P131" s="359" t="str">
        <f>IFERROR(LOOKUP(2,1/([1]!DOMINGO[[CEDULA ]]=[1]!Tabla9[[#This Row],[CEDULA ]]),[1]!DOMINGO[HORA]),"No registró")</f>
        <v>No registró</v>
      </c>
      <c r="Q131" s="240">
        <f>IFERROR(VLOOKUP(A131,DATOS[],10,0),"")</f>
        <v>0</v>
      </c>
    </row>
    <row r="132" spans="1:17" x14ac:dyDescent="0.25">
      <c r="A132" s="239">
        <v>10347465</v>
      </c>
      <c r="B132" s="239" t="s">
        <v>1111</v>
      </c>
      <c r="C132" s="359">
        <f>IFERROR(VLOOKUP([1]!Tabla9[[CEDULA ]],[1]!LUNES[#Data],5,0),"No registró")</f>
        <v>0.30965277777777778</v>
      </c>
      <c r="D132" s="359">
        <f>IFERROR(LOOKUP(2,1/([1]!LUNES[[CEDULA ]]=[1]!Tabla9[[#This Row],[CEDULA ]]),[1]!LUNES[HORA]),"No registró")</f>
        <v>0.54219907407407408</v>
      </c>
      <c r="E132" s="359">
        <f>IFERROR(VLOOKUP([1]!Tabla9[[CEDULA ]],[1]!MARTES[#Data],5,0),"No registró")</f>
        <v>0.33802083333333338</v>
      </c>
      <c r="F132" s="359">
        <f>IFERROR(LOOKUP(2,1/([1]!MARTES[[CEDULA ]]=[1]!Tabla9[[#This Row],[CEDULA ]]),[1]!MARTES[HORA]),"No Registró")</f>
        <v>0.55342592592592588</v>
      </c>
      <c r="G132" s="359" t="str">
        <f>IFERROR(VLOOKUP([1]!Tabla9[[CEDULA ]],[1]!MIERCOLES[#Data],5,0),"No registró")</f>
        <v>No registró</v>
      </c>
      <c r="H132" s="359" t="str">
        <f>IFERROR(LOOKUP(2,1/([1]!MIERCOLES[[CEDULA ]]=[1]!Tabla9[[#This Row],[CEDULA ]]),[1]!MIERCOLES[HORA]),"No registró")</f>
        <v>No registró</v>
      </c>
      <c r="I132" s="359" t="str">
        <f>IFERROR(VLOOKUP([1]!Tabla9[[CEDULA ]],[1]!JUEVES[#Data],5,0),"No Registró")</f>
        <v>No Registró</v>
      </c>
      <c r="J132" s="359" t="str">
        <f>IFERROR(LOOKUP(2,1/([1]!JUEVES[[CEDULA ]]=[1]!Tabla9[[#This Row],[CEDULA ]]),[1]!JUEVES[HORA]),"No registró")</f>
        <v>No registró</v>
      </c>
      <c r="K132" s="359" t="str">
        <f>IFERROR(VLOOKUP([1]!Tabla9[[CEDULA ]],[1]!VIERNES[#Data],5,0),"No registró")</f>
        <v>No registró</v>
      </c>
      <c r="L132" s="359" t="str">
        <f>IFERROR(LOOKUP(2,1/([1]!VIERNES[[CEDULA ]]=[1]!Tabla9[[#This Row],[CEDULA ]]),[1]!VIERNES[HORA]),"No registró")</f>
        <v>No registró</v>
      </c>
      <c r="M132" s="359" t="str">
        <f>IFERROR(VLOOKUP([1]!Tabla9[[CEDULA ]],[1]!SABADO[#Data],5,0),"No registró")</f>
        <v>No registró</v>
      </c>
      <c r="N132" s="359" t="str">
        <f>IFERROR(LOOKUP(2,1/([1]!SABADO[[CEDULA ]]=[1]!Tabla9[[#This Row],[CEDULA ]]),[1]!SABADO[HORA]),"No registró")</f>
        <v>No registró</v>
      </c>
      <c r="O132" s="359" t="str">
        <f>IFERROR(VLOOKUP([1]!Tabla9[[CEDULA ]],[1]!DOMINGO[#Data],5,0),"No registró")</f>
        <v>No registró</v>
      </c>
      <c r="P132" s="359" t="str">
        <f>IFERROR(LOOKUP(2,1/([1]!DOMINGO[[CEDULA ]]=[1]!Tabla9[[#This Row],[CEDULA ]]),[1]!DOMINGO[HORA]),"No registró")</f>
        <v>No registró</v>
      </c>
      <c r="Q132" s="240" t="str">
        <f>IFERROR(VLOOKUP(A132,DATOS[],10,0),"")</f>
        <v>4. VALLES DEL TUY</v>
      </c>
    </row>
    <row r="133" spans="1:17" x14ac:dyDescent="0.25">
      <c r="A133" s="239">
        <v>10352406</v>
      </c>
      <c r="B133" s="239" t="s">
        <v>1112</v>
      </c>
      <c r="C133" s="359">
        <f>IFERROR(VLOOKUP([1]!Tabla9[[CEDULA ]],[1]!LUNES[#Data],5,0),"No registró")</f>
        <v>0.28476851851851853</v>
      </c>
      <c r="D133" s="359">
        <f>IFERROR(LOOKUP(2,1/([1]!LUNES[[CEDULA ]]=[1]!Tabla9[[#This Row],[CEDULA ]]),[1]!LUNES[HORA]),"No registró")</f>
        <v>0.55248842592592595</v>
      </c>
      <c r="E133" s="359">
        <f>IFERROR(VLOOKUP([1]!Tabla9[[CEDULA ]],[1]!MARTES[#Data],5,0),"No registró")</f>
        <v>0.25649305555555557</v>
      </c>
      <c r="F133" s="359">
        <f>IFERROR(LOOKUP(2,1/([1]!MARTES[[CEDULA ]]=[1]!Tabla9[[#This Row],[CEDULA ]]),[1]!MARTES[HORA]),"No Registró")</f>
        <v>0.54347222222222225</v>
      </c>
      <c r="G133" s="359" t="str">
        <f>IFERROR(VLOOKUP([1]!Tabla9[[CEDULA ]],[1]!MIERCOLES[#Data],5,0),"No registró")</f>
        <v>No registró</v>
      </c>
      <c r="H133" s="359" t="str">
        <f>IFERROR(LOOKUP(2,1/([1]!MIERCOLES[[CEDULA ]]=[1]!Tabla9[[#This Row],[CEDULA ]]),[1]!MIERCOLES[HORA]),"No registró")</f>
        <v>No registró</v>
      </c>
      <c r="I133" s="359" t="str">
        <f>IFERROR(VLOOKUP([1]!Tabla9[[CEDULA ]],[1]!JUEVES[#Data],5,0),"No Registró")</f>
        <v>No Registró</v>
      </c>
      <c r="J133" s="359" t="str">
        <f>IFERROR(LOOKUP(2,1/([1]!JUEVES[[CEDULA ]]=[1]!Tabla9[[#This Row],[CEDULA ]]),[1]!JUEVES[HORA]),"No registró")</f>
        <v>No registró</v>
      </c>
      <c r="K133" s="359" t="str">
        <f>IFERROR(VLOOKUP([1]!Tabla9[[CEDULA ]],[1]!VIERNES[#Data],5,0),"No registró")</f>
        <v>No registró</v>
      </c>
      <c r="L133" s="359" t="str">
        <f>IFERROR(LOOKUP(2,1/([1]!VIERNES[[CEDULA ]]=[1]!Tabla9[[#This Row],[CEDULA ]]),[1]!VIERNES[HORA]),"No registró")</f>
        <v>No registró</v>
      </c>
      <c r="M133" s="359" t="str">
        <f>IFERROR(VLOOKUP([1]!Tabla9[[CEDULA ]],[1]!SABADO[#Data],5,0),"No registró")</f>
        <v>No registró</v>
      </c>
      <c r="N133" s="359" t="str">
        <f>IFERROR(LOOKUP(2,1/([1]!SABADO[[CEDULA ]]=[1]!Tabla9[[#This Row],[CEDULA ]]),[1]!SABADO[HORA]),"No registró")</f>
        <v>No registró</v>
      </c>
      <c r="O133" s="359" t="str">
        <f>IFERROR(VLOOKUP([1]!Tabla9[[CEDULA ]],[1]!DOMINGO[#Data],5,0),"No registró")</f>
        <v>No registró</v>
      </c>
      <c r="P133" s="359" t="str">
        <f>IFERROR(LOOKUP(2,1/([1]!DOMINGO[[CEDULA ]]=[1]!Tabla9[[#This Row],[CEDULA ]]),[1]!DOMINGO[HORA]),"No registró")</f>
        <v>No registró</v>
      </c>
      <c r="Q133" s="240" t="str">
        <f>IFERROR(VLOOKUP(A133,DATOS[],10,0),"")</f>
        <v>1. COCHE</v>
      </c>
    </row>
    <row r="134" spans="1:17" x14ac:dyDescent="0.25">
      <c r="A134" s="239">
        <v>10354703</v>
      </c>
      <c r="B134" s="239" t="s">
        <v>1113</v>
      </c>
      <c r="C134" s="359">
        <f>IFERROR(VLOOKUP([1]!Tabla9[[CEDULA ]],[1]!LUNES[#Data],5,0),"No registró")</f>
        <v>0.3116666666666667</v>
      </c>
      <c r="D134" s="359">
        <f>IFERROR(LOOKUP(2,1/([1]!LUNES[[CEDULA ]]=[1]!Tabla9[[#This Row],[CEDULA ]]),[1]!LUNES[HORA]),"No registró")</f>
        <v>0.55167824074074068</v>
      </c>
      <c r="E134" s="359">
        <f>IFERROR(VLOOKUP([1]!Tabla9[[CEDULA ]],[1]!MARTES[#Data],5,0),"No registró")</f>
        <v>0.29188657407407409</v>
      </c>
      <c r="F134" s="359">
        <f>IFERROR(LOOKUP(2,1/([1]!MARTES[[CEDULA ]]=[1]!Tabla9[[#This Row],[CEDULA ]]),[1]!MARTES[HORA]),"No Registró")</f>
        <v>0.55248842592592595</v>
      </c>
      <c r="G134" s="359" t="str">
        <f>IFERROR(VLOOKUP([1]!Tabla9[[CEDULA ]],[1]!MIERCOLES[#Data],5,0),"No registró")</f>
        <v>No registró</v>
      </c>
      <c r="H134" s="359" t="str">
        <f>IFERROR(LOOKUP(2,1/([1]!MIERCOLES[[CEDULA ]]=[1]!Tabla9[[#This Row],[CEDULA ]]),[1]!MIERCOLES[HORA]),"No registró")</f>
        <v>No registró</v>
      </c>
      <c r="I134" s="359" t="str">
        <f>IFERROR(VLOOKUP([1]!Tabla9[[CEDULA ]],[1]!JUEVES[#Data],5,0),"No Registró")</f>
        <v>No Registró</v>
      </c>
      <c r="J134" s="359" t="str">
        <f>IFERROR(LOOKUP(2,1/([1]!JUEVES[[CEDULA ]]=[1]!Tabla9[[#This Row],[CEDULA ]]),[1]!JUEVES[HORA]),"No registró")</f>
        <v>No registró</v>
      </c>
      <c r="K134" s="359" t="str">
        <f>IFERROR(VLOOKUP([1]!Tabla9[[CEDULA ]],[1]!VIERNES[#Data],5,0),"No registró")</f>
        <v>No registró</v>
      </c>
      <c r="L134" s="359" t="str">
        <f>IFERROR(LOOKUP(2,1/([1]!VIERNES[[CEDULA ]]=[1]!Tabla9[[#This Row],[CEDULA ]]),[1]!VIERNES[HORA]),"No registró")</f>
        <v>No registró</v>
      </c>
      <c r="M134" s="359" t="str">
        <f>IFERROR(VLOOKUP([1]!Tabla9[[CEDULA ]],[1]!SABADO[#Data],5,0),"No registró")</f>
        <v>No registró</v>
      </c>
      <c r="N134" s="359" t="str">
        <f>IFERROR(LOOKUP(2,1/([1]!SABADO[[CEDULA ]]=[1]!Tabla9[[#This Row],[CEDULA ]]),[1]!SABADO[HORA]),"No registró")</f>
        <v>No registró</v>
      </c>
      <c r="O134" s="359" t="str">
        <f>IFERROR(VLOOKUP([1]!Tabla9[[CEDULA ]],[1]!DOMINGO[#Data],5,0),"No registró")</f>
        <v>No registró</v>
      </c>
      <c r="P134" s="359" t="str">
        <f>IFERROR(LOOKUP(2,1/([1]!DOMINGO[[CEDULA ]]=[1]!Tabla9[[#This Row],[CEDULA ]]),[1]!DOMINGO[HORA]),"No registró")</f>
        <v>No registró</v>
      </c>
      <c r="Q134" s="240" t="str">
        <f>IFERROR(VLOOKUP(A134,DATOS[],10,0),"")</f>
        <v xml:space="preserve"> </v>
      </c>
    </row>
    <row r="135" spans="1:17" x14ac:dyDescent="0.25">
      <c r="A135" s="239">
        <v>10376653</v>
      </c>
      <c r="B135" s="239" t="s">
        <v>1114</v>
      </c>
      <c r="C135" s="359">
        <f>IFERROR(VLOOKUP([1]!Tabla9[[CEDULA ]],[1]!LUNES[#Data],5,0),"No registró")</f>
        <v>0.30783564814814818</v>
      </c>
      <c r="D135" s="359">
        <f>IFERROR(LOOKUP(2,1/([1]!LUNES[[CEDULA ]]=[1]!Tabla9[[#This Row],[CEDULA ]]),[1]!LUNES[HORA]),"No registró")</f>
        <v>0.5544675925925926</v>
      </c>
      <c r="E135" s="359">
        <f>IFERROR(VLOOKUP([1]!Tabla9[[CEDULA ]],[1]!MARTES[#Data],5,0),"No registró")</f>
        <v>0.32803240740740741</v>
      </c>
      <c r="F135" s="359">
        <f>IFERROR(LOOKUP(2,1/([1]!MARTES[[CEDULA ]]=[1]!Tabla9[[#This Row],[CEDULA ]]),[1]!MARTES[HORA]),"No Registró")</f>
        <v>0.55334490740740738</v>
      </c>
      <c r="G135" s="359" t="str">
        <f>IFERROR(VLOOKUP([1]!Tabla9[[CEDULA ]],[1]!MIERCOLES[#Data],5,0),"No registró")</f>
        <v>No registró</v>
      </c>
      <c r="H135" s="359" t="str">
        <f>IFERROR(LOOKUP(2,1/([1]!MIERCOLES[[CEDULA ]]=[1]!Tabla9[[#This Row],[CEDULA ]]),[1]!MIERCOLES[HORA]),"No registró")</f>
        <v>No registró</v>
      </c>
      <c r="I135" s="359" t="str">
        <f>IFERROR(VLOOKUP([1]!Tabla9[[CEDULA ]],[1]!JUEVES[#Data],5,0),"No Registró")</f>
        <v>No Registró</v>
      </c>
      <c r="J135" s="359" t="str">
        <f>IFERROR(LOOKUP(2,1/([1]!JUEVES[[CEDULA ]]=[1]!Tabla9[[#This Row],[CEDULA ]]),[1]!JUEVES[HORA]),"No registró")</f>
        <v>No registró</v>
      </c>
      <c r="K135" s="359" t="str">
        <f>IFERROR(VLOOKUP([1]!Tabla9[[CEDULA ]],[1]!VIERNES[#Data],5,0),"No registró")</f>
        <v>No registró</v>
      </c>
      <c r="L135" s="359" t="str">
        <f>IFERROR(LOOKUP(2,1/([1]!VIERNES[[CEDULA ]]=[1]!Tabla9[[#This Row],[CEDULA ]]),[1]!VIERNES[HORA]),"No registró")</f>
        <v>No registró</v>
      </c>
      <c r="M135" s="359" t="str">
        <f>IFERROR(VLOOKUP([1]!Tabla9[[CEDULA ]],[1]!SABADO[#Data],5,0),"No registró")</f>
        <v>No registró</v>
      </c>
      <c r="N135" s="359" t="str">
        <f>IFERROR(LOOKUP(2,1/([1]!SABADO[[CEDULA ]]=[1]!Tabla9[[#This Row],[CEDULA ]]),[1]!SABADO[HORA]),"No registró")</f>
        <v>No registró</v>
      </c>
      <c r="O135" s="359" t="str">
        <f>IFERROR(VLOOKUP([1]!Tabla9[[CEDULA ]],[1]!DOMINGO[#Data],5,0),"No registró")</f>
        <v>No registró</v>
      </c>
      <c r="P135" s="359" t="str">
        <f>IFERROR(LOOKUP(2,1/([1]!DOMINGO[[CEDULA ]]=[1]!Tabla9[[#This Row],[CEDULA ]]),[1]!DOMINGO[HORA]),"No registró")</f>
        <v>No registró</v>
      </c>
      <c r="Q135" s="240">
        <f>IFERROR(VLOOKUP(A135,DATOS[],10,0),"")</f>
        <v>0</v>
      </c>
    </row>
    <row r="136" spans="1:17" x14ac:dyDescent="0.25">
      <c r="A136" s="239">
        <v>10382319</v>
      </c>
      <c r="B136" s="239" t="s">
        <v>1115</v>
      </c>
      <c r="C136" s="359">
        <f>IFERROR(VLOOKUP([1]!Tabla9[[CEDULA ]],[1]!LUNES[#Data],5,0),"No registró")</f>
        <v>0.30253472222222222</v>
      </c>
      <c r="D136" s="359">
        <f>IFERROR(LOOKUP(2,1/([1]!LUNES[[CEDULA ]]=[1]!Tabla9[[#This Row],[CEDULA ]]),[1]!LUNES[HORA]),"No registró")</f>
        <v>0.55222222222222228</v>
      </c>
      <c r="E136" s="359">
        <f>IFERROR(VLOOKUP([1]!Tabla9[[CEDULA ]],[1]!MARTES[#Data],5,0),"No registró")</f>
        <v>0.30864583333333334</v>
      </c>
      <c r="F136" s="359">
        <f>IFERROR(LOOKUP(2,1/([1]!MARTES[[CEDULA ]]=[1]!Tabla9[[#This Row],[CEDULA ]]),[1]!MARTES[HORA]),"No Registró")</f>
        <v>0.55226851851851855</v>
      </c>
      <c r="G136" s="359" t="str">
        <f>IFERROR(VLOOKUP([1]!Tabla9[[CEDULA ]],[1]!MIERCOLES[#Data],5,0),"No registró")</f>
        <v>No registró</v>
      </c>
      <c r="H136" s="359" t="str">
        <f>IFERROR(LOOKUP(2,1/([1]!MIERCOLES[[CEDULA ]]=[1]!Tabla9[[#This Row],[CEDULA ]]),[1]!MIERCOLES[HORA]),"No registró")</f>
        <v>No registró</v>
      </c>
      <c r="I136" s="359" t="str">
        <f>IFERROR(VLOOKUP([1]!Tabla9[[CEDULA ]],[1]!JUEVES[#Data],5,0),"No Registró")</f>
        <v>No Registró</v>
      </c>
      <c r="J136" s="359" t="str">
        <f>IFERROR(LOOKUP(2,1/([1]!JUEVES[[CEDULA ]]=[1]!Tabla9[[#This Row],[CEDULA ]]),[1]!JUEVES[HORA]),"No registró")</f>
        <v>No registró</v>
      </c>
      <c r="K136" s="359" t="str">
        <f>IFERROR(VLOOKUP([1]!Tabla9[[CEDULA ]],[1]!VIERNES[#Data],5,0),"No registró")</f>
        <v>No registró</v>
      </c>
      <c r="L136" s="359" t="str">
        <f>IFERROR(LOOKUP(2,1/([1]!VIERNES[[CEDULA ]]=[1]!Tabla9[[#This Row],[CEDULA ]]),[1]!VIERNES[HORA]),"No registró")</f>
        <v>No registró</v>
      </c>
      <c r="M136" s="359" t="str">
        <f>IFERROR(VLOOKUP([1]!Tabla9[[CEDULA ]],[1]!SABADO[#Data],5,0),"No registró")</f>
        <v>No registró</v>
      </c>
      <c r="N136" s="359" t="str">
        <f>IFERROR(LOOKUP(2,1/([1]!SABADO[[CEDULA ]]=[1]!Tabla9[[#This Row],[CEDULA ]]),[1]!SABADO[HORA]),"No registró")</f>
        <v>No registró</v>
      </c>
      <c r="O136" s="359" t="str">
        <f>IFERROR(VLOOKUP([1]!Tabla9[[CEDULA ]],[1]!DOMINGO[#Data],5,0),"No registró")</f>
        <v>No registró</v>
      </c>
      <c r="P136" s="359" t="str">
        <f>IFERROR(LOOKUP(2,1/([1]!DOMINGO[[CEDULA ]]=[1]!Tabla9[[#This Row],[CEDULA ]]),[1]!DOMINGO[HORA]),"No registró")</f>
        <v>No registró</v>
      </c>
      <c r="Q136" s="240">
        <f>IFERROR(VLOOKUP(A136,DATOS[],10,0),"")</f>
        <v>0</v>
      </c>
    </row>
    <row r="137" spans="1:17" x14ac:dyDescent="0.25">
      <c r="A137" s="239">
        <v>10392346</v>
      </c>
      <c r="B137" s="239" t="s">
        <v>1116</v>
      </c>
      <c r="C137" s="359">
        <f>IFERROR(VLOOKUP([1]!Tabla9[[CEDULA ]],[1]!LUNES[#Data],5,0),"No registró")</f>
        <v>0.34717592592592594</v>
      </c>
      <c r="D137" s="359">
        <f>IFERROR(LOOKUP(2,1/([1]!LUNES[[CEDULA ]]=[1]!Tabla9[[#This Row],[CEDULA ]]),[1]!LUNES[HORA]),"No registró")</f>
        <v>0.66332175925925929</v>
      </c>
      <c r="E137" s="359">
        <f>IFERROR(VLOOKUP([1]!Tabla9[[CEDULA ]],[1]!MARTES[#Data],5,0),"No registró")</f>
        <v>0.50593750000000004</v>
      </c>
      <c r="F137" s="359">
        <f>IFERROR(LOOKUP(2,1/([1]!MARTES[[CEDULA ]]=[1]!Tabla9[[#This Row],[CEDULA ]]),[1]!MARTES[HORA]),"No Registró")</f>
        <v>0.62031249999999993</v>
      </c>
      <c r="G137" s="359" t="str">
        <f>IFERROR(VLOOKUP([1]!Tabla9[[CEDULA ]],[1]!MIERCOLES[#Data],5,0),"No registró")</f>
        <v>No registró</v>
      </c>
      <c r="H137" s="359" t="str">
        <f>IFERROR(LOOKUP(2,1/([1]!MIERCOLES[[CEDULA ]]=[1]!Tabla9[[#This Row],[CEDULA ]]),[1]!MIERCOLES[HORA]),"No registró")</f>
        <v>No registró</v>
      </c>
      <c r="I137" s="359" t="str">
        <f>IFERROR(VLOOKUP([1]!Tabla9[[CEDULA ]],[1]!JUEVES[#Data],5,0),"No Registró")</f>
        <v>No Registró</v>
      </c>
      <c r="J137" s="359" t="str">
        <f>IFERROR(LOOKUP(2,1/([1]!JUEVES[[CEDULA ]]=[1]!Tabla9[[#This Row],[CEDULA ]]),[1]!JUEVES[HORA]),"No registró")</f>
        <v>No registró</v>
      </c>
      <c r="K137" s="359" t="str">
        <f>IFERROR(VLOOKUP([1]!Tabla9[[CEDULA ]],[1]!VIERNES[#Data],5,0),"No registró")</f>
        <v>No registró</v>
      </c>
      <c r="L137" s="359" t="str">
        <f>IFERROR(LOOKUP(2,1/([1]!VIERNES[[CEDULA ]]=[1]!Tabla9[[#This Row],[CEDULA ]]),[1]!VIERNES[HORA]),"No registró")</f>
        <v>No registró</v>
      </c>
      <c r="M137" s="359" t="str">
        <f>IFERROR(VLOOKUP([1]!Tabla9[[CEDULA ]],[1]!SABADO[#Data],5,0),"No registró")</f>
        <v>No registró</v>
      </c>
      <c r="N137" s="359" t="str">
        <f>IFERROR(LOOKUP(2,1/([1]!SABADO[[CEDULA ]]=[1]!Tabla9[[#This Row],[CEDULA ]]),[1]!SABADO[HORA]),"No registró")</f>
        <v>No registró</v>
      </c>
      <c r="O137" s="359" t="str">
        <f>IFERROR(VLOOKUP([1]!Tabla9[[CEDULA ]],[1]!DOMINGO[#Data],5,0),"No registró")</f>
        <v>No registró</v>
      </c>
      <c r="P137" s="359" t="str">
        <f>IFERROR(LOOKUP(2,1/([1]!DOMINGO[[CEDULA ]]=[1]!Tabla9[[#This Row],[CEDULA ]]),[1]!DOMINGO[HORA]),"No registró")</f>
        <v>No registró</v>
      </c>
      <c r="Q137" s="240">
        <f>IFERROR(VLOOKUP(A137,DATOS[],10,0),"")</f>
        <v>0</v>
      </c>
    </row>
    <row r="138" spans="1:17" x14ac:dyDescent="0.25">
      <c r="A138" s="239">
        <v>10470628</v>
      </c>
      <c r="B138" s="239" t="s">
        <v>1117</v>
      </c>
      <c r="C138" s="359">
        <f>IFERROR(VLOOKUP([1]!Tabla9[[CEDULA ]],[1]!LUNES[#Data],5,0),"No registró")</f>
        <v>0.28765046296296298</v>
      </c>
      <c r="D138" s="359">
        <f>IFERROR(LOOKUP(2,1/([1]!LUNES[[CEDULA ]]=[1]!Tabla9[[#This Row],[CEDULA ]]),[1]!LUNES[HORA]),"No registró")</f>
        <v>0.5496875</v>
      </c>
      <c r="E138" s="359">
        <f>IFERROR(VLOOKUP([1]!Tabla9[[CEDULA ]],[1]!MARTES[#Data],5,0),"No registró")</f>
        <v>0.28255787037037039</v>
      </c>
      <c r="F138" s="359">
        <f>IFERROR(LOOKUP(2,1/([1]!MARTES[[CEDULA ]]=[1]!Tabla9[[#This Row],[CEDULA ]]),[1]!MARTES[HORA]),"No Registró")</f>
        <v>0.54923611111111115</v>
      </c>
      <c r="G138" s="359" t="str">
        <f>IFERROR(VLOOKUP([1]!Tabla9[[CEDULA ]],[1]!MIERCOLES[#Data],5,0),"No registró")</f>
        <v>No registró</v>
      </c>
      <c r="H138" s="359" t="str">
        <f>IFERROR(LOOKUP(2,1/([1]!MIERCOLES[[CEDULA ]]=[1]!Tabla9[[#This Row],[CEDULA ]]),[1]!MIERCOLES[HORA]),"No registró")</f>
        <v>No registró</v>
      </c>
      <c r="I138" s="359" t="str">
        <f>IFERROR(VLOOKUP([1]!Tabla9[[CEDULA ]],[1]!JUEVES[#Data],5,0),"No Registró")</f>
        <v>No Registró</v>
      </c>
      <c r="J138" s="359" t="str">
        <f>IFERROR(LOOKUP(2,1/([1]!JUEVES[[CEDULA ]]=[1]!Tabla9[[#This Row],[CEDULA ]]),[1]!JUEVES[HORA]),"No registró")</f>
        <v>No registró</v>
      </c>
      <c r="K138" s="359" t="str">
        <f>IFERROR(VLOOKUP([1]!Tabla9[[CEDULA ]],[1]!VIERNES[#Data],5,0),"No registró")</f>
        <v>No registró</v>
      </c>
      <c r="L138" s="359" t="str">
        <f>IFERROR(LOOKUP(2,1/([1]!VIERNES[[CEDULA ]]=[1]!Tabla9[[#This Row],[CEDULA ]]),[1]!VIERNES[HORA]),"No registró")</f>
        <v>No registró</v>
      </c>
      <c r="M138" s="359" t="str">
        <f>IFERROR(VLOOKUP([1]!Tabla9[[CEDULA ]],[1]!SABADO[#Data],5,0),"No registró")</f>
        <v>No registró</v>
      </c>
      <c r="N138" s="359" t="str">
        <f>IFERROR(LOOKUP(2,1/([1]!SABADO[[CEDULA ]]=[1]!Tabla9[[#This Row],[CEDULA ]]),[1]!SABADO[HORA]),"No registró")</f>
        <v>No registró</v>
      </c>
      <c r="O138" s="359" t="str">
        <f>IFERROR(VLOOKUP([1]!Tabla9[[CEDULA ]],[1]!DOMINGO[#Data],5,0),"No registró")</f>
        <v>No registró</v>
      </c>
      <c r="P138" s="359" t="str">
        <f>IFERROR(LOOKUP(2,1/([1]!DOMINGO[[CEDULA ]]=[1]!Tabla9[[#This Row],[CEDULA ]]),[1]!DOMINGO[HORA]),"No registró")</f>
        <v>No registró</v>
      </c>
      <c r="Q138" s="240" t="str">
        <f>IFERROR(VLOOKUP(A138,DATOS[],10,0),"")</f>
        <v>5. GUARENAS</v>
      </c>
    </row>
    <row r="139" spans="1:17" x14ac:dyDescent="0.25">
      <c r="A139" s="239">
        <v>10474497</v>
      </c>
      <c r="B139" s="239" t="s">
        <v>1118</v>
      </c>
      <c r="C139" s="359">
        <f>IFERROR(VLOOKUP([1]!Tabla9[[CEDULA ]],[1]!LUNES[#Data],5,0),"No registró")</f>
        <v>0.32015046296296296</v>
      </c>
      <c r="D139" s="359">
        <f>IFERROR(LOOKUP(2,1/([1]!LUNES[[CEDULA ]]=[1]!Tabla9[[#This Row],[CEDULA ]]),[1]!LUNES[HORA]),"No registró")</f>
        <v>0.59028935185185183</v>
      </c>
      <c r="E139" s="359">
        <f>IFERROR(VLOOKUP([1]!Tabla9[[CEDULA ]],[1]!MARTES[#Data],5,0),"No registró")</f>
        <v>0.31953703703703701</v>
      </c>
      <c r="F139" s="359">
        <f>IFERROR(LOOKUP(2,1/([1]!MARTES[[CEDULA ]]=[1]!Tabla9[[#This Row],[CEDULA ]]),[1]!MARTES[HORA]),"No Registró")</f>
        <v>0.583125</v>
      </c>
      <c r="G139" s="359" t="str">
        <f>IFERROR(VLOOKUP([1]!Tabla9[[CEDULA ]],[1]!MIERCOLES[#Data],5,0),"No registró")</f>
        <v>No registró</v>
      </c>
      <c r="H139" s="359" t="str">
        <f>IFERROR(LOOKUP(2,1/([1]!MIERCOLES[[CEDULA ]]=[1]!Tabla9[[#This Row],[CEDULA ]]),[1]!MIERCOLES[HORA]),"No registró")</f>
        <v>No registró</v>
      </c>
      <c r="I139" s="359" t="str">
        <f>IFERROR(VLOOKUP([1]!Tabla9[[CEDULA ]],[1]!JUEVES[#Data],5,0),"No Registró")</f>
        <v>No Registró</v>
      </c>
      <c r="J139" s="359" t="str">
        <f>IFERROR(LOOKUP(2,1/([1]!JUEVES[[CEDULA ]]=[1]!Tabla9[[#This Row],[CEDULA ]]),[1]!JUEVES[HORA]),"No registró")</f>
        <v>No registró</v>
      </c>
      <c r="K139" s="359" t="str">
        <f>IFERROR(VLOOKUP([1]!Tabla9[[CEDULA ]],[1]!VIERNES[#Data],5,0),"No registró")</f>
        <v>No registró</v>
      </c>
      <c r="L139" s="359" t="str">
        <f>IFERROR(LOOKUP(2,1/([1]!VIERNES[[CEDULA ]]=[1]!Tabla9[[#This Row],[CEDULA ]]),[1]!VIERNES[HORA]),"No registró")</f>
        <v>No registró</v>
      </c>
      <c r="M139" s="359" t="str">
        <f>IFERROR(VLOOKUP([1]!Tabla9[[CEDULA ]],[1]!SABADO[#Data],5,0),"No registró")</f>
        <v>No registró</v>
      </c>
      <c r="N139" s="359" t="str">
        <f>IFERROR(LOOKUP(2,1/([1]!SABADO[[CEDULA ]]=[1]!Tabla9[[#This Row],[CEDULA ]]),[1]!SABADO[HORA]),"No registró")</f>
        <v>No registró</v>
      </c>
      <c r="O139" s="359" t="str">
        <f>IFERROR(VLOOKUP([1]!Tabla9[[CEDULA ]],[1]!DOMINGO[#Data],5,0),"No registró")</f>
        <v>No registró</v>
      </c>
      <c r="P139" s="359" t="str">
        <f>IFERROR(LOOKUP(2,1/([1]!DOMINGO[[CEDULA ]]=[1]!Tabla9[[#This Row],[CEDULA ]]),[1]!DOMINGO[HORA]),"No registró")</f>
        <v>No registró</v>
      </c>
      <c r="Q139" s="240" t="str">
        <f>IFERROR(VLOOKUP(A139,DATOS[],10,0),"")</f>
        <v>5. GUARENAS</v>
      </c>
    </row>
    <row r="140" spans="1:17" x14ac:dyDescent="0.25">
      <c r="A140" s="239">
        <v>10508040</v>
      </c>
      <c r="B140" s="239" t="s">
        <v>1119</v>
      </c>
      <c r="C140" s="359">
        <f>IFERROR(VLOOKUP([1]!Tabla9[[CEDULA ]],[1]!LUNES[#Data],5,0),"No registró")</f>
        <v>0.30990740740740741</v>
      </c>
      <c r="D140" s="359">
        <f>IFERROR(LOOKUP(2,1/([1]!LUNES[[CEDULA ]]=[1]!Tabla9[[#This Row],[CEDULA ]]),[1]!LUNES[HORA]),"No registró")</f>
        <v>0.53268518518518515</v>
      </c>
      <c r="E140" s="359">
        <f>IFERROR(VLOOKUP([1]!Tabla9[[CEDULA ]],[1]!MARTES[#Data],5,0),"No registró")</f>
        <v>0.33817129629629633</v>
      </c>
      <c r="F140" s="359">
        <f>IFERROR(LOOKUP(2,1/([1]!MARTES[[CEDULA ]]=[1]!Tabla9[[#This Row],[CEDULA ]]),[1]!MARTES[HORA]),"No Registró")</f>
        <v>0.44438657407407406</v>
      </c>
      <c r="G140" s="359" t="str">
        <f>IFERROR(VLOOKUP([1]!Tabla9[[CEDULA ]],[1]!MIERCOLES[#Data],5,0),"No registró")</f>
        <v>No registró</v>
      </c>
      <c r="H140" s="359" t="str">
        <f>IFERROR(LOOKUP(2,1/([1]!MIERCOLES[[CEDULA ]]=[1]!Tabla9[[#This Row],[CEDULA ]]),[1]!MIERCOLES[HORA]),"No registró")</f>
        <v>No registró</v>
      </c>
      <c r="I140" s="359" t="str">
        <f>IFERROR(VLOOKUP([1]!Tabla9[[CEDULA ]],[1]!JUEVES[#Data],5,0),"No Registró")</f>
        <v>No Registró</v>
      </c>
      <c r="J140" s="359" t="str">
        <f>IFERROR(LOOKUP(2,1/([1]!JUEVES[[CEDULA ]]=[1]!Tabla9[[#This Row],[CEDULA ]]),[1]!JUEVES[HORA]),"No registró")</f>
        <v>No registró</v>
      </c>
      <c r="K140" s="359" t="str">
        <f>IFERROR(VLOOKUP([1]!Tabla9[[CEDULA ]],[1]!VIERNES[#Data],5,0),"No registró")</f>
        <v>No registró</v>
      </c>
      <c r="L140" s="359" t="str">
        <f>IFERROR(LOOKUP(2,1/([1]!VIERNES[[CEDULA ]]=[1]!Tabla9[[#This Row],[CEDULA ]]),[1]!VIERNES[HORA]),"No registró")</f>
        <v>No registró</v>
      </c>
      <c r="M140" s="359" t="str">
        <f>IFERROR(VLOOKUP([1]!Tabla9[[CEDULA ]],[1]!SABADO[#Data],5,0),"No registró")</f>
        <v>No registró</v>
      </c>
      <c r="N140" s="359" t="str">
        <f>IFERROR(LOOKUP(2,1/([1]!SABADO[[CEDULA ]]=[1]!Tabla9[[#This Row],[CEDULA ]]),[1]!SABADO[HORA]),"No registró")</f>
        <v>No registró</v>
      </c>
      <c r="O140" s="359" t="str">
        <f>IFERROR(VLOOKUP([1]!Tabla9[[CEDULA ]],[1]!DOMINGO[#Data],5,0),"No registró")</f>
        <v>No registró</v>
      </c>
      <c r="P140" s="359" t="str">
        <f>IFERROR(LOOKUP(2,1/([1]!DOMINGO[[CEDULA ]]=[1]!Tabla9[[#This Row],[CEDULA ]]),[1]!DOMINGO[HORA]),"No registró")</f>
        <v>No registró</v>
      </c>
      <c r="Q140" s="240" t="str">
        <f>IFERROR(VLOOKUP(A140,DATOS[],10,0),"")</f>
        <v>4. VALLES DEL TUY</v>
      </c>
    </row>
    <row r="141" spans="1:17" x14ac:dyDescent="0.25">
      <c r="A141" s="239">
        <v>10509014</v>
      </c>
      <c r="B141" s="239" t="s">
        <v>1120</v>
      </c>
      <c r="C141" s="359">
        <f>IFERROR(VLOOKUP([1]!Tabla9[[CEDULA ]],[1]!LUNES[#Data],5,0),"No registró")</f>
        <v>0.28028935185185183</v>
      </c>
      <c r="D141" s="360" t="s">
        <v>989</v>
      </c>
      <c r="E141" s="359">
        <f>IFERROR(VLOOKUP([1]!Tabla9[[CEDULA ]],[1]!MARTES[#Data],5,0),"No registró")</f>
        <v>0.28667824074074072</v>
      </c>
      <c r="F141" s="359">
        <f>IFERROR(LOOKUP(2,1/([1]!MARTES[[CEDULA ]]=[1]!Tabla9[[#This Row],[CEDULA ]]),[1]!MARTES[HORA]),"No Registró")</f>
        <v>0.56905092592592588</v>
      </c>
      <c r="G141" s="359" t="str">
        <f>IFERROR(VLOOKUP([1]!Tabla9[[CEDULA ]],[1]!MIERCOLES[#Data],5,0),"No registró")</f>
        <v>No registró</v>
      </c>
      <c r="H141" s="359" t="str">
        <f>IFERROR(LOOKUP(2,1/([1]!MIERCOLES[[CEDULA ]]=[1]!Tabla9[[#This Row],[CEDULA ]]),[1]!MIERCOLES[HORA]),"No registró")</f>
        <v>No registró</v>
      </c>
      <c r="I141" s="359" t="str">
        <f>IFERROR(VLOOKUP([1]!Tabla9[[CEDULA ]],[1]!JUEVES[#Data],5,0),"No Registró")</f>
        <v>No Registró</v>
      </c>
      <c r="J141" s="359" t="str">
        <f>IFERROR(LOOKUP(2,1/([1]!JUEVES[[CEDULA ]]=[1]!Tabla9[[#This Row],[CEDULA ]]),[1]!JUEVES[HORA]),"No registró")</f>
        <v>No registró</v>
      </c>
      <c r="K141" s="359" t="str">
        <f>IFERROR(VLOOKUP([1]!Tabla9[[CEDULA ]],[1]!VIERNES[#Data],5,0),"No registró")</f>
        <v>No registró</v>
      </c>
      <c r="L141" s="359" t="str">
        <f>IFERROR(LOOKUP(2,1/([1]!VIERNES[[CEDULA ]]=[1]!Tabla9[[#This Row],[CEDULA ]]),[1]!VIERNES[HORA]),"No registró")</f>
        <v>No registró</v>
      </c>
      <c r="M141" s="359" t="str">
        <f>IFERROR(VLOOKUP([1]!Tabla9[[CEDULA ]],[1]!SABADO[#Data],5,0),"No registró")</f>
        <v>No registró</v>
      </c>
      <c r="N141" s="359" t="str">
        <f>IFERROR(LOOKUP(2,1/([1]!SABADO[[CEDULA ]]=[1]!Tabla9[[#This Row],[CEDULA ]]),[1]!SABADO[HORA]),"No registró")</f>
        <v>No registró</v>
      </c>
      <c r="O141" s="359" t="str">
        <f>IFERROR(VLOOKUP([1]!Tabla9[[CEDULA ]],[1]!DOMINGO[#Data],5,0),"No registró")</f>
        <v>No registró</v>
      </c>
      <c r="P141" s="359" t="str">
        <f>IFERROR(LOOKUP(2,1/([1]!DOMINGO[[CEDULA ]]=[1]!Tabla9[[#This Row],[CEDULA ]]),[1]!DOMINGO[HORA]),"No registró")</f>
        <v>No registró</v>
      </c>
      <c r="Q141" s="240" t="str">
        <f>IFERROR(VLOOKUP(A141,DATOS[],10,0),"")</f>
        <v>2. CATIA</v>
      </c>
    </row>
    <row r="142" spans="1:17" x14ac:dyDescent="0.25">
      <c r="A142" s="239">
        <v>10528106</v>
      </c>
      <c r="B142" s="239" t="s">
        <v>1121</v>
      </c>
      <c r="C142" s="359">
        <f>IFERROR(VLOOKUP([1]!Tabla9[[CEDULA ]],[1]!LUNES[#Data],5,0),"No registró")</f>
        <v>0.30177083333333332</v>
      </c>
      <c r="D142" s="359">
        <f>IFERROR(LOOKUP(2,1/([1]!LUNES[[CEDULA ]]=[1]!Tabla9[[#This Row],[CEDULA ]]),[1]!LUNES[HORA]),"No registró")</f>
        <v>0.76180555555555562</v>
      </c>
      <c r="E142" s="359">
        <f>IFERROR(VLOOKUP([1]!Tabla9[[CEDULA ]],[1]!MARTES[#Data],5,0),"No registró")</f>
        <v>0.31870370370370371</v>
      </c>
      <c r="F142" s="359">
        <f>IFERROR(LOOKUP(2,1/([1]!MARTES[[CEDULA ]]=[1]!Tabla9[[#This Row],[CEDULA ]]),[1]!MARTES[HORA]),"No Registró")</f>
        <v>0.71659722222222222</v>
      </c>
      <c r="G142" s="359" t="str">
        <f>IFERROR(VLOOKUP([1]!Tabla9[[CEDULA ]],[1]!MIERCOLES[#Data],5,0),"No registró")</f>
        <v>No registró</v>
      </c>
      <c r="H142" s="359" t="str">
        <f>IFERROR(LOOKUP(2,1/([1]!MIERCOLES[[CEDULA ]]=[1]!Tabla9[[#This Row],[CEDULA ]]),[1]!MIERCOLES[HORA]),"No registró")</f>
        <v>No registró</v>
      </c>
      <c r="I142" s="359" t="str">
        <f>IFERROR(VLOOKUP([1]!Tabla9[[CEDULA ]],[1]!JUEVES[#Data],5,0),"No Registró")</f>
        <v>No Registró</v>
      </c>
      <c r="J142" s="359" t="str">
        <f>IFERROR(LOOKUP(2,1/([1]!JUEVES[[CEDULA ]]=[1]!Tabla9[[#This Row],[CEDULA ]]),[1]!JUEVES[HORA]),"No registró")</f>
        <v>No registró</v>
      </c>
      <c r="K142" s="359" t="str">
        <f>IFERROR(VLOOKUP([1]!Tabla9[[CEDULA ]],[1]!VIERNES[#Data],5,0),"No registró")</f>
        <v>No registró</v>
      </c>
      <c r="L142" s="359" t="str">
        <f>IFERROR(LOOKUP(2,1/([1]!VIERNES[[CEDULA ]]=[1]!Tabla9[[#This Row],[CEDULA ]]),[1]!VIERNES[HORA]),"No registró")</f>
        <v>No registró</v>
      </c>
      <c r="M142" s="359" t="str">
        <f>IFERROR(VLOOKUP([1]!Tabla9[[CEDULA ]],[1]!SABADO[#Data],5,0),"No registró")</f>
        <v>No registró</v>
      </c>
      <c r="N142" s="359" t="str">
        <f>IFERROR(LOOKUP(2,1/([1]!SABADO[[CEDULA ]]=[1]!Tabla9[[#This Row],[CEDULA ]]),[1]!SABADO[HORA]),"No registró")</f>
        <v>No registró</v>
      </c>
      <c r="O142" s="359" t="str">
        <f>IFERROR(VLOOKUP([1]!Tabla9[[CEDULA ]],[1]!DOMINGO[#Data],5,0),"No registró")</f>
        <v>No registró</v>
      </c>
      <c r="P142" s="359" t="str">
        <f>IFERROR(LOOKUP(2,1/([1]!DOMINGO[[CEDULA ]]=[1]!Tabla9[[#This Row],[CEDULA ]]),[1]!DOMINGO[HORA]),"No registró")</f>
        <v>No registró</v>
      </c>
      <c r="Q142" s="240">
        <f>IFERROR(VLOOKUP(A142,DATOS[],10,0),"")</f>
        <v>0</v>
      </c>
    </row>
    <row r="143" spans="1:17" x14ac:dyDescent="0.25">
      <c r="A143" s="239">
        <v>10533753</v>
      </c>
      <c r="B143" s="239" t="s">
        <v>1122</v>
      </c>
      <c r="C143" s="359">
        <f>IFERROR(VLOOKUP([1]!Tabla9[[CEDULA ]],[1]!LUNES[#Data],5,0),"No registró")</f>
        <v>0.28248842592592593</v>
      </c>
      <c r="D143" s="359">
        <f>IFERROR(LOOKUP(2,1/([1]!LUNES[[CEDULA ]]=[1]!Tabla9[[#This Row],[CEDULA ]]),[1]!LUNES[HORA]),"No registró")</f>
        <v>0.54050925925925919</v>
      </c>
      <c r="E143" s="359">
        <f>IFERROR(VLOOKUP([1]!Tabla9[[CEDULA ]],[1]!MARTES[#Data],5,0),"No registró")</f>
        <v>0.28787037037037039</v>
      </c>
      <c r="F143" s="359">
        <f>IFERROR(LOOKUP(2,1/([1]!MARTES[[CEDULA ]]=[1]!Tabla9[[#This Row],[CEDULA ]]),[1]!MARTES[HORA]),"No Registró")</f>
        <v>0.50471064814814814</v>
      </c>
      <c r="G143" s="359" t="str">
        <f>IFERROR(VLOOKUP([1]!Tabla9[[CEDULA ]],[1]!MIERCOLES[#Data],5,0),"No registró")</f>
        <v>No registró</v>
      </c>
      <c r="H143" s="359" t="str">
        <f>IFERROR(LOOKUP(2,1/([1]!MIERCOLES[[CEDULA ]]=[1]!Tabla9[[#This Row],[CEDULA ]]),[1]!MIERCOLES[HORA]),"No registró")</f>
        <v>No registró</v>
      </c>
      <c r="I143" s="359" t="str">
        <f>IFERROR(VLOOKUP([1]!Tabla9[[CEDULA ]],[1]!JUEVES[#Data],5,0),"No Registró")</f>
        <v>No Registró</v>
      </c>
      <c r="J143" s="359" t="str">
        <f>IFERROR(LOOKUP(2,1/([1]!JUEVES[[CEDULA ]]=[1]!Tabla9[[#This Row],[CEDULA ]]),[1]!JUEVES[HORA]),"No registró")</f>
        <v>No registró</v>
      </c>
      <c r="K143" s="359" t="str">
        <f>IFERROR(VLOOKUP([1]!Tabla9[[CEDULA ]],[1]!VIERNES[#Data],5,0),"No registró")</f>
        <v>No registró</v>
      </c>
      <c r="L143" s="359" t="str">
        <f>IFERROR(LOOKUP(2,1/([1]!VIERNES[[CEDULA ]]=[1]!Tabla9[[#This Row],[CEDULA ]]),[1]!VIERNES[HORA]),"No registró")</f>
        <v>No registró</v>
      </c>
      <c r="M143" s="359" t="str">
        <f>IFERROR(VLOOKUP([1]!Tabla9[[CEDULA ]],[1]!SABADO[#Data],5,0),"No registró")</f>
        <v>No registró</v>
      </c>
      <c r="N143" s="359" t="str">
        <f>IFERROR(LOOKUP(2,1/([1]!SABADO[[CEDULA ]]=[1]!Tabla9[[#This Row],[CEDULA ]]),[1]!SABADO[HORA]),"No registró")</f>
        <v>No registró</v>
      </c>
      <c r="O143" s="359" t="str">
        <f>IFERROR(VLOOKUP([1]!Tabla9[[CEDULA ]],[1]!DOMINGO[#Data],5,0),"No registró")</f>
        <v>No registró</v>
      </c>
      <c r="P143" s="359" t="str">
        <f>IFERROR(LOOKUP(2,1/([1]!DOMINGO[[CEDULA ]]=[1]!Tabla9[[#This Row],[CEDULA ]]),[1]!DOMINGO[HORA]),"No registró")</f>
        <v>No registró</v>
      </c>
      <c r="Q143" s="240">
        <f>IFERROR(VLOOKUP(A143,DATOS[],10,0),"")</f>
        <v>0</v>
      </c>
    </row>
    <row r="144" spans="1:17" x14ac:dyDescent="0.25">
      <c r="A144" s="239">
        <v>10540917</v>
      </c>
      <c r="B144" s="239" t="s">
        <v>1123</v>
      </c>
      <c r="C144" s="359">
        <f>IFERROR(VLOOKUP([1]!Tabla9[[CEDULA ]],[1]!LUNES[#Data],5,0),"No registró")</f>
        <v>0.30565972222222221</v>
      </c>
      <c r="D144" s="359">
        <f>IFERROR(LOOKUP(2,1/([1]!LUNES[[CEDULA ]]=[1]!Tabla9[[#This Row],[CEDULA ]]),[1]!LUNES[HORA]),"No registró")</f>
        <v>0.56444444444444442</v>
      </c>
      <c r="E144" s="359">
        <f>IFERROR(VLOOKUP([1]!Tabla9[[CEDULA ]],[1]!MARTES[#Data],5,0),"No registró")</f>
        <v>0.31427083333333333</v>
      </c>
      <c r="F144" s="359">
        <f>IFERROR(LOOKUP(2,1/([1]!MARTES[[CEDULA ]]=[1]!Tabla9[[#This Row],[CEDULA ]]),[1]!MARTES[HORA]),"No Registró")</f>
        <v>0.43509259259259259</v>
      </c>
      <c r="G144" s="359" t="str">
        <f>IFERROR(VLOOKUP([1]!Tabla9[[CEDULA ]],[1]!MIERCOLES[#Data],5,0),"No registró")</f>
        <v>No registró</v>
      </c>
      <c r="H144" s="359" t="str">
        <f>IFERROR(LOOKUP(2,1/([1]!MIERCOLES[[CEDULA ]]=[1]!Tabla9[[#This Row],[CEDULA ]]),[1]!MIERCOLES[HORA]),"No registró")</f>
        <v>No registró</v>
      </c>
      <c r="I144" s="359" t="str">
        <f>IFERROR(VLOOKUP([1]!Tabla9[[CEDULA ]],[1]!JUEVES[#Data],5,0),"No Registró")</f>
        <v>No Registró</v>
      </c>
      <c r="J144" s="359" t="str">
        <f>IFERROR(LOOKUP(2,1/([1]!JUEVES[[CEDULA ]]=[1]!Tabla9[[#This Row],[CEDULA ]]),[1]!JUEVES[HORA]),"No registró")</f>
        <v>No registró</v>
      </c>
      <c r="K144" s="359" t="str">
        <f>IFERROR(VLOOKUP([1]!Tabla9[[CEDULA ]],[1]!VIERNES[#Data],5,0),"No registró")</f>
        <v>No registró</v>
      </c>
      <c r="L144" s="359" t="str">
        <f>IFERROR(LOOKUP(2,1/([1]!VIERNES[[CEDULA ]]=[1]!Tabla9[[#This Row],[CEDULA ]]),[1]!VIERNES[HORA]),"No registró")</f>
        <v>No registró</v>
      </c>
      <c r="M144" s="359" t="str">
        <f>IFERROR(VLOOKUP([1]!Tabla9[[CEDULA ]],[1]!SABADO[#Data],5,0),"No registró")</f>
        <v>No registró</v>
      </c>
      <c r="N144" s="359" t="str">
        <f>IFERROR(LOOKUP(2,1/([1]!SABADO[[CEDULA ]]=[1]!Tabla9[[#This Row],[CEDULA ]]),[1]!SABADO[HORA]),"No registró")</f>
        <v>No registró</v>
      </c>
      <c r="O144" s="359" t="str">
        <f>IFERROR(VLOOKUP([1]!Tabla9[[CEDULA ]],[1]!DOMINGO[#Data],5,0),"No registró")</f>
        <v>No registró</v>
      </c>
      <c r="P144" s="359" t="str">
        <f>IFERROR(LOOKUP(2,1/([1]!DOMINGO[[CEDULA ]]=[1]!Tabla9[[#This Row],[CEDULA ]]),[1]!DOMINGO[HORA]),"No registró")</f>
        <v>No registró</v>
      </c>
      <c r="Q144" s="240">
        <f>IFERROR(VLOOKUP(A144,DATOS[],10,0),"")</f>
        <v>0</v>
      </c>
    </row>
    <row r="145" spans="1:17" x14ac:dyDescent="0.25">
      <c r="A145" s="239">
        <v>10615718</v>
      </c>
      <c r="B145" s="239" t="s">
        <v>1124</v>
      </c>
      <c r="C145" s="359">
        <f>IFERROR(VLOOKUP([1]!Tabla9[[CEDULA ]],[1]!LUNES[#Data],5,0),"No registró")</f>
        <v>0.27068287037037037</v>
      </c>
      <c r="D145" s="359">
        <f>IFERROR(LOOKUP(2,1/([1]!LUNES[[CEDULA ]]=[1]!Tabla9[[#This Row],[CEDULA ]]),[1]!LUNES[HORA]),"No registró")</f>
        <v>0.55465277777777777</v>
      </c>
      <c r="E145" s="359">
        <f>IFERROR(VLOOKUP([1]!Tabla9[[CEDULA ]],[1]!MARTES[#Data],5,0),"No registró")</f>
        <v>0.27282407407407411</v>
      </c>
      <c r="F145" s="359">
        <f>IFERROR(LOOKUP(2,1/([1]!MARTES[[CEDULA ]]=[1]!Tabla9[[#This Row],[CEDULA ]]),[1]!MARTES[HORA]),"No Registró")</f>
        <v>0.55274305555555558</v>
      </c>
      <c r="G145" s="359" t="str">
        <f>IFERROR(VLOOKUP([1]!Tabla9[[CEDULA ]],[1]!MIERCOLES[#Data],5,0),"No registró")</f>
        <v>No registró</v>
      </c>
      <c r="H145" s="359" t="str">
        <f>IFERROR(LOOKUP(2,1/([1]!MIERCOLES[[CEDULA ]]=[1]!Tabla9[[#This Row],[CEDULA ]]),[1]!MIERCOLES[HORA]),"No registró")</f>
        <v>No registró</v>
      </c>
      <c r="I145" s="359" t="str">
        <f>IFERROR(VLOOKUP([1]!Tabla9[[CEDULA ]],[1]!JUEVES[#Data],5,0),"No Registró")</f>
        <v>No Registró</v>
      </c>
      <c r="J145" s="359" t="str">
        <f>IFERROR(LOOKUP(2,1/([1]!JUEVES[[CEDULA ]]=[1]!Tabla9[[#This Row],[CEDULA ]]),[1]!JUEVES[HORA]),"No registró")</f>
        <v>No registró</v>
      </c>
      <c r="K145" s="359" t="str">
        <f>IFERROR(VLOOKUP([1]!Tabla9[[CEDULA ]],[1]!VIERNES[#Data],5,0),"No registró")</f>
        <v>No registró</v>
      </c>
      <c r="L145" s="359" t="str">
        <f>IFERROR(LOOKUP(2,1/([1]!VIERNES[[CEDULA ]]=[1]!Tabla9[[#This Row],[CEDULA ]]),[1]!VIERNES[HORA]),"No registró")</f>
        <v>No registró</v>
      </c>
      <c r="M145" s="359" t="str">
        <f>IFERROR(VLOOKUP([1]!Tabla9[[CEDULA ]],[1]!SABADO[#Data],5,0),"No registró")</f>
        <v>No registró</v>
      </c>
      <c r="N145" s="359" t="str">
        <f>IFERROR(LOOKUP(2,1/([1]!SABADO[[CEDULA ]]=[1]!Tabla9[[#This Row],[CEDULA ]]),[1]!SABADO[HORA]),"No registró")</f>
        <v>No registró</v>
      </c>
      <c r="O145" s="359" t="str">
        <f>IFERROR(VLOOKUP([1]!Tabla9[[CEDULA ]],[1]!DOMINGO[#Data],5,0),"No registró")</f>
        <v>No registró</v>
      </c>
      <c r="P145" s="359" t="str">
        <f>IFERROR(LOOKUP(2,1/([1]!DOMINGO[[CEDULA ]]=[1]!Tabla9[[#This Row],[CEDULA ]]),[1]!DOMINGO[HORA]),"No registró")</f>
        <v>No registró</v>
      </c>
      <c r="Q145" s="240">
        <f>IFERROR(VLOOKUP(A145,DATOS[],10,0),"")</f>
        <v>0</v>
      </c>
    </row>
    <row r="146" spans="1:17" x14ac:dyDescent="0.25">
      <c r="A146" s="239">
        <v>10625420</v>
      </c>
      <c r="B146" s="239" t="s">
        <v>1379</v>
      </c>
      <c r="C146" s="359">
        <f>IFERROR(VLOOKUP([1]!Tabla9[[CEDULA ]],[1]!LUNES[#Data],5,0),"No registró")</f>
        <v>0.29439814814814813</v>
      </c>
      <c r="D146" s="359">
        <f>IFERROR(LOOKUP(2,1/([1]!LUNES[[CEDULA ]]=[1]!Tabla9[[#This Row],[CEDULA ]]),[1]!LUNES[HORA]),"No registró")</f>
        <v>0.55243055555555554</v>
      </c>
      <c r="E146" s="359">
        <f>IFERROR(VLOOKUP([1]!Tabla9[[CEDULA ]],[1]!MARTES[#Data],5,0),"No registró")</f>
        <v>0.30793981481481481</v>
      </c>
      <c r="F146" s="359">
        <f>IFERROR(LOOKUP(2,1/([1]!MARTES[[CEDULA ]]=[1]!Tabla9[[#This Row],[CEDULA ]]),[1]!MARTES[HORA]),"No Registró")</f>
        <v>0.40857638888888892</v>
      </c>
      <c r="G146" s="359" t="str">
        <f>IFERROR(VLOOKUP([1]!Tabla9[[CEDULA ]],[1]!MIERCOLES[#Data],5,0),"No registró")</f>
        <v>No registró</v>
      </c>
      <c r="H146" s="359" t="str">
        <f>IFERROR(LOOKUP(2,1/([1]!MIERCOLES[[CEDULA ]]=[1]!Tabla9[[#This Row],[CEDULA ]]),[1]!MIERCOLES[HORA]),"No registró")</f>
        <v>No registró</v>
      </c>
      <c r="I146" s="359" t="str">
        <f>IFERROR(VLOOKUP([1]!Tabla9[[CEDULA ]],[1]!JUEVES[#Data],5,0),"No Registró")</f>
        <v>No Registró</v>
      </c>
      <c r="J146" s="359" t="str">
        <f>IFERROR(LOOKUP(2,1/([1]!JUEVES[[CEDULA ]]=[1]!Tabla9[[#This Row],[CEDULA ]]),[1]!JUEVES[HORA]),"No registró")</f>
        <v>No registró</v>
      </c>
      <c r="K146" s="359" t="str">
        <f>IFERROR(VLOOKUP([1]!Tabla9[[CEDULA ]],[1]!VIERNES[#Data],5,0),"No registró")</f>
        <v>No registró</v>
      </c>
      <c r="L146" s="359" t="str">
        <f>IFERROR(LOOKUP(2,1/([1]!VIERNES[[CEDULA ]]=[1]!Tabla9[[#This Row],[CEDULA ]]),[1]!VIERNES[HORA]),"No registró")</f>
        <v>No registró</v>
      </c>
      <c r="M146" s="359" t="str">
        <f>IFERROR(VLOOKUP([1]!Tabla9[[CEDULA ]],[1]!SABADO[#Data],5,0),"No registró")</f>
        <v>No registró</v>
      </c>
      <c r="N146" s="359" t="str">
        <f>IFERROR(LOOKUP(2,1/([1]!SABADO[[CEDULA ]]=[1]!Tabla9[[#This Row],[CEDULA ]]),[1]!SABADO[HORA]),"No registró")</f>
        <v>No registró</v>
      </c>
      <c r="O146" s="359" t="str">
        <f>IFERROR(VLOOKUP([1]!Tabla9[[CEDULA ]],[1]!DOMINGO[#Data],5,0),"No registró")</f>
        <v>No registró</v>
      </c>
      <c r="P146" s="359" t="str">
        <f>IFERROR(LOOKUP(2,1/([1]!DOMINGO[[CEDULA ]]=[1]!Tabla9[[#This Row],[CEDULA ]]),[1]!DOMINGO[HORA]),"No registró")</f>
        <v>No registró</v>
      </c>
      <c r="Q146" s="240">
        <f>IFERROR(VLOOKUP(A146,DATOS[],10,0),"")</f>
        <v>0</v>
      </c>
    </row>
    <row r="147" spans="1:17" x14ac:dyDescent="0.25">
      <c r="A147" s="239">
        <v>10628857</v>
      </c>
      <c r="B147" s="239" t="s">
        <v>1125</v>
      </c>
      <c r="C147" s="359">
        <f>IFERROR(VLOOKUP([1]!Tabla9[[CEDULA ]],[1]!LUNES[#Data],5,0),"No registró")</f>
        <v>0.28278935185185183</v>
      </c>
      <c r="D147" s="359">
        <f>IFERROR(LOOKUP(2,1/([1]!LUNES[[CEDULA ]]=[1]!Tabla9[[#This Row],[CEDULA ]]),[1]!LUNES[HORA]),"No registró")</f>
        <v>0.55276620370370366</v>
      </c>
      <c r="E147" s="359">
        <f>IFERROR(VLOOKUP([1]!Tabla9[[CEDULA ]],[1]!MARTES[#Data],5,0),"No registró")</f>
        <v>0.28362268518518519</v>
      </c>
      <c r="F147" s="359">
        <f>IFERROR(LOOKUP(2,1/([1]!MARTES[[CEDULA ]]=[1]!Tabla9[[#This Row],[CEDULA ]]),[1]!MARTES[HORA]),"No Registró")</f>
        <v>0.54262731481481474</v>
      </c>
      <c r="G147" s="359" t="str">
        <f>IFERROR(VLOOKUP([1]!Tabla9[[CEDULA ]],[1]!MIERCOLES[#Data],5,0),"No registró")</f>
        <v>No registró</v>
      </c>
      <c r="H147" s="359" t="str">
        <f>IFERROR(LOOKUP(2,1/([1]!MIERCOLES[[CEDULA ]]=[1]!Tabla9[[#This Row],[CEDULA ]]),[1]!MIERCOLES[HORA]),"No registró")</f>
        <v>No registró</v>
      </c>
      <c r="I147" s="359" t="str">
        <f>IFERROR(VLOOKUP([1]!Tabla9[[CEDULA ]],[1]!JUEVES[#Data],5,0),"No Registró")</f>
        <v>No Registró</v>
      </c>
      <c r="J147" s="359" t="str">
        <f>IFERROR(LOOKUP(2,1/([1]!JUEVES[[CEDULA ]]=[1]!Tabla9[[#This Row],[CEDULA ]]),[1]!JUEVES[HORA]),"No registró")</f>
        <v>No registró</v>
      </c>
      <c r="K147" s="359">
        <f>IFERROR(VLOOKUP([1]!Tabla9[[CEDULA ]],[1]!VIERNES[#Data],5,0),"No registró")</f>
        <v>0.2948263888888889</v>
      </c>
      <c r="L147" s="359">
        <f>IFERROR(LOOKUP(2,1/([1]!VIERNES[[CEDULA ]]=[1]!Tabla9[[#This Row],[CEDULA ]]),[1]!VIERNES[HORA]),"No registró")</f>
        <v>0.59638888888888886</v>
      </c>
      <c r="M147" s="359" t="str">
        <f>IFERROR(VLOOKUP([1]!Tabla9[[CEDULA ]],[1]!SABADO[#Data],5,0),"No registró")</f>
        <v>No registró</v>
      </c>
      <c r="N147" s="359" t="str">
        <f>IFERROR(LOOKUP(2,1/([1]!SABADO[[CEDULA ]]=[1]!Tabla9[[#This Row],[CEDULA ]]),[1]!SABADO[HORA]),"No registró")</f>
        <v>No registró</v>
      </c>
      <c r="O147" s="359" t="str">
        <f>IFERROR(VLOOKUP([1]!Tabla9[[CEDULA ]],[1]!DOMINGO[#Data],5,0),"No registró")</f>
        <v>No registró</v>
      </c>
      <c r="P147" s="359" t="str">
        <f>IFERROR(LOOKUP(2,1/([1]!DOMINGO[[CEDULA ]]=[1]!Tabla9[[#This Row],[CEDULA ]]),[1]!DOMINGO[HORA]),"No registró")</f>
        <v>No registró</v>
      </c>
      <c r="Q147" s="240" t="str">
        <f>IFERROR(VLOOKUP(A147,DATOS[],10,0),"")</f>
        <v>3. CARICUAO</v>
      </c>
    </row>
    <row r="148" spans="1:17" x14ac:dyDescent="0.25">
      <c r="A148" s="239">
        <v>10784886</v>
      </c>
      <c r="B148" s="239" t="s">
        <v>1126</v>
      </c>
      <c r="C148" s="359">
        <f>IFERROR(VLOOKUP([1]!Tabla9[[CEDULA ]],[1]!LUNES[#Data],5,0),"No registró")</f>
        <v>0.30978009259259259</v>
      </c>
      <c r="D148" s="359">
        <f>IFERROR(LOOKUP(2,1/([1]!LUNES[[CEDULA ]]=[1]!Tabla9[[#This Row],[CEDULA ]]),[1]!LUNES[HORA]),"No registró")</f>
        <v>0.5528819444444445</v>
      </c>
      <c r="E148" s="359">
        <f>IFERROR(VLOOKUP([1]!Tabla9[[CEDULA ]],[1]!MARTES[#Data],5,0),"No registró")</f>
        <v>0.33922453703703703</v>
      </c>
      <c r="F148" s="359">
        <f>IFERROR(LOOKUP(2,1/([1]!MARTES[[CEDULA ]]=[1]!Tabla9[[#This Row],[CEDULA ]]),[1]!MARTES[HORA]),"No Registró")</f>
        <v>0.55445601851851845</v>
      </c>
      <c r="G148" s="359" t="str">
        <f>IFERROR(VLOOKUP([1]!Tabla9[[CEDULA ]],[1]!MIERCOLES[#Data],5,0),"No registró")</f>
        <v>No registró</v>
      </c>
      <c r="H148" s="359" t="str">
        <f>IFERROR(LOOKUP(2,1/([1]!MIERCOLES[[CEDULA ]]=[1]!Tabla9[[#This Row],[CEDULA ]]),[1]!MIERCOLES[HORA]),"No registró")</f>
        <v>No registró</v>
      </c>
      <c r="I148" s="359" t="str">
        <f>IFERROR(VLOOKUP([1]!Tabla9[[CEDULA ]],[1]!JUEVES[#Data],5,0),"No Registró")</f>
        <v>No Registró</v>
      </c>
      <c r="J148" s="359" t="str">
        <f>IFERROR(LOOKUP(2,1/([1]!JUEVES[[CEDULA ]]=[1]!Tabla9[[#This Row],[CEDULA ]]),[1]!JUEVES[HORA]),"No registró")</f>
        <v>No registró</v>
      </c>
      <c r="K148" s="359" t="str">
        <f>IFERROR(VLOOKUP([1]!Tabla9[[CEDULA ]],[1]!VIERNES[#Data],5,0),"No registró")</f>
        <v>No registró</v>
      </c>
      <c r="L148" s="359" t="str">
        <f>IFERROR(LOOKUP(2,1/([1]!VIERNES[[CEDULA ]]=[1]!Tabla9[[#This Row],[CEDULA ]]),[1]!VIERNES[HORA]),"No registró")</f>
        <v>No registró</v>
      </c>
      <c r="M148" s="359" t="str">
        <f>IFERROR(VLOOKUP([1]!Tabla9[[CEDULA ]],[1]!SABADO[#Data],5,0),"No registró")</f>
        <v>No registró</v>
      </c>
      <c r="N148" s="359" t="str">
        <f>IFERROR(LOOKUP(2,1/([1]!SABADO[[CEDULA ]]=[1]!Tabla9[[#This Row],[CEDULA ]]),[1]!SABADO[HORA]),"No registró")</f>
        <v>No registró</v>
      </c>
      <c r="O148" s="359" t="str">
        <f>IFERROR(VLOOKUP([1]!Tabla9[[CEDULA ]],[1]!DOMINGO[#Data],5,0),"No registró")</f>
        <v>No registró</v>
      </c>
      <c r="P148" s="359" t="str">
        <f>IFERROR(LOOKUP(2,1/([1]!DOMINGO[[CEDULA ]]=[1]!Tabla9[[#This Row],[CEDULA ]]),[1]!DOMINGO[HORA]),"No registró")</f>
        <v>No registró</v>
      </c>
      <c r="Q148" s="240" t="str">
        <f>IFERROR(VLOOKUP(A148,DATOS[],10,0),"")</f>
        <v>4. VALLES DEL TUY</v>
      </c>
    </row>
    <row r="149" spans="1:17" x14ac:dyDescent="0.25">
      <c r="A149" s="239">
        <v>10788651</v>
      </c>
      <c r="B149" s="239" t="s">
        <v>1127</v>
      </c>
      <c r="C149" s="359">
        <f>IFERROR(VLOOKUP([1]!Tabla9[[CEDULA ]],[1]!LUNES[#Data],5,0),"No registró")</f>
        <v>0.28143518518518518</v>
      </c>
      <c r="D149" s="359">
        <f>IFERROR(LOOKUP(2,1/([1]!LUNES[[CEDULA ]]=[1]!Tabla9[[#This Row],[CEDULA ]]),[1]!LUNES[HORA]),"No registró")</f>
        <v>0.54796296296296299</v>
      </c>
      <c r="E149" s="359">
        <f>IFERROR(VLOOKUP([1]!Tabla9[[CEDULA ]],[1]!MARTES[#Data],5,0),"No registró")</f>
        <v>0.28773148148148148</v>
      </c>
      <c r="F149" s="359">
        <f>IFERROR(LOOKUP(2,1/([1]!MARTES[[CEDULA ]]=[1]!Tabla9[[#This Row],[CEDULA ]]),[1]!MARTES[HORA]),"No Registró")</f>
        <v>0.55318287037037039</v>
      </c>
      <c r="G149" s="359" t="str">
        <f>IFERROR(VLOOKUP([1]!Tabla9[[CEDULA ]],[1]!MIERCOLES[#Data],5,0),"No registró")</f>
        <v>No registró</v>
      </c>
      <c r="H149" s="359" t="str">
        <f>IFERROR(LOOKUP(2,1/([1]!MIERCOLES[[CEDULA ]]=[1]!Tabla9[[#This Row],[CEDULA ]]),[1]!MIERCOLES[HORA]),"No registró")</f>
        <v>No registró</v>
      </c>
      <c r="I149" s="359" t="str">
        <f>IFERROR(VLOOKUP([1]!Tabla9[[CEDULA ]],[1]!JUEVES[#Data],5,0),"No Registró")</f>
        <v>No Registró</v>
      </c>
      <c r="J149" s="359" t="str">
        <f>IFERROR(LOOKUP(2,1/([1]!JUEVES[[CEDULA ]]=[1]!Tabla9[[#This Row],[CEDULA ]]),[1]!JUEVES[HORA]),"No registró")</f>
        <v>No registró</v>
      </c>
      <c r="K149" s="359" t="str">
        <f>IFERROR(VLOOKUP([1]!Tabla9[[CEDULA ]],[1]!VIERNES[#Data],5,0),"No registró")</f>
        <v>No registró</v>
      </c>
      <c r="L149" s="359" t="str">
        <f>IFERROR(LOOKUP(2,1/([1]!VIERNES[[CEDULA ]]=[1]!Tabla9[[#This Row],[CEDULA ]]),[1]!VIERNES[HORA]),"No registró")</f>
        <v>No registró</v>
      </c>
      <c r="M149" s="359" t="str">
        <f>IFERROR(VLOOKUP([1]!Tabla9[[CEDULA ]],[1]!SABADO[#Data],5,0),"No registró")</f>
        <v>No registró</v>
      </c>
      <c r="N149" s="359" t="str">
        <f>IFERROR(LOOKUP(2,1/([1]!SABADO[[CEDULA ]]=[1]!Tabla9[[#This Row],[CEDULA ]]),[1]!SABADO[HORA]),"No registró")</f>
        <v>No registró</v>
      </c>
      <c r="O149" s="359" t="str">
        <f>IFERROR(VLOOKUP([1]!Tabla9[[CEDULA ]],[1]!DOMINGO[#Data],5,0),"No registró")</f>
        <v>No registró</v>
      </c>
      <c r="P149" s="359" t="str">
        <f>IFERROR(LOOKUP(2,1/([1]!DOMINGO[[CEDULA ]]=[1]!Tabla9[[#This Row],[CEDULA ]]),[1]!DOMINGO[HORA]),"No registró")</f>
        <v>No registró</v>
      </c>
      <c r="Q149" s="240" t="str">
        <f>IFERROR(VLOOKUP(A149,DATOS[],10,0),"")</f>
        <v>2. CATIA</v>
      </c>
    </row>
    <row r="150" spans="1:17" x14ac:dyDescent="0.25">
      <c r="A150" s="239">
        <v>10793044</v>
      </c>
      <c r="B150" s="239" t="s">
        <v>1128</v>
      </c>
      <c r="C150" s="359">
        <f>IFERROR(VLOOKUP([1]!Tabla9[[CEDULA ]],[1]!LUNES[#Data],5,0),"No registró")</f>
        <v>0.23984953703703704</v>
      </c>
      <c r="D150" s="359">
        <f>IFERROR(LOOKUP(2,1/([1]!LUNES[[CEDULA ]]=[1]!Tabla9[[#This Row],[CEDULA ]]),[1]!LUNES[HORA]),"No registró")</f>
        <v>0.56032407407407414</v>
      </c>
      <c r="E150" s="359">
        <f>IFERROR(VLOOKUP([1]!Tabla9[[CEDULA ]],[1]!MARTES[#Data],5,0),"No registró")</f>
        <v>0.28140046296296295</v>
      </c>
      <c r="F150" s="359">
        <f>IFERROR(LOOKUP(2,1/([1]!MARTES[[CEDULA ]]=[1]!Tabla9[[#This Row],[CEDULA ]]),[1]!MARTES[HORA]),"No Registró")</f>
        <v>0.55153935185185188</v>
      </c>
      <c r="G150" s="359" t="str">
        <f>IFERROR(VLOOKUP([1]!Tabla9[[CEDULA ]],[1]!MIERCOLES[#Data],5,0),"No registró")</f>
        <v>No registró</v>
      </c>
      <c r="H150" s="359" t="str">
        <f>IFERROR(LOOKUP(2,1/([1]!MIERCOLES[[CEDULA ]]=[1]!Tabla9[[#This Row],[CEDULA ]]),[1]!MIERCOLES[HORA]),"No registró")</f>
        <v>No registró</v>
      </c>
      <c r="I150" s="359" t="str">
        <f>IFERROR(VLOOKUP([1]!Tabla9[[CEDULA ]],[1]!JUEVES[#Data],5,0),"No Registró")</f>
        <v>No Registró</v>
      </c>
      <c r="J150" s="359" t="str">
        <f>IFERROR(LOOKUP(2,1/([1]!JUEVES[[CEDULA ]]=[1]!Tabla9[[#This Row],[CEDULA ]]),[1]!JUEVES[HORA]),"No registró")</f>
        <v>No registró</v>
      </c>
      <c r="K150" s="359" t="str">
        <f>IFERROR(VLOOKUP([1]!Tabla9[[CEDULA ]],[1]!VIERNES[#Data],5,0),"No registró")</f>
        <v>No registró</v>
      </c>
      <c r="L150" s="359" t="str">
        <f>IFERROR(LOOKUP(2,1/([1]!VIERNES[[CEDULA ]]=[1]!Tabla9[[#This Row],[CEDULA ]]),[1]!VIERNES[HORA]),"No registró")</f>
        <v>No registró</v>
      </c>
      <c r="M150" s="359" t="str">
        <f>IFERROR(VLOOKUP([1]!Tabla9[[CEDULA ]],[1]!SABADO[#Data],5,0),"No registró")</f>
        <v>No registró</v>
      </c>
      <c r="N150" s="359" t="str">
        <f>IFERROR(LOOKUP(2,1/([1]!SABADO[[CEDULA ]]=[1]!Tabla9[[#This Row],[CEDULA ]]),[1]!SABADO[HORA]),"No registró")</f>
        <v>No registró</v>
      </c>
      <c r="O150" s="359" t="str">
        <f>IFERROR(VLOOKUP([1]!Tabla9[[CEDULA ]],[1]!DOMINGO[#Data],5,0),"No registró")</f>
        <v>No registró</v>
      </c>
      <c r="P150" s="359" t="str">
        <f>IFERROR(LOOKUP(2,1/([1]!DOMINGO[[CEDULA ]]=[1]!Tabla9[[#This Row],[CEDULA ]]),[1]!DOMINGO[HORA]),"No registró")</f>
        <v>No registró</v>
      </c>
      <c r="Q150" s="240">
        <f>IFERROR(VLOOKUP(A150,DATOS[],10,0),"")</f>
        <v>0</v>
      </c>
    </row>
    <row r="151" spans="1:17" x14ac:dyDescent="0.25">
      <c r="A151" s="239">
        <v>10794199</v>
      </c>
      <c r="B151" s="239" t="s">
        <v>1129</v>
      </c>
      <c r="C151" s="359">
        <f>IFERROR(VLOOKUP([1]!Tabla9[[CEDULA ]],[1]!LUNES[#Data],5,0),"No registró")</f>
        <v>0.28180555555555559</v>
      </c>
      <c r="D151" s="359">
        <f>IFERROR(LOOKUP(2,1/([1]!LUNES[[CEDULA ]]=[1]!Tabla9[[#This Row],[CEDULA ]]),[1]!LUNES[HORA]),"No registró")</f>
        <v>0.55865740740740744</v>
      </c>
      <c r="E151" s="359">
        <f>IFERROR(VLOOKUP([1]!Tabla9[[CEDULA ]],[1]!MARTES[#Data],5,0),"No registró")</f>
        <v>0.35855324074074074</v>
      </c>
      <c r="F151" s="359">
        <f>IFERROR(LOOKUP(2,1/([1]!MARTES[[CEDULA ]]=[1]!Tabla9[[#This Row],[CEDULA ]]),[1]!MARTES[HORA]),"No Registró")</f>
        <v>0.55753472222222222</v>
      </c>
      <c r="G151" s="359" t="str">
        <f>IFERROR(VLOOKUP([1]!Tabla9[[CEDULA ]],[1]!MIERCOLES[#Data],5,0),"No registró")</f>
        <v>No registró</v>
      </c>
      <c r="H151" s="359" t="str">
        <f>IFERROR(LOOKUP(2,1/([1]!MIERCOLES[[CEDULA ]]=[1]!Tabla9[[#This Row],[CEDULA ]]),[1]!MIERCOLES[HORA]),"No registró")</f>
        <v>No registró</v>
      </c>
      <c r="I151" s="359" t="str">
        <f>IFERROR(VLOOKUP([1]!Tabla9[[CEDULA ]],[1]!JUEVES[#Data],5,0),"No Registró")</f>
        <v>No Registró</v>
      </c>
      <c r="J151" s="359" t="str">
        <f>IFERROR(LOOKUP(2,1/([1]!JUEVES[[CEDULA ]]=[1]!Tabla9[[#This Row],[CEDULA ]]),[1]!JUEVES[HORA]),"No registró")</f>
        <v>No registró</v>
      </c>
      <c r="K151" s="359" t="str">
        <f>IFERROR(VLOOKUP([1]!Tabla9[[CEDULA ]],[1]!VIERNES[#Data],5,0),"No registró")</f>
        <v>No registró</v>
      </c>
      <c r="L151" s="359" t="str">
        <f>IFERROR(LOOKUP(2,1/([1]!VIERNES[[CEDULA ]]=[1]!Tabla9[[#This Row],[CEDULA ]]),[1]!VIERNES[HORA]),"No registró")</f>
        <v>No registró</v>
      </c>
      <c r="M151" s="359" t="str">
        <f>IFERROR(VLOOKUP([1]!Tabla9[[CEDULA ]],[1]!SABADO[#Data],5,0),"No registró")</f>
        <v>No registró</v>
      </c>
      <c r="N151" s="359" t="str">
        <f>IFERROR(LOOKUP(2,1/([1]!SABADO[[CEDULA ]]=[1]!Tabla9[[#This Row],[CEDULA ]]),[1]!SABADO[HORA]),"No registró")</f>
        <v>No registró</v>
      </c>
      <c r="O151" s="359" t="str">
        <f>IFERROR(VLOOKUP([1]!Tabla9[[CEDULA ]],[1]!DOMINGO[#Data],5,0),"No registró")</f>
        <v>No registró</v>
      </c>
      <c r="P151" s="359" t="str">
        <f>IFERROR(LOOKUP(2,1/([1]!DOMINGO[[CEDULA ]]=[1]!Tabla9[[#This Row],[CEDULA ]]),[1]!DOMINGO[HORA]),"No registró")</f>
        <v>No registró</v>
      </c>
      <c r="Q151" s="240" t="str">
        <f>IFERROR(VLOOKUP(A151,DATOS[],10,0),"")</f>
        <v>3. CARICUAO</v>
      </c>
    </row>
    <row r="152" spans="1:17" x14ac:dyDescent="0.25">
      <c r="A152" s="239">
        <v>10803472</v>
      </c>
      <c r="B152" s="239" t="s">
        <v>1130</v>
      </c>
      <c r="C152" s="359">
        <f>IFERROR(VLOOKUP([1]!Tabla9[[CEDULA ]],[1]!LUNES[#Data],5,0),"No registró")</f>
        <v>0.29706018518518518</v>
      </c>
      <c r="D152" s="359">
        <f>IFERROR(LOOKUP(2,1/([1]!LUNES[[CEDULA ]]=[1]!Tabla9[[#This Row],[CEDULA ]]),[1]!LUNES[HORA]),"No registró")</f>
        <v>0.55876157407407401</v>
      </c>
      <c r="E152" s="359">
        <f>IFERROR(VLOOKUP([1]!Tabla9[[CEDULA ]],[1]!MARTES[#Data],5,0),"No registró")</f>
        <v>0.29423611111111109</v>
      </c>
      <c r="F152" s="359">
        <f>IFERROR(LOOKUP(2,1/([1]!MARTES[[CEDULA ]]=[1]!Tabla9[[#This Row],[CEDULA ]]),[1]!MARTES[HORA]),"No Registró")</f>
        <v>0.55782407407407408</v>
      </c>
      <c r="G152" s="359" t="str">
        <f>IFERROR(VLOOKUP([1]!Tabla9[[CEDULA ]],[1]!MIERCOLES[#Data],5,0),"No registró")</f>
        <v>No registró</v>
      </c>
      <c r="H152" s="359" t="str">
        <f>IFERROR(LOOKUP(2,1/([1]!MIERCOLES[[CEDULA ]]=[1]!Tabla9[[#This Row],[CEDULA ]]),[1]!MIERCOLES[HORA]),"No registró")</f>
        <v>No registró</v>
      </c>
      <c r="I152" s="359" t="str">
        <f>IFERROR(VLOOKUP([1]!Tabla9[[CEDULA ]],[1]!JUEVES[#Data],5,0),"No Registró")</f>
        <v>No Registró</v>
      </c>
      <c r="J152" s="359" t="str">
        <f>IFERROR(LOOKUP(2,1/([1]!JUEVES[[CEDULA ]]=[1]!Tabla9[[#This Row],[CEDULA ]]),[1]!JUEVES[HORA]),"No registró")</f>
        <v>No registró</v>
      </c>
      <c r="K152" s="359" t="str">
        <f>IFERROR(VLOOKUP([1]!Tabla9[[CEDULA ]],[1]!VIERNES[#Data],5,0),"No registró")</f>
        <v>No registró</v>
      </c>
      <c r="L152" s="359" t="str">
        <f>IFERROR(LOOKUP(2,1/([1]!VIERNES[[CEDULA ]]=[1]!Tabla9[[#This Row],[CEDULA ]]),[1]!VIERNES[HORA]),"No registró")</f>
        <v>No registró</v>
      </c>
      <c r="M152" s="359" t="str">
        <f>IFERROR(VLOOKUP([1]!Tabla9[[CEDULA ]],[1]!SABADO[#Data],5,0),"No registró")</f>
        <v>No registró</v>
      </c>
      <c r="N152" s="359" t="str">
        <f>IFERROR(LOOKUP(2,1/([1]!SABADO[[CEDULA ]]=[1]!Tabla9[[#This Row],[CEDULA ]]),[1]!SABADO[HORA]),"No registró")</f>
        <v>No registró</v>
      </c>
      <c r="O152" s="359" t="str">
        <f>IFERROR(VLOOKUP([1]!Tabla9[[CEDULA ]],[1]!DOMINGO[#Data],5,0),"No registró")</f>
        <v>No registró</v>
      </c>
      <c r="P152" s="359" t="str">
        <f>IFERROR(LOOKUP(2,1/([1]!DOMINGO[[CEDULA ]]=[1]!Tabla9[[#This Row],[CEDULA ]]),[1]!DOMINGO[HORA]),"No registró")</f>
        <v>No registró</v>
      </c>
      <c r="Q152" s="240">
        <f>IFERROR(VLOOKUP(A152,DATOS[],10,0),"")</f>
        <v>0</v>
      </c>
    </row>
    <row r="153" spans="1:17" x14ac:dyDescent="0.25">
      <c r="A153" s="239">
        <v>10815747</v>
      </c>
      <c r="B153" s="239" t="s">
        <v>1131</v>
      </c>
      <c r="C153" s="359">
        <f>IFERROR(VLOOKUP([1]!Tabla9[[CEDULA ]],[1]!LUNES[#Data],5,0),"No registró")</f>
        <v>0.28268518518518521</v>
      </c>
      <c r="D153" s="359">
        <f>IFERROR(LOOKUP(2,1/([1]!LUNES[[CEDULA ]]=[1]!Tabla9[[#This Row],[CEDULA ]]),[1]!LUNES[HORA]),"No registró")</f>
        <v>0.55298611111111107</v>
      </c>
      <c r="E153" s="359">
        <f>IFERROR(VLOOKUP([1]!Tabla9[[CEDULA ]],[1]!MARTES[#Data],5,0),"No registró")</f>
        <v>0.28199074074074076</v>
      </c>
      <c r="F153" s="359">
        <f>IFERROR(LOOKUP(2,1/([1]!MARTES[[CEDULA ]]=[1]!Tabla9[[#This Row],[CEDULA ]]),[1]!MARTES[HORA]),"No Registró")</f>
        <v>0.55278935185185185</v>
      </c>
      <c r="G153" s="359" t="str">
        <f>IFERROR(VLOOKUP([1]!Tabla9[[CEDULA ]],[1]!MIERCOLES[#Data],5,0),"No registró")</f>
        <v>No registró</v>
      </c>
      <c r="H153" s="359" t="str">
        <f>IFERROR(LOOKUP(2,1/([1]!MIERCOLES[[CEDULA ]]=[1]!Tabla9[[#This Row],[CEDULA ]]),[1]!MIERCOLES[HORA]),"No registró")</f>
        <v>No registró</v>
      </c>
      <c r="I153" s="359" t="str">
        <f>IFERROR(VLOOKUP([1]!Tabla9[[CEDULA ]],[1]!JUEVES[#Data],5,0),"No Registró")</f>
        <v>No Registró</v>
      </c>
      <c r="J153" s="359" t="str">
        <f>IFERROR(LOOKUP(2,1/([1]!JUEVES[[CEDULA ]]=[1]!Tabla9[[#This Row],[CEDULA ]]),[1]!JUEVES[HORA]),"No registró")</f>
        <v>No registró</v>
      </c>
      <c r="K153" s="359" t="str">
        <f>IFERROR(VLOOKUP([1]!Tabla9[[CEDULA ]],[1]!VIERNES[#Data],5,0),"No registró")</f>
        <v>No registró</v>
      </c>
      <c r="L153" s="359" t="str">
        <f>IFERROR(LOOKUP(2,1/([1]!VIERNES[[CEDULA ]]=[1]!Tabla9[[#This Row],[CEDULA ]]),[1]!VIERNES[HORA]),"No registró")</f>
        <v>No registró</v>
      </c>
      <c r="M153" s="359" t="str">
        <f>IFERROR(VLOOKUP([1]!Tabla9[[CEDULA ]],[1]!SABADO[#Data],5,0),"No registró")</f>
        <v>No registró</v>
      </c>
      <c r="N153" s="359" t="str">
        <f>IFERROR(LOOKUP(2,1/([1]!SABADO[[CEDULA ]]=[1]!Tabla9[[#This Row],[CEDULA ]]),[1]!SABADO[HORA]),"No registró")</f>
        <v>No registró</v>
      </c>
      <c r="O153" s="359" t="str">
        <f>IFERROR(VLOOKUP([1]!Tabla9[[CEDULA ]],[1]!DOMINGO[#Data],5,0),"No registró")</f>
        <v>No registró</v>
      </c>
      <c r="P153" s="359" t="str">
        <f>IFERROR(LOOKUP(2,1/([1]!DOMINGO[[CEDULA ]]=[1]!Tabla9[[#This Row],[CEDULA ]]),[1]!DOMINGO[HORA]),"No registró")</f>
        <v>No registró</v>
      </c>
      <c r="Q153" s="240">
        <f>IFERROR(VLOOKUP(A153,DATOS[],10,0),"")</f>
        <v>0</v>
      </c>
    </row>
    <row r="154" spans="1:17" x14ac:dyDescent="0.25">
      <c r="A154" s="239">
        <v>10817216</v>
      </c>
      <c r="B154" s="239" t="s">
        <v>1132</v>
      </c>
      <c r="C154" s="359">
        <f>IFERROR(VLOOKUP([1]!Tabla9[[CEDULA ]],[1]!LUNES[#Data],5,0),"No registró")</f>
        <v>0.28307870370370369</v>
      </c>
      <c r="D154" s="359">
        <f>IFERROR(LOOKUP(2,1/([1]!LUNES[[CEDULA ]]=[1]!Tabla9[[#This Row],[CEDULA ]]),[1]!LUNES[HORA]),"No registró")</f>
        <v>0.33450231481481479</v>
      </c>
      <c r="E154" s="359">
        <f>IFERROR(VLOOKUP([1]!Tabla9[[CEDULA ]],[1]!MARTES[#Data],5,0),"No registró")</f>
        <v>0.30222222222222223</v>
      </c>
      <c r="F154" s="359">
        <f>IFERROR(LOOKUP(2,1/([1]!MARTES[[CEDULA ]]=[1]!Tabla9[[#This Row],[CEDULA ]]),[1]!MARTES[HORA]),"No Registró")</f>
        <v>0.37900462962962966</v>
      </c>
      <c r="G154" s="359" t="str">
        <f>IFERROR(VLOOKUP([1]!Tabla9[[CEDULA ]],[1]!MIERCOLES[#Data],5,0),"No registró")</f>
        <v>No registró</v>
      </c>
      <c r="H154" s="359" t="str">
        <f>IFERROR(LOOKUP(2,1/([1]!MIERCOLES[[CEDULA ]]=[1]!Tabla9[[#This Row],[CEDULA ]]),[1]!MIERCOLES[HORA]),"No registró")</f>
        <v>No registró</v>
      </c>
      <c r="I154" s="359" t="str">
        <f>IFERROR(VLOOKUP([1]!Tabla9[[CEDULA ]],[1]!JUEVES[#Data],5,0),"No Registró")</f>
        <v>No Registró</v>
      </c>
      <c r="J154" s="359" t="str">
        <f>IFERROR(LOOKUP(2,1/([1]!JUEVES[[CEDULA ]]=[1]!Tabla9[[#This Row],[CEDULA ]]),[1]!JUEVES[HORA]),"No registró")</f>
        <v>No registró</v>
      </c>
      <c r="K154" s="359" t="str">
        <f>IFERROR(VLOOKUP([1]!Tabla9[[CEDULA ]],[1]!VIERNES[#Data],5,0),"No registró")</f>
        <v>No registró</v>
      </c>
      <c r="L154" s="359" t="str">
        <f>IFERROR(LOOKUP(2,1/([1]!VIERNES[[CEDULA ]]=[1]!Tabla9[[#This Row],[CEDULA ]]),[1]!VIERNES[HORA]),"No registró")</f>
        <v>No registró</v>
      </c>
      <c r="M154" s="359" t="str">
        <f>IFERROR(VLOOKUP([1]!Tabla9[[CEDULA ]],[1]!SABADO[#Data],5,0),"No registró")</f>
        <v>No registró</v>
      </c>
      <c r="N154" s="359" t="str">
        <f>IFERROR(LOOKUP(2,1/([1]!SABADO[[CEDULA ]]=[1]!Tabla9[[#This Row],[CEDULA ]]),[1]!SABADO[HORA]),"No registró")</f>
        <v>No registró</v>
      </c>
      <c r="O154" s="359" t="str">
        <f>IFERROR(VLOOKUP([1]!Tabla9[[CEDULA ]],[1]!DOMINGO[#Data],5,0),"No registró")</f>
        <v>No registró</v>
      </c>
      <c r="P154" s="359" t="str">
        <f>IFERROR(LOOKUP(2,1/([1]!DOMINGO[[CEDULA ]]=[1]!Tabla9[[#This Row],[CEDULA ]]),[1]!DOMINGO[HORA]),"No registró")</f>
        <v>No registró</v>
      </c>
      <c r="Q154" s="240" t="str">
        <f>IFERROR(VLOOKUP(A154,DATOS[],10,0),"")</f>
        <v>3. CARICUAO</v>
      </c>
    </row>
    <row r="155" spans="1:17" x14ac:dyDescent="0.25">
      <c r="A155" s="239">
        <v>10868344</v>
      </c>
      <c r="B155" s="239" t="s">
        <v>1133</v>
      </c>
      <c r="C155" s="359">
        <f>IFERROR(VLOOKUP([1]!Tabla9[[CEDULA ]],[1]!LUNES[#Data],5,0),"No registró")</f>
        <v>0.38969907407407406</v>
      </c>
      <c r="D155" s="359">
        <f>IFERROR(LOOKUP(2,1/([1]!LUNES[[CEDULA ]]=[1]!Tabla9[[#This Row],[CEDULA ]]),[1]!LUNES[HORA]),"No registró")</f>
        <v>0.69672453703703707</v>
      </c>
      <c r="E155" s="359">
        <f>IFERROR(VLOOKUP([1]!Tabla9[[CEDULA ]],[1]!MARTES[#Data],5,0),"No registró")</f>
        <v>0.36672453703703706</v>
      </c>
      <c r="F155" s="359">
        <f>IFERROR(LOOKUP(2,1/([1]!MARTES[[CEDULA ]]=[1]!Tabla9[[#This Row],[CEDULA ]]),[1]!MARTES[HORA]),"No Registró")</f>
        <v>0.68126157407407406</v>
      </c>
      <c r="G155" s="359" t="str">
        <f>IFERROR(VLOOKUP([1]!Tabla9[[CEDULA ]],[1]!MIERCOLES[#Data],5,0),"No registró")</f>
        <v>No registró</v>
      </c>
      <c r="H155" s="359" t="str">
        <f>IFERROR(LOOKUP(2,1/([1]!MIERCOLES[[CEDULA ]]=[1]!Tabla9[[#This Row],[CEDULA ]]),[1]!MIERCOLES[HORA]),"No registró")</f>
        <v>No registró</v>
      </c>
      <c r="I155" s="359" t="str">
        <f>IFERROR(VLOOKUP([1]!Tabla9[[CEDULA ]],[1]!JUEVES[#Data],5,0),"No Registró")</f>
        <v>No Registró</v>
      </c>
      <c r="J155" s="359" t="str">
        <f>IFERROR(LOOKUP(2,1/([1]!JUEVES[[CEDULA ]]=[1]!Tabla9[[#This Row],[CEDULA ]]),[1]!JUEVES[HORA]),"No registró")</f>
        <v>No registró</v>
      </c>
      <c r="K155" s="359" t="str">
        <f>IFERROR(VLOOKUP([1]!Tabla9[[CEDULA ]],[1]!VIERNES[#Data],5,0),"No registró")</f>
        <v>No registró</v>
      </c>
      <c r="L155" s="359" t="str">
        <f>IFERROR(LOOKUP(2,1/([1]!VIERNES[[CEDULA ]]=[1]!Tabla9[[#This Row],[CEDULA ]]),[1]!VIERNES[HORA]),"No registró")</f>
        <v>No registró</v>
      </c>
      <c r="M155" s="359" t="str">
        <f>IFERROR(VLOOKUP([1]!Tabla9[[CEDULA ]],[1]!SABADO[#Data],5,0),"No registró")</f>
        <v>No registró</v>
      </c>
      <c r="N155" s="359" t="str">
        <f>IFERROR(LOOKUP(2,1/([1]!SABADO[[CEDULA ]]=[1]!Tabla9[[#This Row],[CEDULA ]]),[1]!SABADO[HORA]),"No registró")</f>
        <v>No registró</v>
      </c>
      <c r="O155" s="359" t="str">
        <f>IFERROR(VLOOKUP([1]!Tabla9[[CEDULA ]],[1]!DOMINGO[#Data],5,0),"No registró")</f>
        <v>No registró</v>
      </c>
      <c r="P155" s="359" t="str">
        <f>IFERROR(LOOKUP(2,1/([1]!DOMINGO[[CEDULA ]]=[1]!Tabla9[[#This Row],[CEDULA ]]),[1]!DOMINGO[HORA]),"No registró")</f>
        <v>No registró</v>
      </c>
      <c r="Q155" s="240" t="str">
        <f>IFERROR(VLOOKUP(A155,DATOS[],10,0),"")</f>
        <v>0. ALTO NIVEL</v>
      </c>
    </row>
    <row r="156" spans="1:17" x14ac:dyDescent="0.25">
      <c r="A156" s="239">
        <v>10871376</v>
      </c>
      <c r="B156" s="239" t="s">
        <v>1134</v>
      </c>
      <c r="C156" s="359">
        <f>IFERROR(VLOOKUP([1]!Tabla9[[CEDULA ]],[1]!LUNES[#Data],5,0),"No registró")</f>
        <v>0.3253819444444444</v>
      </c>
      <c r="D156" s="359">
        <f>IFERROR(LOOKUP(2,1/([1]!LUNES[[CEDULA ]]=[1]!Tabla9[[#This Row],[CEDULA ]]),[1]!LUNES[HORA]),"No registró")</f>
        <v>0.55207175925925933</v>
      </c>
      <c r="E156" s="359">
        <f>IFERROR(VLOOKUP([1]!Tabla9[[CEDULA ]],[1]!MARTES[#Data],5,0),"No registró")</f>
        <v>0.3671875</v>
      </c>
      <c r="F156" s="359">
        <f>IFERROR(LOOKUP(2,1/([1]!MARTES[[CEDULA ]]=[1]!Tabla9[[#This Row],[CEDULA ]]),[1]!MARTES[HORA]),"No Registró")</f>
        <v>0.54936342592592591</v>
      </c>
      <c r="G156" s="359" t="str">
        <f>IFERROR(VLOOKUP([1]!Tabla9[[CEDULA ]],[1]!MIERCOLES[#Data],5,0),"No registró")</f>
        <v>No registró</v>
      </c>
      <c r="H156" s="359" t="str">
        <f>IFERROR(LOOKUP(2,1/([1]!MIERCOLES[[CEDULA ]]=[1]!Tabla9[[#This Row],[CEDULA ]]),[1]!MIERCOLES[HORA]),"No registró")</f>
        <v>No registró</v>
      </c>
      <c r="I156" s="359" t="str">
        <f>IFERROR(VLOOKUP([1]!Tabla9[[CEDULA ]],[1]!JUEVES[#Data],5,0),"No Registró")</f>
        <v>No Registró</v>
      </c>
      <c r="J156" s="359" t="str">
        <f>IFERROR(LOOKUP(2,1/([1]!JUEVES[[CEDULA ]]=[1]!Tabla9[[#This Row],[CEDULA ]]),[1]!JUEVES[HORA]),"No registró")</f>
        <v>No registró</v>
      </c>
      <c r="K156" s="359" t="str">
        <f>IFERROR(VLOOKUP([1]!Tabla9[[CEDULA ]],[1]!VIERNES[#Data],5,0),"No registró")</f>
        <v>No registró</v>
      </c>
      <c r="L156" s="359" t="str">
        <f>IFERROR(LOOKUP(2,1/([1]!VIERNES[[CEDULA ]]=[1]!Tabla9[[#This Row],[CEDULA ]]),[1]!VIERNES[HORA]),"No registró")</f>
        <v>No registró</v>
      </c>
      <c r="M156" s="359" t="str">
        <f>IFERROR(VLOOKUP([1]!Tabla9[[CEDULA ]],[1]!SABADO[#Data],5,0),"No registró")</f>
        <v>No registró</v>
      </c>
      <c r="N156" s="359" t="str">
        <f>IFERROR(LOOKUP(2,1/([1]!SABADO[[CEDULA ]]=[1]!Tabla9[[#This Row],[CEDULA ]]),[1]!SABADO[HORA]),"No registró")</f>
        <v>No registró</v>
      </c>
      <c r="O156" s="359" t="str">
        <f>IFERROR(VLOOKUP([1]!Tabla9[[CEDULA ]],[1]!DOMINGO[#Data],5,0),"No registró")</f>
        <v>No registró</v>
      </c>
      <c r="P156" s="359" t="str">
        <f>IFERROR(LOOKUP(2,1/([1]!DOMINGO[[CEDULA ]]=[1]!Tabla9[[#This Row],[CEDULA ]]),[1]!DOMINGO[HORA]),"No registró")</f>
        <v>No registró</v>
      </c>
      <c r="Q156" s="240">
        <f>IFERROR(VLOOKUP(A156,DATOS[],10,0),"")</f>
        <v>0</v>
      </c>
    </row>
    <row r="157" spans="1:17" x14ac:dyDescent="0.25">
      <c r="A157" s="239">
        <v>10872124</v>
      </c>
      <c r="B157" s="239" t="s">
        <v>1135</v>
      </c>
      <c r="C157" s="359">
        <f>IFERROR(VLOOKUP([1]!Tabla9[[CEDULA ]],[1]!LUNES[#Data],5,0),"No registró")</f>
        <v>0.27872685185185186</v>
      </c>
      <c r="D157" s="359">
        <f>IFERROR(LOOKUP(2,1/([1]!LUNES[[CEDULA ]]=[1]!Tabla9[[#This Row],[CEDULA ]]),[1]!LUNES[HORA]),"No registró")</f>
        <v>0.55407407407407405</v>
      </c>
      <c r="E157" s="359">
        <f>IFERROR(VLOOKUP([1]!Tabla9[[CEDULA ]],[1]!MARTES[#Data],5,0),"No registró")</f>
        <v>0.28856481481481483</v>
      </c>
      <c r="F157" s="359">
        <f>IFERROR(LOOKUP(2,1/([1]!MARTES[[CEDULA ]]=[1]!Tabla9[[#This Row],[CEDULA ]]),[1]!MARTES[HORA]),"No Registró")</f>
        <v>0.55254629629629626</v>
      </c>
      <c r="G157" s="359" t="str">
        <f>IFERROR(VLOOKUP([1]!Tabla9[[CEDULA ]],[1]!MIERCOLES[#Data],5,0),"No registró")</f>
        <v>No registró</v>
      </c>
      <c r="H157" s="359" t="str">
        <f>IFERROR(LOOKUP(2,1/([1]!MIERCOLES[[CEDULA ]]=[1]!Tabla9[[#This Row],[CEDULA ]]),[1]!MIERCOLES[HORA]),"No registró")</f>
        <v>No registró</v>
      </c>
      <c r="I157" s="359" t="str">
        <f>IFERROR(VLOOKUP([1]!Tabla9[[CEDULA ]],[1]!JUEVES[#Data],5,0),"No Registró")</f>
        <v>No Registró</v>
      </c>
      <c r="J157" s="359" t="str">
        <f>IFERROR(LOOKUP(2,1/([1]!JUEVES[[CEDULA ]]=[1]!Tabla9[[#This Row],[CEDULA ]]),[1]!JUEVES[HORA]),"No registró")</f>
        <v>No registró</v>
      </c>
      <c r="K157" s="359" t="str">
        <f>IFERROR(VLOOKUP([1]!Tabla9[[CEDULA ]],[1]!VIERNES[#Data],5,0),"No registró")</f>
        <v>No registró</v>
      </c>
      <c r="L157" s="359" t="str">
        <f>IFERROR(LOOKUP(2,1/([1]!VIERNES[[CEDULA ]]=[1]!Tabla9[[#This Row],[CEDULA ]]),[1]!VIERNES[HORA]),"No registró")</f>
        <v>No registró</v>
      </c>
      <c r="M157" s="359" t="str">
        <f>IFERROR(VLOOKUP([1]!Tabla9[[CEDULA ]],[1]!SABADO[#Data],5,0),"No registró")</f>
        <v>No registró</v>
      </c>
      <c r="N157" s="359" t="str">
        <f>IFERROR(LOOKUP(2,1/([1]!SABADO[[CEDULA ]]=[1]!Tabla9[[#This Row],[CEDULA ]]),[1]!SABADO[HORA]),"No registró")</f>
        <v>No registró</v>
      </c>
      <c r="O157" s="359" t="str">
        <f>IFERROR(VLOOKUP([1]!Tabla9[[CEDULA ]],[1]!DOMINGO[#Data],5,0),"No registró")</f>
        <v>No registró</v>
      </c>
      <c r="P157" s="359" t="str">
        <f>IFERROR(LOOKUP(2,1/([1]!DOMINGO[[CEDULA ]]=[1]!Tabla9[[#This Row],[CEDULA ]]),[1]!DOMINGO[HORA]),"No registró")</f>
        <v>No registró</v>
      </c>
      <c r="Q157" s="240" t="str">
        <f>IFERROR(VLOOKUP(A157,DATOS[],10,0),"")</f>
        <v>1. COCHE</v>
      </c>
    </row>
    <row r="158" spans="1:17" x14ac:dyDescent="0.25">
      <c r="A158" s="239">
        <v>10883153</v>
      </c>
      <c r="B158" s="239" t="s">
        <v>1136</v>
      </c>
      <c r="C158" s="359">
        <f>IFERROR(VLOOKUP([1]!Tabla9[[CEDULA ]],[1]!LUNES[#Data],5,0),"No registró")</f>
        <v>0.31086805555555558</v>
      </c>
      <c r="D158" s="359">
        <f>IFERROR(LOOKUP(2,1/([1]!LUNES[[CEDULA ]]=[1]!Tabla9[[#This Row],[CEDULA ]]),[1]!LUNES[HORA]),"No registró")</f>
        <v>0.61023148148148143</v>
      </c>
      <c r="E158" s="359">
        <f>IFERROR(VLOOKUP([1]!Tabla9[[CEDULA ]],[1]!MARTES[#Data],5,0),"No registró")</f>
        <v>0.30434027777777778</v>
      </c>
      <c r="F158" s="359">
        <f>IFERROR(LOOKUP(2,1/([1]!MARTES[[CEDULA ]]=[1]!Tabla9[[#This Row],[CEDULA ]]),[1]!MARTES[HORA]),"No Registró")</f>
        <v>0.66203703703703709</v>
      </c>
      <c r="G158" s="359" t="str">
        <f>IFERROR(VLOOKUP([1]!Tabla9[[CEDULA ]],[1]!MIERCOLES[#Data],5,0),"No registró")</f>
        <v>No registró</v>
      </c>
      <c r="H158" s="359" t="str">
        <f>IFERROR(LOOKUP(2,1/([1]!MIERCOLES[[CEDULA ]]=[1]!Tabla9[[#This Row],[CEDULA ]]),[1]!MIERCOLES[HORA]),"No registró")</f>
        <v>No registró</v>
      </c>
      <c r="I158" s="359" t="str">
        <f>IFERROR(VLOOKUP([1]!Tabla9[[CEDULA ]],[1]!JUEVES[#Data],5,0),"No Registró")</f>
        <v>No Registró</v>
      </c>
      <c r="J158" s="359" t="str">
        <f>IFERROR(LOOKUP(2,1/([1]!JUEVES[[CEDULA ]]=[1]!Tabla9[[#This Row],[CEDULA ]]),[1]!JUEVES[HORA]),"No registró")</f>
        <v>No registró</v>
      </c>
      <c r="K158" s="359" t="str">
        <f>IFERROR(VLOOKUP([1]!Tabla9[[CEDULA ]],[1]!VIERNES[#Data],5,0),"No registró")</f>
        <v>No registró</v>
      </c>
      <c r="L158" s="359" t="str">
        <f>IFERROR(LOOKUP(2,1/([1]!VIERNES[[CEDULA ]]=[1]!Tabla9[[#This Row],[CEDULA ]]),[1]!VIERNES[HORA]),"No registró")</f>
        <v>No registró</v>
      </c>
      <c r="M158" s="359" t="str">
        <f>IFERROR(VLOOKUP([1]!Tabla9[[CEDULA ]],[1]!SABADO[#Data],5,0),"No registró")</f>
        <v>No registró</v>
      </c>
      <c r="N158" s="359" t="str">
        <f>IFERROR(LOOKUP(2,1/([1]!SABADO[[CEDULA ]]=[1]!Tabla9[[#This Row],[CEDULA ]]),[1]!SABADO[HORA]),"No registró")</f>
        <v>No registró</v>
      </c>
      <c r="O158" s="359" t="str">
        <f>IFERROR(VLOOKUP([1]!Tabla9[[CEDULA ]],[1]!DOMINGO[#Data],5,0),"No registró")</f>
        <v>No registró</v>
      </c>
      <c r="P158" s="359" t="str">
        <f>IFERROR(LOOKUP(2,1/([1]!DOMINGO[[CEDULA ]]=[1]!Tabla9[[#This Row],[CEDULA ]]),[1]!DOMINGO[HORA]),"No registró")</f>
        <v>No registró</v>
      </c>
      <c r="Q158" s="240" t="str">
        <f>IFERROR(VLOOKUP(A158,DATOS[],10,0),"")</f>
        <v>0. ALTO NIVEL</v>
      </c>
    </row>
    <row r="159" spans="1:17" x14ac:dyDescent="0.25">
      <c r="A159" s="239">
        <v>11026079</v>
      </c>
      <c r="B159" s="239" t="s">
        <v>1137</v>
      </c>
      <c r="C159" s="359">
        <f>IFERROR(VLOOKUP([1]!Tabla9[[CEDULA ]],[1]!LUNES[#Data],5,0),"No registró")</f>
        <v>0.2825462962962963</v>
      </c>
      <c r="D159" s="359">
        <f>IFERROR(LOOKUP(2,1/([1]!LUNES[[CEDULA ]]=[1]!Tabla9[[#This Row],[CEDULA ]]),[1]!LUNES[HORA]),"No registró")</f>
        <v>0.52015046296296297</v>
      </c>
      <c r="E159" s="359" t="str">
        <f>IFERROR(VLOOKUP([1]!Tabla9[[CEDULA ]],[1]!MARTES[#Data],5,0),"No registró")</f>
        <v>No registró</v>
      </c>
      <c r="F159" s="359" t="str">
        <f>IFERROR(LOOKUP(2,1/([1]!MARTES[[CEDULA ]]=[1]!Tabla9[[#This Row],[CEDULA ]]),[1]!MARTES[HORA]),"No Registró")</f>
        <v>No Registró</v>
      </c>
      <c r="G159" s="359" t="str">
        <f>IFERROR(VLOOKUP([1]!Tabla9[[CEDULA ]],[1]!MIERCOLES[#Data],5,0),"No registró")</f>
        <v>No registró</v>
      </c>
      <c r="H159" s="359" t="str">
        <f>IFERROR(LOOKUP(2,1/([1]!MIERCOLES[[CEDULA ]]=[1]!Tabla9[[#This Row],[CEDULA ]]),[1]!MIERCOLES[HORA]),"No registró")</f>
        <v>No registró</v>
      </c>
      <c r="I159" s="359" t="str">
        <f>IFERROR(VLOOKUP([1]!Tabla9[[CEDULA ]],[1]!JUEVES[#Data],5,0),"No Registró")</f>
        <v>No Registró</v>
      </c>
      <c r="J159" s="359" t="str">
        <f>IFERROR(LOOKUP(2,1/([1]!JUEVES[[CEDULA ]]=[1]!Tabla9[[#This Row],[CEDULA ]]),[1]!JUEVES[HORA]),"No registró")</f>
        <v>No registró</v>
      </c>
      <c r="K159" s="359" t="str">
        <f>IFERROR(VLOOKUP([1]!Tabla9[[CEDULA ]],[1]!VIERNES[#Data],5,0),"No registró")</f>
        <v>No registró</v>
      </c>
      <c r="L159" s="359" t="str">
        <f>IFERROR(LOOKUP(2,1/([1]!VIERNES[[CEDULA ]]=[1]!Tabla9[[#This Row],[CEDULA ]]),[1]!VIERNES[HORA]),"No registró")</f>
        <v>No registró</v>
      </c>
      <c r="M159" s="359" t="str">
        <f>IFERROR(VLOOKUP([1]!Tabla9[[CEDULA ]],[1]!SABADO[#Data],5,0),"No registró")</f>
        <v>No registró</v>
      </c>
      <c r="N159" s="359" t="str">
        <f>IFERROR(LOOKUP(2,1/([1]!SABADO[[CEDULA ]]=[1]!Tabla9[[#This Row],[CEDULA ]]),[1]!SABADO[HORA]),"No registró")</f>
        <v>No registró</v>
      </c>
      <c r="O159" s="359" t="str">
        <f>IFERROR(VLOOKUP([1]!Tabla9[[CEDULA ]],[1]!DOMINGO[#Data],5,0),"No registró")</f>
        <v>No registró</v>
      </c>
      <c r="P159" s="359" t="str">
        <f>IFERROR(LOOKUP(2,1/([1]!DOMINGO[[CEDULA ]]=[1]!Tabla9[[#This Row],[CEDULA ]]),[1]!DOMINGO[HORA]),"No registró")</f>
        <v>No registró</v>
      </c>
      <c r="Q159" s="240" t="str">
        <f>IFERROR(VLOOKUP(A159,DATOS[],10,0),"")</f>
        <v>3. CARICUAO</v>
      </c>
    </row>
    <row r="160" spans="1:17" x14ac:dyDescent="0.25">
      <c r="A160" s="239">
        <v>11055142</v>
      </c>
      <c r="B160" s="239" t="s">
        <v>1138</v>
      </c>
      <c r="C160" s="359">
        <f>IFERROR(VLOOKUP([1]!Tabla9[[CEDULA ]],[1]!LUNES[#Data],5,0),"No registró")</f>
        <v>0.33357638888888891</v>
      </c>
      <c r="D160" s="359">
        <f>IFERROR(LOOKUP(2,1/([1]!LUNES[[CEDULA ]]=[1]!Tabla9[[#This Row],[CEDULA ]]),[1]!LUNES[HORA]),"No registró")</f>
        <v>0.3354050925925926</v>
      </c>
      <c r="E160" s="359">
        <f>IFERROR(VLOOKUP([1]!Tabla9[[CEDULA ]],[1]!MARTES[#Data],5,0),"No registró")</f>
        <v>0.34390046296296295</v>
      </c>
      <c r="F160" s="359">
        <f>IFERROR(LOOKUP(2,1/([1]!MARTES[[CEDULA ]]=[1]!Tabla9[[#This Row],[CEDULA ]]),[1]!MARTES[HORA]),"No Registró")</f>
        <v>0.34864583333333332</v>
      </c>
      <c r="G160" s="359" t="str">
        <f>IFERROR(VLOOKUP([1]!Tabla9[[CEDULA ]],[1]!MIERCOLES[#Data],5,0),"No registró")</f>
        <v>No registró</v>
      </c>
      <c r="H160" s="359" t="str">
        <f>IFERROR(LOOKUP(2,1/([1]!MIERCOLES[[CEDULA ]]=[1]!Tabla9[[#This Row],[CEDULA ]]),[1]!MIERCOLES[HORA]),"No registró")</f>
        <v>No registró</v>
      </c>
      <c r="I160" s="359" t="str">
        <f>IFERROR(VLOOKUP([1]!Tabla9[[CEDULA ]],[1]!JUEVES[#Data],5,0),"No Registró")</f>
        <v>No Registró</v>
      </c>
      <c r="J160" s="359" t="str">
        <f>IFERROR(LOOKUP(2,1/([1]!JUEVES[[CEDULA ]]=[1]!Tabla9[[#This Row],[CEDULA ]]),[1]!JUEVES[HORA]),"No registró")</f>
        <v>No registró</v>
      </c>
      <c r="K160" s="359" t="str">
        <f>IFERROR(VLOOKUP([1]!Tabla9[[CEDULA ]],[1]!VIERNES[#Data],5,0),"No registró")</f>
        <v>No registró</v>
      </c>
      <c r="L160" s="359" t="str">
        <f>IFERROR(LOOKUP(2,1/([1]!VIERNES[[CEDULA ]]=[1]!Tabla9[[#This Row],[CEDULA ]]),[1]!VIERNES[HORA]),"No registró")</f>
        <v>No registró</v>
      </c>
      <c r="M160" s="359" t="str">
        <f>IFERROR(VLOOKUP([1]!Tabla9[[CEDULA ]],[1]!SABADO[#Data],5,0),"No registró")</f>
        <v>No registró</v>
      </c>
      <c r="N160" s="359" t="str">
        <f>IFERROR(LOOKUP(2,1/([1]!SABADO[[CEDULA ]]=[1]!Tabla9[[#This Row],[CEDULA ]]),[1]!SABADO[HORA]),"No registró")</f>
        <v>No registró</v>
      </c>
      <c r="O160" s="359" t="str">
        <f>IFERROR(VLOOKUP([1]!Tabla9[[CEDULA ]],[1]!DOMINGO[#Data],5,0),"No registró")</f>
        <v>No registró</v>
      </c>
      <c r="P160" s="359" t="str">
        <f>IFERROR(LOOKUP(2,1/([1]!DOMINGO[[CEDULA ]]=[1]!Tabla9[[#This Row],[CEDULA ]]),[1]!DOMINGO[HORA]),"No registró")</f>
        <v>No registró</v>
      </c>
      <c r="Q160" s="240" t="str">
        <f>IFERROR(VLOOKUP(A160,DATOS[],10,0),"")</f>
        <v>6. LA GUAIRA</v>
      </c>
    </row>
    <row r="161" spans="1:17" x14ac:dyDescent="0.25">
      <c r="A161" s="239">
        <v>11157851</v>
      </c>
      <c r="B161" s="239" t="s">
        <v>1139</v>
      </c>
      <c r="C161" s="359">
        <f>IFERROR(VLOOKUP([1]!Tabla9[[CEDULA ]],[1]!LUNES[#Data],5,0),"No registró")</f>
        <v>0.34814814814814815</v>
      </c>
      <c r="D161" s="359">
        <f>IFERROR(LOOKUP(2,1/([1]!LUNES[[CEDULA ]]=[1]!Tabla9[[#This Row],[CEDULA ]]),[1]!LUNES[HORA]),"No registró")</f>
        <v>0.58141203703703703</v>
      </c>
      <c r="E161" s="359">
        <f>IFERROR(VLOOKUP([1]!Tabla9[[CEDULA ]],[1]!MARTES[#Data],5,0),"No registró")</f>
        <v>0.32071759259259258</v>
      </c>
      <c r="F161" s="359">
        <f>IFERROR(LOOKUP(2,1/([1]!MARTES[[CEDULA ]]=[1]!Tabla9[[#This Row],[CEDULA ]]),[1]!MARTES[HORA]),"No Registró")</f>
        <v>0.65093750000000006</v>
      </c>
      <c r="G161" s="359" t="str">
        <f>IFERROR(VLOOKUP([1]!Tabla9[[CEDULA ]],[1]!MIERCOLES[#Data],5,0),"No registró")</f>
        <v>No registró</v>
      </c>
      <c r="H161" s="359" t="str">
        <f>IFERROR(LOOKUP(2,1/([1]!MIERCOLES[[CEDULA ]]=[1]!Tabla9[[#This Row],[CEDULA ]]),[1]!MIERCOLES[HORA]),"No registró")</f>
        <v>No registró</v>
      </c>
      <c r="I161" s="359" t="str">
        <f>IFERROR(VLOOKUP([1]!Tabla9[[CEDULA ]],[1]!JUEVES[#Data],5,0),"No Registró")</f>
        <v>No Registró</v>
      </c>
      <c r="J161" s="359" t="str">
        <f>IFERROR(LOOKUP(2,1/([1]!JUEVES[[CEDULA ]]=[1]!Tabla9[[#This Row],[CEDULA ]]),[1]!JUEVES[HORA]),"No registró")</f>
        <v>No registró</v>
      </c>
      <c r="K161" s="359" t="str">
        <f>IFERROR(VLOOKUP([1]!Tabla9[[CEDULA ]],[1]!VIERNES[#Data],5,0),"No registró")</f>
        <v>No registró</v>
      </c>
      <c r="L161" s="359" t="str">
        <f>IFERROR(LOOKUP(2,1/([1]!VIERNES[[CEDULA ]]=[1]!Tabla9[[#This Row],[CEDULA ]]),[1]!VIERNES[HORA]),"No registró")</f>
        <v>No registró</v>
      </c>
      <c r="M161" s="359" t="str">
        <f>IFERROR(VLOOKUP([1]!Tabla9[[CEDULA ]],[1]!SABADO[#Data],5,0),"No registró")</f>
        <v>No registró</v>
      </c>
      <c r="N161" s="359" t="str">
        <f>IFERROR(LOOKUP(2,1/([1]!SABADO[[CEDULA ]]=[1]!Tabla9[[#This Row],[CEDULA ]]),[1]!SABADO[HORA]),"No registró")</f>
        <v>No registró</v>
      </c>
      <c r="O161" s="359" t="str">
        <f>IFERROR(VLOOKUP([1]!Tabla9[[CEDULA ]],[1]!DOMINGO[#Data],5,0),"No registró")</f>
        <v>No registró</v>
      </c>
      <c r="P161" s="359" t="str">
        <f>IFERROR(LOOKUP(2,1/([1]!DOMINGO[[CEDULA ]]=[1]!Tabla9[[#This Row],[CEDULA ]]),[1]!DOMINGO[HORA]),"No registró")</f>
        <v>No registró</v>
      </c>
      <c r="Q161" s="240">
        <f>IFERROR(VLOOKUP(A161,DATOS[],10,0),"")</f>
        <v>0</v>
      </c>
    </row>
    <row r="162" spans="1:17" x14ac:dyDescent="0.25">
      <c r="A162" s="239">
        <v>11203282</v>
      </c>
      <c r="B162" s="239" t="s">
        <v>1140</v>
      </c>
      <c r="C162" s="359">
        <f>IFERROR(VLOOKUP([1]!Tabla9[[CEDULA ]],[1]!LUNES[#Data],5,0),"No registró")</f>
        <v>0.34822916666666665</v>
      </c>
      <c r="D162" s="359">
        <f>IFERROR(LOOKUP(2,1/([1]!LUNES[[CEDULA ]]=[1]!Tabla9[[#This Row],[CEDULA ]]),[1]!LUNES[HORA]),"No registró")</f>
        <v>0.55090277777777785</v>
      </c>
      <c r="E162" s="359">
        <f>IFERROR(VLOOKUP([1]!Tabla9[[CEDULA ]],[1]!MARTES[#Data],5,0),"No registró")</f>
        <v>0.33497685185185189</v>
      </c>
      <c r="F162" s="359">
        <f>IFERROR(LOOKUP(2,1/([1]!MARTES[[CEDULA ]]=[1]!Tabla9[[#This Row],[CEDULA ]]),[1]!MARTES[HORA]),"No Registró")</f>
        <v>0.54237268518518522</v>
      </c>
      <c r="G162" s="359" t="str">
        <f>IFERROR(VLOOKUP([1]!Tabla9[[CEDULA ]],[1]!MIERCOLES[#Data],5,0),"No registró")</f>
        <v>No registró</v>
      </c>
      <c r="H162" s="359" t="str">
        <f>IFERROR(LOOKUP(2,1/([1]!MIERCOLES[[CEDULA ]]=[1]!Tabla9[[#This Row],[CEDULA ]]),[1]!MIERCOLES[HORA]),"No registró")</f>
        <v>No registró</v>
      </c>
      <c r="I162" s="359" t="str">
        <f>IFERROR(VLOOKUP([1]!Tabla9[[CEDULA ]],[1]!JUEVES[#Data],5,0),"No Registró")</f>
        <v>No Registró</v>
      </c>
      <c r="J162" s="359" t="str">
        <f>IFERROR(LOOKUP(2,1/([1]!JUEVES[[CEDULA ]]=[1]!Tabla9[[#This Row],[CEDULA ]]),[1]!JUEVES[HORA]),"No registró")</f>
        <v>No registró</v>
      </c>
      <c r="K162" s="359" t="str">
        <f>IFERROR(VLOOKUP([1]!Tabla9[[CEDULA ]],[1]!VIERNES[#Data],5,0),"No registró")</f>
        <v>No registró</v>
      </c>
      <c r="L162" s="359" t="str">
        <f>IFERROR(LOOKUP(2,1/([1]!VIERNES[[CEDULA ]]=[1]!Tabla9[[#This Row],[CEDULA ]]),[1]!VIERNES[HORA]),"No registró")</f>
        <v>No registró</v>
      </c>
      <c r="M162" s="359" t="str">
        <f>IFERROR(VLOOKUP([1]!Tabla9[[CEDULA ]],[1]!SABADO[#Data],5,0),"No registró")</f>
        <v>No registró</v>
      </c>
      <c r="N162" s="359" t="str">
        <f>IFERROR(LOOKUP(2,1/([1]!SABADO[[CEDULA ]]=[1]!Tabla9[[#This Row],[CEDULA ]]),[1]!SABADO[HORA]),"No registró")</f>
        <v>No registró</v>
      </c>
      <c r="O162" s="359" t="str">
        <f>IFERROR(VLOOKUP([1]!Tabla9[[CEDULA ]],[1]!DOMINGO[#Data],5,0),"No registró")</f>
        <v>No registró</v>
      </c>
      <c r="P162" s="359" t="str">
        <f>IFERROR(LOOKUP(2,1/([1]!DOMINGO[[CEDULA ]]=[1]!Tabla9[[#This Row],[CEDULA ]]),[1]!DOMINGO[HORA]),"No registró")</f>
        <v>No registró</v>
      </c>
      <c r="Q162" s="240" t="str">
        <f>IFERROR(VLOOKUP(A162,DATOS[],10,0),"")</f>
        <v>4. VALLES DEL TUY</v>
      </c>
    </row>
    <row r="163" spans="1:17" x14ac:dyDescent="0.25">
      <c r="A163" s="239">
        <v>11241343</v>
      </c>
      <c r="B163" s="239" t="s">
        <v>1141</v>
      </c>
      <c r="C163" s="359">
        <f>IFERROR(VLOOKUP([1]!Tabla9[[CEDULA ]],[1]!LUNES[#Data],5,0),"No registró")</f>
        <v>0.3475347222222222</v>
      </c>
      <c r="D163" s="359">
        <f>IFERROR(LOOKUP(2,1/([1]!LUNES[[CEDULA ]]=[1]!Tabla9[[#This Row],[CEDULA ]]),[1]!LUNES[HORA]),"No registró")</f>
        <v>0.53259259259259262</v>
      </c>
      <c r="E163" s="359" t="str">
        <f>IFERROR(VLOOKUP([1]!Tabla9[[CEDULA ]],[1]!MARTES[#Data],5,0),"No registró")</f>
        <v>No registró</v>
      </c>
      <c r="F163" s="359" t="str">
        <f>IFERROR(LOOKUP(2,1/([1]!MARTES[[CEDULA ]]=[1]!Tabla9[[#This Row],[CEDULA ]]),[1]!MARTES[HORA]),"No Registró")</f>
        <v>No Registró</v>
      </c>
      <c r="G163" s="359" t="str">
        <f>IFERROR(VLOOKUP([1]!Tabla9[[CEDULA ]],[1]!MIERCOLES[#Data],5,0),"No registró")</f>
        <v>No registró</v>
      </c>
      <c r="H163" s="359" t="str">
        <f>IFERROR(LOOKUP(2,1/([1]!MIERCOLES[[CEDULA ]]=[1]!Tabla9[[#This Row],[CEDULA ]]),[1]!MIERCOLES[HORA]),"No registró")</f>
        <v>No registró</v>
      </c>
      <c r="I163" s="359" t="str">
        <f>IFERROR(VLOOKUP([1]!Tabla9[[CEDULA ]],[1]!JUEVES[#Data],5,0),"No Registró")</f>
        <v>No Registró</v>
      </c>
      <c r="J163" s="359" t="str">
        <f>IFERROR(LOOKUP(2,1/([1]!JUEVES[[CEDULA ]]=[1]!Tabla9[[#This Row],[CEDULA ]]),[1]!JUEVES[HORA]),"No registró")</f>
        <v>No registró</v>
      </c>
      <c r="K163" s="359" t="str">
        <f>IFERROR(VLOOKUP([1]!Tabla9[[CEDULA ]],[1]!VIERNES[#Data],5,0),"No registró")</f>
        <v>No registró</v>
      </c>
      <c r="L163" s="359" t="str">
        <f>IFERROR(LOOKUP(2,1/([1]!VIERNES[[CEDULA ]]=[1]!Tabla9[[#This Row],[CEDULA ]]),[1]!VIERNES[HORA]),"No registró")</f>
        <v>No registró</v>
      </c>
      <c r="M163" s="359" t="str">
        <f>IFERROR(VLOOKUP([1]!Tabla9[[CEDULA ]],[1]!SABADO[#Data],5,0),"No registró")</f>
        <v>No registró</v>
      </c>
      <c r="N163" s="359" t="str">
        <f>IFERROR(LOOKUP(2,1/([1]!SABADO[[CEDULA ]]=[1]!Tabla9[[#This Row],[CEDULA ]]),[1]!SABADO[HORA]),"No registró")</f>
        <v>No registró</v>
      </c>
      <c r="O163" s="359" t="str">
        <f>IFERROR(VLOOKUP([1]!Tabla9[[CEDULA ]],[1]!DOMINGO[#Data],5,0),"No registró")</f>
        <v>No registró</v>
      </c>
      <c r="P163" s="359" t="str">
        <f>IFERROR(LOOKUP(2,1/([1]!DOMINGO[[CEDULA ]]=[1]!Tabla9[[#This Row],[CEDULA ]]),[1]!DOMINGO[HORA]),"No registró")</f>
        <v>No registró</v>
      </c>
      <c r="Q163" s="240">
        <f>IFERROR(VLOOKUP(A163,DATOS[],10,0),"")</f>
        <v>0</v>
      </c>
    </row>
    <row r="164" spans="1:17" x14ac:dyDescent="0.25">
      <c r="A164" s="239">
        <v>11307551</v>
      </c>
      <c r="B164" s="239" t="s">
        <v>1142</v>
      </c>
      <c r="C164" s="359">
        <f>IFERROR(VLOOKUP([1]!Tabla9[[CEDULA ]],[1]!LUNES[#Data],5,0),"No registró")</f>
        <v>0.31083333333333335</v>
      </c>
      <c r="D164" s="359">
        <f>IFERROR(LOOKUP(2,1/([1]!LUNES[[CEDULA ]]=[1]!Tabla9[[#This Row],[CEDULA ]]),[1]!LUNES[HORA]),"No registró")</f>
        <v>0.61026620370370377</v>
      </c>
      <c r="E164" s="359">
        <f>IFERROR(VLOOKUP([1]!Tabla9[[CEDULA ]],[1]!MARTES[#Data],5,0),"No registró")</f>
        <v>0.30427083333333332</v>
      </c>
      <c r="F164" s="359">
        <f>IFERROR(LOOKUP(2,1/([1]!MARTES[[CEDULA ]]=[1]!Tabla9[[#This Row],[CEDULA ]]),[1]!MARTES[HORA]),"No Registró")</f>
        <v>0.66260416666666666</v>
      </c>
      <c r="G164" s="359" t="str">
        <f>IFERROR(VLOOKUP([1]!Tabla9[[CEDULA ]],[1]!MIERCOLES[#Data],5,0),"No registró")</f>
        <v>No registró</v>
      </c>
      <c r="H164" s="359" t="str">
        <f>IFERROR(LOOKUP(2,1/([1]!MIERCOLES[[CEDULA ]]=[1]!Tabla9[[#This Row],[CEDULA ]]),[1]!MIERCOLES[HORA]),"No registró")</f>
        <v>No registró</v>
      </c>
      <c r="I164" s="359" t="str">
        <f>IFERROR(VLOOKUP([1]!Tabla9[[CEDULA ]],[1]!JUEVES[#Data],5,0),"No Registró")</f>
        <v>No Registró</v>
      </c>
      <c r="J164" s="359" t="str">
        <f>IFERROR(LOOKUP(2,1/([1]!JUEVES[[CEDULA ]]=[1]!Tabla9[[#This Row],[CEDULA ]]),[1]!JUEVES[HORA]),"No registró")</f>
        <v>No registró</v>
      </c>
      <c r="K164" s="359">
        <f>IFERROR(VLOOKUP([1]!Tabla9[[CEDULA ]],[1]!VIERNES[#Data],5,0),"No registró")</f>
        <v>0.57025462962962969</v>
      </c>
      <c r="L164" s="359">
        <f>IFERROR(LOOKUP(2,1/([1]!VIERNES[[CEDULA ]]=[1]!Tabla9[[#This Row],[CEDULA ]]),[1]!VIERNES[HORA]),"No registró")</f>
        <v>0.68715277777777783</v>
      </c>
      <c r="M164" s="359" t="str">
        <f>IFERROR(VLOOKUP([1]!Tabla9[[CEDULA ]],[1]!SABADO[#Data],5,0),"No registró")</f>
        <v>No registró</v>
      </c>
      <c r="N164" s="359" t="str">
        <f>IFERROR(LOOKUP(2,1/([1]!SABADO[[CEDULA ]]=[1]!Tabla9[[#This Row],[CEDULA ]]),[1]!SABADO[HORA]),"No registró")</f>
        <v>No registró</v>
      </c>
      <c r="O164" s="359">
        <f>IFERROR(VLOOKUP([1]!Tabla9[[CEDULA ]],[1]!DOMINGO[#Data],5,0),"No registró")</f>
        <v>0.60138888888888886</v>
      </c>
      <c r="P164" s="359">
        <f>IFERROR(LOOKUP(2,1/([1]!DOMINGO[[CEDULA ]]=[1]!Tabla9[[#This Row],[CEDULA ]]),[1]!DOMINGO[HORA]),"No registró")</f>
        <v>0.62560185185185191</v>
      </c>
      <c r="Q164" s="240" t="str">
        <f>IFERROR(VLOOKUP(A164,DATOS[],10,0),"")</f>
        <v>0. ALTO NIVEL</v>
      </c>
    </row>
    <row r="165" spans="1:17" x14ac:dyDescent="0.25">
      <c r="A165" s="239">
        <v>11405845</v>
      </c>
      <c r="B165" s="239" t="s">
        <v>1143</v>
      </c>
      <c r="C165" s="359">
        <f>IFERROR(VLOOKUP([1]!Tabla9[[CEDULA ]],[1]!LUNES[#Data],5,0),"No registró")</f>
        <v>0.30907407407407406</v>
      </c>
      <c r="D165" s="359">
        <f>IFERROR(LOOKUP(2,1/([1]!LUNES[[CEDULA ]]=[1]!Tabla9[[#This Row],[CEDULA ]]),[1]!LUNES[HORA]),"No registró")</f>
        <v>0.55611111111111111</v>
      </c>
      <c r="E165" s="359">
        <f>IFERROR(VLOOKUP([1]!Tabla9[[CEDULA ]],[1]!MARTES[#Data],5,0),"No registró")</f>
        <v>0.33762731481481478</v>
      </c>
      <c r="F165" s="359">
        <f>IFERROR(LOOKUP(2,1/([1]!MARTES[[CEDULA ]]=[1]!Tabla9[[#This Row],[CEDULA ]]),[1]!MARTES[HORA]),"No Registró")</f>
        <v>0.55256944444444445</v>
      </c>
      <c r="G165" s="359" t="str">
        <f>IFERROR(VLOOKUP([1]!Tabla9[[CEDULA ]],[1]!MIERCOLES[#Data],5,0),"No registró")</f>
        <v>No registró</v>
      </c>
      <c r="H165" s="359" t="str">
        <f>IFERROR(LOOKUP(2,1/([1]!MIERCOLES[[CEDULA ]]=[1]!Tabla9[[#This Row],[CEDULA ]]),[1]!MIERCOLES[HORA]),"No registró")</f>
        <v>No registró</v>
      </c>
      <c r="I165" s="359" t="str">
        <f>IFERROR(VLOOKUP([1]!Tabla9[[CEDULA ]],[1]!JUEVES[#Data],5,0),"No Registró")</f>
        <v>No Registró</v>
      </c>
      <c r="J165" s="359" t="str">
        <f>IFERROR(LOOKUP(2,1/([1]!JUEVES[[CEDULA ]]=[1]!Tabla9[[#This Row],[CEDULA ]]),[1]!JUEVES[HORA]),"No registró")</f>
        <v>No registró</v>
      </c>
      <c r="K165" s="359" t="str">
        <f>IFERROR(VLOOKUP([1]!Tabla9[[CEDULA ]],[1]!VIERNES[#Data],5,0),"No registró")</f>
        <v>No registró</v>
      </c>
      <c r="L165" s="359" t="str">
        <f>IFERROR(LOOKUP(2,1/([1]!VIERNES[[CEDULA ]]=[1]!Tabla9[[#This Row],[CEDULA ]]),[1]!VIERNES[HORA]),"No registró")</f>
        <v>No registró</v>
      </c>
      <c r="M165" s="359" t="str">
        <f>IFERROR(VLOOKUP([1]!Tabla9[[CEDULA ]],[1]!SABADO[#Data],5,0),"No registró")</f>
        <v>No registró</v>
      </c>
      <c r="N165" s="359" t="str">
        <f>IFERROR(LOOKUP(2,1/([1]!SABADO[[CEDULA ]]=[1]!Tabla9[[#This Row],[CEDULA ]]),[1]!SABADO[HORA]),"No registró")</f>
        <v>No registró</v>
      </c>
      <c r="O165" s="359" t="str">
        <f>IFERROR(VLOOKUP([1]!Tabla9[[CEDULA ]],[1]!DOMINGO[#Data],5,0),"No registró")</f>
        <v>No registró</v>
      </c>
      <c r="P165" s="359" t="str">
        <f>IFERROR(LOOKUP(2,1/([1]!DOMINGO[[CEDULA ]]=[1]!Tabla9[[#This Row],[CEDULA ]]),[1]!DOMINGO[HORA]),"No registró")</f>
        <v>No registró</v>
      </c>
      <c r="Q165" s="240" t="str">
        <f>IFERROR(VLOOKUP(A165,DATOS[],10,0),"")</f>
        <v>4. VALLES DEL TUY</v>
      </c>
    </row>
    <row r="166" spans="1:17" x14ac:dyDescent="0.25">
      <c r="A166" s="239">
        <v>11406272</v>
      </c>
      <c r="B166" s="239" t="s">
        <v>1144</v>
      </c>
      <c r="C166" s="359">
        <f>IFERROR(VLOOKUP([1]!Tabla9[[CEDULA ]],[1]!LUNES[#Data],5,0),"No registró")</f>
        <v>0.37065972222222227</v>
      </c>
      <c r="D166" s="359">
        <f>IFERROR(LOOKUP(2,1/([1]!LUNES[[CEDULA ]]=[1]!Tabla9[[#This Row],[CEDULA ]]),[1]!LUNES[HORA]),"No registró")</f>
        <v>0.66364583333333338</v>
      </c>
      <c r="E166" s="359">
        <f>IFERROR(VLOOKUP([1]!Tabla9[[CEDULA ]],[1]!MARTES[#Data],5,0),"No registró")</f>
        <v>0.29571759259259262</v>
      </c>
      <c r="F166" s="359">
        <f>IFERROR(LOOKUP(2,1/([1]!MARTES[[CEDULA ]]=[1]!Tabla9[[#This Row],[CEDULA ]]),[1]!MARTES[HORA]),"No Registró")</f>
        <v>0.61327546296296298</v>
      </c>
      <c r="G166" s="359" t="str">
        <f>IFERROR(VLOOKUP([1]!Tabla9[[CEDULA ]],[1]!MIERCOLES[#Data],5,0),"No registró")</f>
        <v>No registró</v>
      </c>
      <c r="H166" s="359" t="str">
        <f>IFERROR(LOOKUP(2,1/([1]!MIERCOLES[[CEDULA ]]=[1]!Tabla9[[#This Row],[CEDULA ]]),[1]!MIERCOLES[HORA]),"No registró")</f>
        <v>No registró</v>
      </c>
      <c r="I166" s="359" t="str">
        <f>IFERROR(VLOOKUP([1]!Tabla9[[CEDULA ]],[1]!JUEVES[#Data],5,0),"No Registró")</f>
        <v>No Registró</v>
      </c>
      <c r="J166" s="359" t="str">
        <f>IFERROR(LOOKUP(2,1/([1]!JUEVES[[CEDULA ]]=[1]!Tabla9[[#This Row],[CEDULA ]]),[1]!JUEVES[HORA]),"No registró")</f>
        <v>No registró</v>
      </c>
      <c r="K166" s="359" t="str">
        <f>IFERROR(VLOOKUP([1]!Tabla9[[CEDULA ]],[1]!VIERNES[#Data],5,0),"No registró")</f>
        <v>No registró</v>
      </c>
      <c r="L166" s="359" t="str">
        <f>IFERROR(LOOKUP(2,1/([1]!VIERNES[[CEDULA ]]=[1]!Tabla9[[#This Row],[CEDULA ]]),[1]!VIERNES[HORA]),"No registró")</f>
        <v>No registró</v>
      </c>
      <c r="M166" s="359" t="str">
        <f>IFERROR(VLOOKUP([1]!Tabla9[[CEDULA ]],[1]!SABADO[#Data],5,0),"No registró")</f>
        <v>No registró</v>
      </c>
      <c r="N166" s="359" t="str">
        <f>IFERROR(LOOKUP(2,1/([1]!SABADO[[CEDULA ]]=[1]!Tabla9[[#This Row],[CEDULA ]]),[1]!SABADO[HORA]),"No registró")</f>
        <v>No registró</v>
      </c>
      <c r="O166" s="359" t="str">
        <f>IFERROR(VLOOKUP([1]!Tabla9[[CEDULA ]],[1]!DOMINGO[#Data],5,0),"No registró")</f>
        <v>No registró</v>
      </c>
      <c r="P166" s="359" t="str">
        <f>IFERROR(LOOKUP(2,1/([1]!DOMINGO[[CEDULA ]]=[1]!Tabla9[[#This Row],[CEDULA ]]),[1]!DOMINGO[HORA]),"No registró")</f>
        <v>No registró</v>
      </c>
      <c r="Q166" s="240" t="str">
        <f>IFERROR(VLOOKUP(A166,DATOS[],10,0),"")</f>
        <v>5. GUARENAS</v>
      </c>
    </row>
    <row r="167" spans="1:17" x14ac:dyDescent="0.25">
      <c r="A167" s="239">
        <v>11409380</v>
      </c>
      <c r="B167" s="239" t="s">
        <v>1145</v>
      </c>
      <c r="C167" s="359">
        <f>IFERROR(VLOOKUP([1]!Tabla9[[CEDULA ]],[1]!LUNES[#Data],5,0),"No registró")</f>
        <v>0.32428240740740738</v>
      </c>
      <c r="D167" s="359">
        <f>IFERROR(LOOKUP(2,1/([1]!LUNES[[CEDULA ]]=[1]!Tabla9[[#This Row],[CEDULA ]]),[1]!LUNES[HORA]),"No registró")</f>
        <v>0.56491898148148145</v>
      </c>
      <c r="E167" s="359">
        <f>IFERROR(VLOOKUP([1]!Tabla9[[CEDULA ]],[1]!MARTES[#Data],5,0),"No registró")</f>
        <v>0.33026620370370369</v>
      </c>
      <c r="F167" s="359">
        <f>IFERROR(LOOKUP(2,1/([1]!MARTES[[CEDULA ]]=[1]!Tabla9[[#This Row],[CEDULA ]]),[1]!MARTES[HORA]),"No Registró")</f>
        <v>0.60934027777777777</v>
      </c>
      <c r="G167" s="359" t="str">
        <f>IFERROR(VLOOKUP([1]!Tabla9[[CEDULA ]],[1]!MIERCOLES[#Data],5,0),"No registró")</f>
        <v>No registró</v>
      </c>
      <c r="H167" s="359" t="str">
        <f>IFERROR(LOOKUP(2,1/([1]!MIERCOLES[[CEDULA ]]=[1]!Tabla9[[#This Row],[CEDULA ]]),[1]!MIERCOLES[HORA]),"No registró")</f>
        <v>No registró</v>
      </c>
      <c r="I167" s="359" t="str">
        <f>IFERROR(VLOOKUP([1]!Tabla9[[CEDULA ]],[1]!JUEVES[#Data],5,0),"No Registró")</f>
        <v>No Registró</v>
      </c>
      <c r="J167" s="359" t="str">
        <f>IFERROR(LOOKUP(2,1/([1]!JUEVES[[CEDULA ]]=[1]!Tabla9[[#This Row],[CEDULA ]]),[1]!JUEVES[HORA]),"No registró")</f>
        <v>No registró</v>
      </c>
      <c r="K167" s="359" t="str">
        <f>IFERROR(VLOOKUP([1]!Tabla9[[CEDULA ]],[1]!VIERNES[#Data],5,0),"No registró")</f>
        <v>No registró</v>
      </c>
      <c r="L167" s="359" t="str">
        <f>IFERROR(LOOKUP(2,1/([1]!VIERNES[[CEDULA ]]=[1]!Tabla9[[#This Row],[CEDULA ]]),[1]!VIERNES[HORA]),"No registró")</f>
        <v>No registró</v>
      </c>
      <c r="M167" s="359" t="str">
        <f>IFERROR(VLOOKUP([1]!Tabla9[[CEDULA ]],[1]!SABADO[#Data],5,0),"No registró")</f>
        <v>No registró</v>
      </c>
      <c r="N167" s="359" t="str">
        <f>IFERROR(LOOKUP(2,1/([1]!SABADO[[CEDULA ]]=[1]!Tabla9[[#This Row],[CEDULA ]]),[1]!SABADO[HORA]),"No registró")</f>
        <v>No registró</v>
      </c>
      <c r="O167" s="359" t="str">
        <f>IFERROR(VLOOKUP([1]!Tabla9[[CEDULA ]],[1]!DOMINGO[#Data],5,0),"No registró")</f>
        <v>No registró</v>
      </c>
      <c r="P167" s="359" t="str">
        <f>IFERROR(LOOKUP(2,1/([1]!DOMINGO[[CEDULA ]]=[1]!Tabla9[[#This Row],[CEDULA ]]),[1]!DOMINGO[HORA]),"No registró")</f>
        <v>No registró</v>
      </c>
      <c r="Q167" s="240">
        <f>IFERROR(VLOOKUP(A167,DATOS[],10,0),"")</f>
        <v>0</v>
      </c>
    </row>
    <row r="168" spans="1:17" x14ac:dyDescent="0.25">
      <c r="A168" s="239">
        <v>11413554</v>
      </c>
      <c r="B168" s="239" t="s">
        <v>1146</v>
      </c>
      <c r="C168" s="359">
        <f>IFERROR(VLOOKUP([1]!Tabla9[[CEDULA ]],[1]!LUNES[#Data],5,0),"No registró")</f>
        <v>0.27856481481481482</v>
      </c>
      <c r="D168" s="359">
        <f>IFERROR(LOOKUP(2,1/([1]!LUNES[[CEDULA ]]=[1]!Tabla9[[#This Row],[CEDULA ]]),[1]!LUNES[HORA]),"No registró")</f>
        <v>0.5587847222222222</v>
      </c>
      <c r="E168" s="359">
        <f>IFERROR(VLOOKUP([1]!Tabla9[[CEDULA ]],[1]!MARTES[#Data],5,0),"No registró")</f>
        <v>0.2779861111111111</v>
      </c>
      <c r="F168" s="359">
        <f>IFERROR(LOOKUP(2,1/([1]!MARTES[[CEDULA ]]=[1]!Tabla9[[#This Row],[CEDULA ]]),[1]!MARTES[HORA]),"No Registró")</f>
        <v>0.56049768518518517</v>
      </c>
      <c r="G168" s="359" t="str">
        <f>IFERROR(VLOOKUP([1]!Tabla9[[CEDULA ]],[1]!MIERCOLES[#Data],5,0),"No registró")</f>
        <v>No registró</v>
      </c>
      <c r="H168" s="359" t="str">
        <f>IFERROR(LOOKUP(2,1/([1]!MIERCOLES[[CEDULA ]]=[1]!Tabla9[[#This Row],[CEDULA ]]),[1]!MIERCOLES[HORA]),"No registró")</f>
        <v>No registró</v>
      </c>
      <c r="I168" s="359" t="str">
        <f>IFERROR(VLOOKUP([1]!Tabla9[[CEDULA ]],[1]!JUEVES[#Data],5,0),"No Registró")</f>
        <v>No Registró</v>
      </c>
      <c r="J168" s="359" t="str">
        <f>IFERROR(LOOKUP(2,1/([1]!JUEVES[[CEDULA ]]=[1]!Tabla9[[#This Row],[CEDULA ]]),[1]!JUEVES[HORA]),"No registró")</f>
        <v>No registró</v>
      </c>
      <c r="K168" s="359" t="str">
        <f>IFERROR(VLOOKUP([1]!Tabla9[[CEDULA ]],[1]!VIERNES[#Data],5,0),"No registró")</f>
        <v>No registró</v>
      </c>
      <c r="L168" s="359" t="str">
        <f>IFERROR(LOOKUP(2,1/([1]!VIERNES[[CEDULA ]]=[1]!Tabla9[[#This Row],[CEDULA ]]),[1]!VIERNES[HORA]),"No registró")</f>
        <v>No registró</v>
      </c>
      <c r="M168" s="359" t="str">
        <f>IFERROR(VLOOKUP([1]!Tabla9[[CEDULA ]],[1]!SABADO[#Data],5,0),"No registró")</f>
        <v>No registró</v>
      </c>
      <c r="N168" s="359" t="str">
        <f>IFERROR(LOOKUP(2,1/([1]!SABADO[[CEDULA ]]=[1]!Tabla9[[#This Row],[CEDULA ]]),[1]!SABADO[HORA]),"No registró")</f>
        <v>No registró</v>
      </c>
      <c r="O168" s="359" t="str">
        <f>IFERROR(VLOOKUP([1]!Tabla9[[CEDULA ]],[1]!DOMINGO[#Data],5,0),"No registró")</f>
        <v>No registró</v>
      </c>
      <c r="P168" s="359" t="str">
        <f>IFERROR(LOOKUP(2,1/([1]!DOMINGO[[CEDULA ]]=[1]!Tabla9[[#This Row],[CEDULA ]]),[1]!DOMINGO[HORA]),"No registró")</f>
        <v>No registró</v>
      </c>
      <c r="Q168" s="240">
        <f>IFERROR(VLOOKUP(A168,DATOS[],10,0),"")</f>
        <v>0</v>
      </c>
    </row>
    <row r="169" spans="1:17" x14ac:dyDescent="0.25">
      <c r="A169" s="239">
        <v>11500724</v>
      </c>
      <c r="B169" s="239" t="s">
        <v>1147</v>
      </c>
      <c r="C169" s="359">
        <f>IFERROR(VLOOKUP([1]!Tabla9[[CEDULA ]],[1]!LUNES[#Data],5,0),"No registró")</f>
        <v>0.30979166666666663</v>
      </c>
      <c r="D169" s="359">
        <f>IFERROR(LOOKUP(2,1/([1]!LUNES[[CEDULA ]]=[1]!Tabla9[[#This Row],[CEDULA ]]),[1]!LUNES[HORA]),"No registró")</f>
        <v>0.55435185185185187</v>
      </c>
      <c r="E169" s="359">
        <f>IFERROR(VLOOKUP([1]!Tabla9[[CEDULA ]],[1]!MARTES[#Data],5,0),"No registró")</f>
        <v>0.33812500000000001</v>
      </c>
      <c r="F169" s="359">
        <f>IFERROR(LOOKUP(2,1/([1]!MARTES[[CEDULA ]]=[1]!Tabla9[[#This Row],[CEDULA ]]),[1]!MARTES[HORA]),"No Registró")</f>
        <v>0.55526620370370372</v>
      </c>
      <c r="G169" s="359" t="str">
        <f>IFERROR(VLOOKUP([1]!Tabla9[[CEDULA ]],[1]!MIERCOLES[#Data],5,0),"No registró")</f>
        <v>No registró</v>
      </c>
      <c r="H169" s="359" t="str">
        <f>IFERROR(LOOKUP(2,1/([1]!MIERCOLES[[CEDULA ]]=[1]!Tabla9[[#This Row],[CEDULA ]]),[1]!MIERCOLES[HORA]),"No registró")</f>
        <v>No registró</v>
      </c>
      <c r="I169" s="359" t="str">
        <f>IFERROR(VLOOKUP([1]!Tabla9[[CEDULA ]],[1]!JUEVES[#Data],5,0),"No Registró")</f>
        <v>No Registró</v>
      </c>
      <c r="J169" s="359" t="str">
        <f>IFERROR(LOOKUP(2,1/([1]!JUEVES[[CEDULA ]]=[1]!Tabla9[[#This Row],[CEDULA ]]),[1]!JUEVES[HORA]),"No registró")</f>
        <v>No registró</v>
      </c>
      <c r="K169" s="359" t="str">
        <f>IFERROR(VLOOKUP([1]!Tabla9[[CEDULA ]],[1]!VIERNES[#Data],5,0),"No registró")</f>
        <v>No registró</v>
      </c>
      <c r="L169" s="359" t="str">
        <f>IFERROR(LOOKUP(2,1/([1]!VIERNES[[CEDULA ]]=[1]!Tabla9[[#This Row],[CEDULA ]]),[1]!VIERNES[HORA]),"No registró")</f>
        <v>No registró</v>
      </c>
      <c r="M169" s="359" t="str">
        <f>IFERROR(VLOOKUP([1]!Tabla9[[CEDULA ]],[1]!SABADO[#Data],5,0),"No registró")</f>
        <v>No registró</v>
      </c>
      <c r="N169" s="359" t="str">
        <f>IFERROR(LOOKUP(2,1/([1]!SABADO[[CEDULA ]]=[1]!Tabla9[[#This Row],[CEDULA ]]),[1]!SABADO[HORA]),"No registró")</f>
        <v>No registró</v>
      </c>
      <c r="O169" s="359" t="str">
        <f>IFERROR(VLOOKUP([1]!Tabla9[[CEDULA ]],[1]!DOMINGO[#Data],5,0),"No registró")</f>
        <v>No registró</v>
      </c>
      <c r="P169" s="359" t="str">
        <f>IFERROR(LOOKUP(2,1/([1]!DOMINGO[[CEDULA ]]=[1]!Tabla9[[#This Row],[CEDULA ]]),[1]!DOMINGO[HORA]),"No registró")</f>
        <v>No registró</v>
      </c>
      <c r="Q169" s="240" t="str">
        <f>IFERROR(VLOOKUP(A169,DATOS[],10,0),"")</f>
        <v>4. VALLES DEL TUY</v>
      </c>
    </row>
    <row r="170" spans="1:17" x14ac:dyDescent="0.25">
      <c r="A170" s="239">
        <v>11565454</v>
      </c>
      <c r="B170" s="239" t="s">
        <v>1148</v>
      </c>
      <c r="C170" s="359">
        <f>IFERROR(VLOOKUP([1]!Tabla9[[CEDULA ]],[1]!LUNES[#Data],5,0),"No registró")</f>
        <v>0.33839120370370374</v>
      </c>
      <c r="D170" s="359">
        <f>IFERROR(LOOKUP(2,1/([1]!LUNES[[CEDULA ]]=[1]!Tabla9[[#This Row],[CEDULA ]]),[1]!LUNES[HORA]),"No registró")</f>
        <v>0.6090740740740741</v>
      </c>
      <c r="E170" s="359">
        <f>IFERROR(VLOOKUP([1]!Tabla9[[CEDULA ]],[1]!MARTES[#Data],5,0),"No registró")</f>
        <v>0.31159722222222225</v>
      </c>
      <c r="F170" s="359">
        <f>IFERROR(LOOKUP(2,1/([1]!MARTES[[CEDULA ]]=[1]!Tabla9[[#This Row],[CEDULA ]]),[1]!MARTES[HORA]),"No Registró")</f>
        <v>0.64493055555555556</v>
      </c>
      <c r="G170" s="360" t="s">
        <v>989</v>
      </c>
      <c r="H170" s="359">
        <f>IFERROR(LOOKUP(2,1/([1]!MIERCOLES[[CEDULA ]]=[1]!Tabla9[[#This Row],[CEDULA ]]),[1]!MIERCOLES[HORA]),"No registró")</f>
        <v>0.58575231481481482</v>
      </c>
      <c r="I170" s="359" t="str">
        <f>IFERROR(VLOOKUP([1]!Tabla9[[CEDULA ]],[1]!JUEVES[#Data],5,0),"No Registró")</f>
        <v>No Registró</v>
      </c>
      <c r="J170" s="359" t="str">
        <f>IFERROR(LOOKUP(2,1/([1]!JUEVES[[CEDULA ]]=[1]!Tabla9[[#This Row],[CEDULA ]]),[1]!JUEVES[HORA]),"No registró")</f>
        <v>No registró</v>
      </c>
      <c r="K170" s="359" t="str">
        <f>IFERROR(VLOOKUP([1]!Tabla9[[CEDULA ]],[1]!VIERNES[#Data],5,0),"No registró")</f>
        <v>No registró</v>
      </c>
      <c r="L170" s="359" t="str">
        <f>IFERROR(LOOKUP(2,1/([1]!VIERNES[[CEDULA ]]=[1]!Tabla9[[#This Row],[CEDULA ]]),[1]!VIERNES[HORA]),"No registró")</f>
        <v>No registró</v>
      </c>
      <c r="M170" s="359" t="str">
        <f>IFERROR(VLOOKUP([1]!Tabla9[[CEDULA ]],[1]!SABADO[#Data],5,0),"No registró")</f>
        <v>No registró</v>
      </c>
      <c r="N170" s="359" t="str">
        <f>IFERROR(LOOKUP(2,1/([1]!SABADO[[CEDULA ]]=[1]!Tabla9[[#This Row],[CEDULA ]]),[1]!SABADO[HORA]),"No registró")</f>
        <v>No registró</v>
      </c>
      <c r="O170" s="359" t="str">
        <f>IFERROR(VLOOKUP([1]!Tabla9[[CEDULA ]],[1]!DOMINGO[#Data],5,0),"No registró")</f>
        <v>No registró</v>
      </c>
      <c r="P170" s="359" t="str">
        <f>IFERROR(LOOKUP(2,1/([1]!DOMINGO[[CEDULA ]]=[1]!Tabla9[[#This Row],[CEDULA ]]),[1]!DOMINGO[HORA]),"No registró")</f>
        <v>No registró</v>
      </c>
      <c r="Q170" s="240" t="str">
        <f>IFERROR(VLOOKUP(A170,DATOS[],10,0),"")</f>
        <v>0. ALTO NIVEL</v>
      </c>
    </row>
    <row r="171" spans="1:17" x14ac:dyDescent="0.25">
      <c r="A171" s="239">
        <v>11590610</v>
      </c>
      <c r="B171" s="239" t="s">
        <v>1149</v>
      </c>
      <c r="C171" s="359">
        <f>IFERROR(VLOOKUP([1]!Tabla9[[CEDULA ]],[1]!LUNES[#Data],5,0),"No registró")</f>
        <v>0.3397337962962963</v>
      </c>
      <c r="D171" s="359">
        <f>IFERROR(LOOKUP(2,1/([1]!LUNES[[CEDULA ]]=[1]!Tabla9[[#This Row],[CEDULA ]]),[1]!LUNES[HORA]),"No registró")</f>
        <v>0.60575231481481484</v>
      </c>
      <c r="E171" s="359">
        <f>IFERROR(VLOOKUP([1]!Tabla9[[CEDULA ]],[1]!MARTES[#Data],5,0),"No registró")</f>
        <v>0.31396990740740743</v>
      </c>
      <c r="F171" s="359">
        <f>IFERROR(LOOKUP(2,1/([1]!MARTES[[CEDULA ]]=[1]!Tabla9[[#This Row],[CEDULA ]]),[1]!MARTES[HORA]),"No Registró")</f>
        <v>0.64461805555555551</v>
      </c>
      <c r="G171" s="359" t="str">
        <f>IFERROR(VLOOKUP([1]!Tabla9[[CEDULA ]],[1]!MIERCOLES[#Data],5,0),"No registró")</f>
        <v>No registró</v>
      </c>
      <c r="H171" s="359" t="str">
        <f>IFERROR(LOOKUP(2,1/([1]!MIERCOLES[[CEDULA ]]=[1]!Tabla9[[#This Row],[CEDULA ]]),[1]!MIERCOLES[HORA]),"No registró")</f>
        <v>No registró</v>
      </c>
      <c r="I171" s="359" t="str">
        <f>IFERROR(VLOOKUP([1]!Tabla9[[CEDULA ]],[1]!JUEVES[#Data],5,0),"No Registró")</f>
        <v>No Registró</v>
      </c>
      <c r="J171" s="359" t="str">
        <f>IFERROR(LOOKUP(2,1/([1]!JUEVES[[CEDULA ]]=[1]!Tabla9[[#This Row],[CEDULA ]]),[1]!JUEVES[HORA]),"No registró")</f>
        <v>No registró</v>
      </c>
      <c r="K171" s="359" t="str">
        <f>IFERROR(VLOOKUP([1]!Tabla9[[CEDULA ]],[1]!VIERNES[#Data],5,0),"No registró")</f>
        <v>No registró</v>
      </c>
      <c r="L171" s="359" t="str">
        <f>IFERROR(LOOKUP(2,1/([1]!VIERNES[[CEDULA ]]=[1]!Tabla9[[#This Row],[CEDULA ]]),[1]!VIERNES[HORA]),"No registró")</f>
        <v>No registró</v>
      </c>
      <c r="M171" s="359" t="str">
        <f>IFERROR(VLOOKUP([1]!Tabla9[[CEDULA ]],[1]!SABADO[#Data],5,0),"No registró")</f>
        <v>No registró</v>
      </c>
      <c r="N171" s="359" t="str">
        <f>IFERROR(LOOKUP(2,1/([1]!SABADO[[CEDULA ]]=[1]!Tabla9[[#This Row],[CEDULA ]]),[1]!SABADO[HORA]),"No registró")</f>
        <v>No registró</v>
      </c>
      <c r="O171" s="359" t="str">
        <f>IFERROR(VLOOKUP([1]!Tabla9[[CEDULA ]],[1]!DOMINGO[#Data],5,0),"No registró")</f>
        <v>No registró</v>
      </c>
      <c r="P171" s="359" t="str">
        <f>IFERROR(LOOKUP(2,1/([1]!DOMINGO[[CEDULA ]]=[1]!Tabla9[[#This Row],[CEDULA ]]),[1]!DOMINGO[HORA]),"No registró")</f>
        <v>No registró</v>
      </c>
      <c r="Q171" s="240">
        <f>IFERROR(VLOOKUP(A171,DATOS[],10,0),"")</f>
        <v>0</v>
      </c>
    </row>
    <row r="172" spans="1:17" x14ac:dyDescent="0.25">
      <c r="A172" s="239">
        <v>11666165</v>
      </c>
      <c r="B172" s="239" t="s">
        <v>1150</v>
      </c>
      <c r="C172" s="359">
        <f>IFERROR(VLOOKUP([1]!Tabla9[[CEDULA ]],[1]!LUNES[#Data],5,0),"No registró")</f>
        <v>0.28122685185185187</v>
      </c>
      <c r="D172" s="359">
        <f>IFERROR(LOOKUP(2,1/([1]!LUNES[[CEDULA ]]=[1]!Tabla9[[#This Row],[CEDULA ]]),[1]!LUNES[HORA]),"No registró")</f>
        <v>0.59714120370370372</v>
      </c>
      <c r="E172" s="359">
        <f>IFERROR(VLOOKUP([1]!Tabla9[[CEDULA ]],[1]!MARTES[#Data],5,0),"No registró")</f>
        <v>0.28960648148148149</v>
      </c>
      <c r="F172" s="359">
        <f>IFERROR(LOOKUP(2,1/([1]!MARTES[[CEDULA ]]=[1]!Tabla9[[#This Row],[CEDULA ]]),[1]!MARTES[HORA]),"No Registró")</f>
        <v>0.61303240740740739</v>
      </c>
      <c r="G172" s="359" t="str">
        <f>IFERROR(VLOOKUP([1]!Tabla9[[CEDULA ]],[1]!MIERCOLES[#Data],5,0),"No registró")</f>
        <v>No registró</v>
      </c>
      <c r="H172" s="359" t="str">
        <f>IFERROR(LOOKUP(2,1/([1]!MIERCOLES[[CEDULA ]]=[1]!Tabla9[[#This Row],[CEDULA ]]),[1]!MIERCOLES[HORA]),"No registró")</f>
        <v>No registró</v>
      </c>
      <c r="I172" s="359" t="str">
        <f>IFERROR(VLOOKUP([1]!Tabla9[[CEDULA ]],[1]!JUEVES[#Data],5,0),"No Registró")</f>
        <v>No Registró</v>
      </c>
      <c r="J172" s="359" t="str">
        <f>IFERROR(LOOKUP(2,1/([1]!JUEVES[[CEDULA ]]=[1]!Tabla9[[#This Row],[CEDULA ]]),[1]!JUEVES[HORA]),"No registró")</f>
        <v>No registró</v>
      </c>
      <c r="K172" s="359" t="str">
        <f>IFERROR(VLOOKUP([1]!Tabla9[[CEDULA ]],[1]!VIERNES[#Data],5,0),"No registró")</f>
        <v>No registró</v>
      </c>
      <c r="L172" s="359" t="str">
        <f>IFERROR(LOOKUP(2,1/([1]!VIERNES[[CEDULA ]]=[1]!Tabla9[[#This Row],[CEDULA ]]),[1]!VIERNES[HORA]),"No registró")</f>
        <v>No registró</v>
      </c>
      <c r="M172" s="359" t="str">
        <f>IFERROR(VLOOKUP([1]!Tabla9[[CEDULA ]],[1]!SABADO[#Data],5,0),"No registró")</f>
        <v>No registró</v>
      </c>
      <c r="N172" s="359" t="str">
        <f>IFERROR(LOOKUP(2,1/([1]!SABADO[[CEDULA ]]=[1]!Tabla9[[#This Row],[CEDULA ]]),[1]!SABADO[HORA]),"No registró")</f>
        <v>No registró</v>
      </c>
      <c r="O172" s="359" t="str">
        <f>IFERROR(VLOOKUP([1]!Tabla9[[CEDULA ]],[1]!DOMINGO[#Data],5,0),"No registró")</f>
        <v>No registró</v>
      </c>
      <c r="P172" s="359" t="str">
        <f>IFERROR(LOOKUP(2,1/([1]!DOMINGO[[CEDULA ]]=[1]!Tabla9[[#This Row],[CEDULA ]]),[1]!DOMINGO[HORA]),"No registró")</f>
        <v>No registró</v>
      </c>
      <c r="Q172" s="240">
        <f>IFERROR(VLOOKUP(A172,DATOS[],10,0),"")</f>
        <v>0</v>
      </c>
    </row>
    <row r="173" spans="1:17" x14ac:dyDescent="0.25">
      <c r="A173" s="239">
        <v>11666812</v>
      </c>
      <c r="B173" s="239" t="s">
        <v>1151</v>
      </c>
      <c r="C173" s="359">
        <f>IFERROR(VLOOKUP([1]!Tabla9[[CEDULA ]],[1]!LUNES[#Data],5,0),"No registró")</f>
        <v>0.35097222222222224</v>
      </c>
      <c r="D173" s="359">
        <f>IFERROR(LOOKUP(2,1/([1]!LUNES[[CEDULA ]]=[1]!Tabla9[[#This Row],[CEDULA ]]),[1]!LUNES[HORA]),"No registró")</f>
        <v>0.603449074074074</v>
      </c>
      <c r="E173" s="359">
        <f>IFERROR(VLOOKUP([1]!Tabla9[[CEDULA ]],[1]!MARTES[#Data],5,0),"No registró")</f>
        <v>0.31535879629629632</v>
      </c>
      <c r="F173" s="359">
        <f>IFERROR(LOOKUP(2,1/([1]!MARTES[[CEDULA ]]=[1]!Tabla9[[#This Row],[CEDULA ]]),[1]!MARTES[HORA]),"No Registró")</f>
        <v>0.55638888888888893</v>
      </c>
      <c r="G173" s="359" t="str">
        <f>IFERROR(VLOOKUP([1]!Tabla9[[CEDULA ]],[1]!MIERCOLES[#Data],5,0),"No registró")</f>
        <v>No registró</v>
      </c>
      <c r="H173" s="359" t="str">
        <f>IFERROR(LOOKUP(2,1/([1]!MIERCOLES[[CEDULA ]]=[1]!Tabla9[[#This Row],[CEDULA ]]),[1]!MIERCOLES[HORA]),"No registró")</f>
        <v>No registró</v>
      </c>
      <c r="I173" s="359" t="str">
        <f>IFERROR(VLOOKUP([1]!Tabla9[[CEDULA ]],[1]!JUEVES[#Data],5,0),"No Registró")</f>
        <v>No Registró</v>
      </c>
      <c r="J173" s="359" t="str">
        <f>IFERROR(LOOKUP(2,1/([1]!JUEVES[[CEDULA ]]=[1]!Tabla9[[#This Row],[CEDULA ]]),[1]!JUEVES[HORA]),"No registró")</f>
        <v>No registró</v>
      </c>
      <c r="K173" s="359" t="str">
        <f>IFERROR(VLOOKUP([1]!Tabla9[[CEDULA ]],[1]!VIERNES[#Data],5,0),"No registró")</f>
        <v>No registró</v>
      </c>
      <c r="L173" s="359" t="str">
        <f>IFERROR(LOOKUP(2,1/([1]!VIERNES[[CEDULA ]]=[1]!Tabla9[[#This Row],[CEDULA ]]),[1]!VIERNES[HORA]),"No registró")</f>
        <v>No registró</v>
      </c>
      <c r="M173" s="359" t="str">
        <f>IFERROR(VLOOKUP([1]!Tabla9[[CEDULA ]],[1]!SABADO[#Data],5,0),"No registró")</f>
        <v>No registró</v>
      </c>
      <c r="N173" s="359" t="str">
        <f>IFERROR(LOOKUP(2,1/([1]!SABADO[[CEDULA ]]=[1]!Tabla9[[#This Row],[CEDULA ]]),[1]!SABADO[HORA]),"No registró")</f>
        <v>No registró</v>
      </c>
      <c r="O173" s="359" t="str">
        <f>IFERROR(VLOOKUP([1]!Tabla9[[CEDULA ]],[1]!DOMINGO[#Data],5,0),"No registró")</f>
        <v>No registró</v>
      </c>
      <c r="P173" s="359" t="str">
        <f>IFERROR(LOOKUP(2,1/([1]!DOMINGO[[CEDULA ]]=[1]!Tabla9[[#This Row],[CEDULA ]]),[1]!DOMINGO[HORA]),"No registró")</f>
        <v>No registró</v>
      </c>
      <c r="Q173" s="240" t="str">
        <f>IFERROR(VLOOKUP(A173,DATOS[],10,0),"")</f>
        <v>5. GUARENAS</v>
      </c>
    </row>
    <row r="174" spans="1:17" x14ac:dyDescent="0.25">
      <c r="A174" s="239">
        <v>11678846</v>
      </c>
      <c r="B174" s="239" t="s">
        <v>1152</v>
      </c>
      <c r="C174" s="359">
        <f>IFERROR(VLOOKUP([1]!Tabla9[[CEDULA ]],[1]!LUNES[#Data],5,0),"No registró")</f>
        <v>0.27614583333333331</v>
      </c>
      <c r="D174" s="359">
        <f>IFERROR(LOOKUP(2,1/([1]!LUNES[[CEDULA ]]=[1]!Tabla9[[#This Row],[CEDULA ]]),[1]!LUNES[HORA]),"No registró")</f>
        <v>0.55199074074074073</v>
      </c>
      <c r="E174" s="359" t="str">
        <f>IFERROR(VLOOKUP([1]!Tabla9[[CEDULA ]],[1]!MARTES[#Data],5,0),"No registró")</f>
        <v>No registró</v>
      </c>
      <c r="F174" s="359" t="str">
        <f>IFERROR(LOOKUP(2,1/([1]!MARTES[[CEDULA ]]=[1]!Tabla9[[#This Row],[CEDULA ]]),[1]!MARTES[HORA]),"No Registró")</f>
        <v>No Registró</v>
      </c>
      <c r="G174" s="359" t="str">
        <f>IFERROR(VLOOKUP([1]!Tabla9[[CEDULA ]],[1]!MIERCOLES[#Data],5,0),"No registró")</f>
        <v>No registró</v>
      </c>
      <c r="H174" s="359" t="str">
        <f>IFERROR(LOOKUP(2,1/([1]!MIERCOLES[[CEDULA ]]=[1]!Tabla9[[#This Row],[CEDULA ]]),[1]!MIERCOLES[HORA]),"No registró")</f>
        <v>No registró</v>
      </c>
      <c r="I174" s="359" t="str">
        <f>IFERROR(VLOOKUP([1]!Tabla9[[CEDULA ]],[1]!JUEVES[#Data],5,0),"No Registró")</f>
        <v>No Registró</v>
      </c>
      <c r="J174" s="359" t="str">
        <f>IFERROR(LOOKUP(2,1/([1]!JUEVES[[CEDULA ]]=[1]!Tabla9[[#This Row],[CEDULA ]]),[1]!JUEVES[HORA]),"No registró")</f>
        <v>No registró</v>
      </c>
      <c r="K174" s="359" t="str">
        <f>IFERROR(VLOOKUP([1]!Tabla9[[CEDULA ]],[1]!VIERNES[#Data],5,0),"No registró")</f>
        <v>No registró</v>
      </c>
      <c r="L174" s="359" t="str">
        <f>IFERROR(LOOKUP(2,1/([1]!VIERNES[[CEDULA ]]=[1]!Tabla9[[#This Row],[CEDULA ]]),[1]!VIERNES[HORA]),"No registró")</f>
        <v>No registró</v>
      </c>
      <c r="M174" s="359" t="str">
        <f>IFERROR(VLOOKUP([1]!Tabla9[[CEDULA ]],[1]!SABADO[#Data],5,0),"No registró")</f>
        <v>No registró</v>
      </c>
      <c r="N174" s="359" t="str">
        <f>IFERROR(LOOKUP(2,1/([1]!SABADO[[CEDULA ]]=[1]!Tabla9[[#This Row],[CEDULA ]]),[1]!SABADO[HORA]),"No registró")</f>
        <v>No registró</v>
      </c>
      <c r="O174" s="359" t="str">
        <f>IFERROR(VLOOKUP([1]!Tabla9[[CEDULA ]],[1]!DOMINGO[#Data],5,0),"No registró")</f>
        <v>No registró</v>
      </c>
      <c r="P174" s="359" t="str">
        <f>IFERROR(LOOKUP(2,1/([1]!DOMINGO[[CEDULA ]]=[1]!Tabla9[[#This Row],[CEDULA ]]),[1]!DOMINGO[HORA]),"No registró")</f>
        <v>No registró</v>
      </c>
      <c r="Q174" s="240">
        <f>IFERROR(VLOOKUP(A174,DATOS[],10,0),"")</f>
        <v>0</v>
      </c>
    </row>
    <row r="175" spans="1:17" x14ac:dyDescent="0.25">
      <c r="A175" s="239">
        <v>11679527</v>
      </c>
      <c r="B175" s="239" t="s">
        <v>1380</v>
      </c>
      <c r="C175" s="359">
        <f>IFERROR(VLOOKUP([1]!Tabla9[[CEDULA ]],[1]!LUNES[#Data],5,0),"No registró")</f>
        <v>0.32689814814814816</v>
      </c>
      <c r="D175" s="359">
        <f>IFERROR(LOOKUP(2,1/([1]!LUNES[[CEDULA ]]=[1]!Tabla9[[#This Row],[CEDULA ]]),[1]!LUNES[HORA]),"No registró")</f>
        <v>0.56429398148148147</v>
      </c>
      <c r="E175" s="359">
        <f>IFERROR(VLOOKUP([1]!Tabla9[[CEDULA ]],[1]!MARTES[#Data],5,0),"No registró")</f>
        <v>0.31555555555555553</v>
      </c>
      <c r="F175" s="359">
        <f>IFERROR(LOOKUP(2,1/([1]!MARTES[[CEDULA ]]=[1]!Tabla9[[#This Row],[CEDULA ]]),[1]!MARTES[HORA]),"No Registró")</f>
        <v>0.55716435185185187</v>
      </c>
      <c r="G175" s="359" t="str">
        <f>IFERROR(VLOOKUP([1]!Tabla9[[CEDULA ]],[1]!MIERCOLES[#Data],5,0),"No registró")</f>
        <v>No registró</v>
      </c>
      <c r="H175" s="359" t="str">
        <f>IFERROR(LOOKUP(2,1/([1]!MIERCOLES[[CEDULA ]]=[1]!Tabla9[[#This Row],[CEDULA ]]),[1]!MIERCOLES[HORA]),"No registró")</f>
        <v>No registró</v>
      </c>
      <c r="I175" s="359" t="str">
        <f>IFERROR(VLOOKUP([1]!Tabla9[[CEDULA ]],[1]!JUEVES[#Data],5,0),"No Registró")</f>
        <v>No Registró</v>
      </c>
      <c r="J175" s="359" t="str">
        <f>IFERROR(LOOKUP(2,1/([1]!JUEVES[[CEDULA ]]=[1]!Tabla9[[#This Row],[CEDULA ]]),[1]!JUEVES[HORA]),"No registró")</f>
        <v>No registró</v>
      </c>
      <c r="K175" s="359" t="str">
        <f>IFERROR(VLOOKUP([1]!Tabla9[[CEDULA ]],[1]!VIERNES[#Data],5,0),"No registró")</f>
        <v>No registró</v>
      </c>
      <c r="L175" s="359" t="str">
        <f>IFERROR(LOOKUP(2,1/([1]!VIERNES[[CEDULA ]]=[1]!Tabla9[[#This Row],[CEDULA ]]),[1]!VIERNES[HORA]),"No registró")</f>
        <v>No registró</v>
      </c>
      <c r="M175" s="359" t="str">
        <f>IFERROR(VLOOKUP([1]!Tabla9[[CEDULA ]],[1]!SABADO[#Data],5,0),"No registró")</f>
        <v>No registró</v>
      </c>
      <c r="N175" s="359" t="str">
        <f>IFERROR(LOOKUP(2,1/([1]!SABADO[[CEDULA ]]=[1]!Tabla9[[#This Row],[CEDULA ]]),[1]!SABADO[HORA]),"No registró")</f>
        <v>No registró</v>
      </c>
      <c r="O175" s="359" t="str">
        <f>IFERROR(VLOOKUP([1]!Tabla9[[CEDULA ]],[1]!DOMINGO[#Data],5,0),"No registró")</f>
        <v>No registró</v>
      </c>
      <c r="P175" s="359" t="str">
        <f>IFERROR(LOOKUP(2,1/([1]!DOMINGO[[CEDULA ]]=[1]!Tabla9[[#This Row],[CEDULA ]]),[1]!DOMINGO[HORA]),"No registró")</f>
        <v>No registró</v>
      </c>
      <c r="Q175" s="240">
        <f>IFERROR(VLOOKUP(A175,DATOS[],10,0),"")</f>
        <v>0</v>
      </c>
    </row>
    <row r="176" spans="1:17" x14ac:dyDescent="0.25">
      <c r="A176" s="239">
        <v>11689884</v>
      </c>
      <c r="B176" s="239" t="s">
        <v>1153</v>
      </c>
      <c r="C176" s="359">
        <f>IFERROR(VLOOKUP([1]!Tabla9[[CEDULA ]],[1]!LUNES[#Data],5,0),"No registró")</f>
        <v>0.2958912037037037</v>
      </c>
      <c r="D176" s="359">
        <f>IFERROR(LOOKUP(2,1/([1]!LUNES[[CEDULA ]]=[1]!Tabla9[[#This Row],[CEDULA ]]),[1]!LUNES[HORA]),"No registró")</f>
        <v>0.5540046296296296</v>
      </c>
      <c r="E176" s="359">
        <f>IFERROR(VLOOKUP([1]!Tabla9[[CEDULA ]],[1]!MARTES[#Data],5,0),"No registró")</f>
        <v>0.30530092592592589</v>
      </c>
      <c r="F176" s="359">
        <f>IFERROR(LOOKUP(2,1/([1]!MARTES[[CEDULA ]]=[1]!Tabla9[[#This Row],[CEDULA ]]),[1]!MARTES[HORA]),"No Registró")</f>
        <v>0.55620370370370364</v>
      </c>
      <c r="G176" s="359" t="str">
        <f>IFERROR(VLOOKUP([1]!Tabla9[[CEDULA ]],[1]!MIERCOLES[#Data],5,0),"No registró")</f>
        <v>No registró</v>
      </c>
      <c r="H176" s="359" t="str">
        <f>IFERROR(LOOKUP(2,1/([1]!MIERCOLES[[CEDULA ]]=[1]!Tabla9[[#This Row],[CEDULA ]]),[1]!MIERCOLES[HORA]),"No registró")</f>
        <v>No registró</v>
      </c>
      <c r="I176" s="359" t="str">
        <f>IFERROR(VLOOKUP([1]!Tabla9[[CEDULA ]],[1]!JUEVES[#Data],5,0),"No Registró")</f>
        <v>No Registró</v>
      </c>
      <c r="J176" s="359" t="str">
        <f>IFERROR(LOOKUP(2,1/([1]!JUEVES[[CEDULA ]]=[1]!Tabla9[[#This Row],[CEDULA ]]),[1]!JUEVES[HORA]),"No registró")</f>
        <v>No registró</v>
      </c>
      <c r="K176" s="359" t="str">
        <f>IFERROR(VLOOKUP([1]!Tabla9[[CEDULA ]],[1]!VIERNES[#Data],5,0),"No registró")</f>
        <v>No registró</v>
      </c>
      <c r="L176" s="359" t="str">
        <f>IFERROR(LOOKUP(2,1/([1]!VIERNES[[CEDULA ]]=[1]!Tabla9[[#This Row],[CEDULA ]]),[1]!VIERNES[HORA]),"No registró")</f>
        <v>No registró</v>
      </c>
      <c r="M176" s="359" t="str">
        <f>IFERROR(VLOOKUP([1]!Tabla9[[CEDULA ]],[1]!SABADO[#Data],5,0),"No registró")</f>
        <v>No registró</v>
      </c>
      <c r="N176" s="359" t="str">
        <f>IFERROR(LOOKUP(2,1/([1]!SABADO[[CEDULA ]]=[1]!Tabla9[[#This Row],[CEDULA ]]),[1]!SABADO[HORA]),"No registró")</f>
        <v>No registró</v>
      </c>
      <c r="O176" s="359" t="str">
        <f>IFERROR(VLOOKUP([1]!Tabla9[[CEDULA ]],[1]!DOMINGO[#Data],5,0),"No registró")</f>
        <v>No registró</v>
      </c>
      <c r="P176" s="359" t="str">
        <f>IFERROR(LOOKUP(2,1/([1]!DOMINGO[[CEDULA ]]=[1]!Tabla9[[#This Row],[CEDULA ]]),[1]!DOMINGO[HORA]),"No registró")</f>
        <v>No registró</v>
      </c>
      <c r="Q176" s="240">
        <f>IFERROR(VLOOKUP(A176,DATOS[],10,0),"")</f>
        <v>0</v>
      </c>
    </row>
    <row r="177" spans="1:17" x14ac:dyDescent="0.25">
      <c r="A177" s="239">
        <v>11819707</v>
      </c>
      <c r="B177" s="239" t="s">
        <v>1154</v>
      </c>
      <c r="C177" s="359" t="str">
        <f>IFERROR(VLOOKUP([1]!Tabla9[[CEDULA ]],[1]!LUNES[#Data],5,0),"No registró")</f>
        <v>No registró</v>
      </c>
      <c r="D177" s="359" t="str">
        <f>IFERROR(LOOKUP(2,1/([1]!LUNES[[CEDULA ]]=[1]!Tabla9[[#This Row],[CEDULA ]]),[1]!LUNES[HORA]),"No registró")</f>
        <v>No registró</v>
      </c>
      <c r="E177" s="359">
        <f>IFERROR(VLOOKUP([1]!Tabla9[[CEDULA ]],[1]!MARTES[#Data],5,0),"No registró")</f>
        <v>0.29396990740740742</v>
      </c>
      <c r="F177" s="359">
        <f>IFERROR(LOOKUP(2,1/([1]!MARTES[[CEDULA ]]=[1]!Tabla9[[#This Row],[CEDULA ]]),[1]!MARTES[HORA]),"No Registró")</f>
        <v>0.54233796296296299</v>
      </c>
      <c r="G177" s="359" t="str">
        <f>IFERROR(VLOOKUP([1]!Tabla9[[CEDULA ]],[1]!MIERCOLES[#Data],5,0),"No registró")</f>
        <v>No registró</v>
      </c>
      <c r="H177" s="359" t="str">
        <f>IFERROR(LOOKUP(2,1/([1]!MIERCOLES[[CEDULA ]]=[1]!Tabla9[[#This Row],[CEDULA ]]),[1]!MIERCOLES[HORA]),"No registró")</f>
        <v>No registró</v>
      </c>
      <c r="I177" s="359" t="str">
        <f>IFERROR(VLOOKUP([1]!Tabla9[[CEDULA ]],[1]!JUEVES[#Data],5,0),"No Registró")</f>
        <v>No Registró</v>
      </c>
      <c r="J177" s="359" t="str">
        <f>IFERROR(LOOKUP(2,1/([1]!JUEVES[[CEDULA ]]=[1]!Tabla9[[#This Row],[CEDULA ]]),[1]!JUEVES[HORA]),"No registró")</f>
        <v>No registró</v>
      </c>
      <c r="K177" s="359" t="str">
        <f>IFERROR(VLOOKUP([1]!Tabla9[[CEDULA ]],[1]!VIERNES[#Data],5,0),"No registró")</f>
        <v>No registró</v>
      </c>
      <c r="L177" s="359" t="str">
        <f>IFERROR(LOOKUP(2,1/([1]!VIERNES[[CEDULA ]]=[1]!Tabla9[[#This Row],[CEDULA ]]),[1]!VIERNES[HORA]),"No registró")</f>
        <v>No registró</v>
      </c>
      <c r="M177" s="359" t="str">
        <f>IFERROR(VLOOKUP([1]!Tabla9[[CEDULA ]],[1]!SABADO[#Data],5,0),"No registró")</f>
        <v>No registró</v>
      </c>
      <c r="N177" s="359" t="str">
        <f>IFERROR(LOOKUP(2,1/([1]!SABADO[[CEDULA ]]=[1]!Tabla9[[#This Row],[CEDULA ]]),[1]!SABADO[HORA]),"No registró")</f>
        <v>No registró</v>
      </c>
      <c r="O177" s="359" t="str">
        <f>IFERROR(VLOOKUP([1]!Tabla9[[CEDULA ]],[1]!DOMINGO[#Data],5,0),"No registró")</f>
        <v>No registró</v>
      </c>
      <c r="P177" s="359" t="str">
        <f>IFERROR(LOOKUP(2,1/([1]!DOMINGO[[CEDULA ]]=[1]!Tabla9[[#This Row],[CEDULA ]]),[1]!DOMINGO[HORA]),"No registró")</f>
        <v>No registró</v>
      </c>
      <c r="Q177" s="240">
        <f>IFERROR(VLOOKUP(A177,DATOS[],10,0),"")</f>
        <v>0</v>
      </c>
    </row>
    <row r="178" spans="1:17" x14ac:dyDescent="0.25">
      <c r="A178" s="239">
        <v>11831831</v>
      </c>
      <c r="B178" s="239" t="s">
        <v>1155</v>
      </c>
      <c r="C178" s="359">
        <f>IFERROR(VLOOKUP([1]!Tabla9[[CEDULA ]],[1]!LUNES[#Data],5,0),"No registró")</f>
        <v>0.33155092592592594</v>
      </c>
      <c r="D178" s="359">
        <f>IFERROR(LOOKUP(2,1/([1]!LUNES[[CEDULA ]]=[1]!Tabla9[[#This Row],[CEDULA ]]),[1]!LUNES[HORA]),"No registró")</f>
        <v>0.59462962962962962</v>
      </c>
      <c r="E178" s="359">
        <f>IFERROR(VLOOKUP([1]!Tabla9[[CEDULA ]],[1]!MARTES[#Data],5,0),"No registró")</f>
        <v>0.315462962962963</v>
      </c>
      <c r="F178" s="359">
        <f>IFERROR(LOOKUP(2,1/([1]!MARTES[[CEDULA ]]=[1]!Tabla9[[#This Row],[CEDULA ]]),[1]!MARTES[HORA]),"No Registró")</f>
        <v>0.61063657407407412</v>
      </c>
      <c r="G178" s="359" t="str">
        <f>IFERROR(VLOOKUP([1]!Tabla9[[CEDULA ]],[1]!MIERCOLES[#Data],5,0),"No registró")</f>
        <v>No registró</v>
      </c>
      <c r="H178" s="359" t="str">
        <f>IFERROR(LOOKUP(2,1/([1]!MIERCOLES[[CEDULA ]]=[1]!Tabla9[[#This Row],[CEDULA ]]),[1]!MIERCOLES[HORA]),"No registró")</f>
        <v>No registró</v>
      </c>
      <c r="I178" s="359" t="str">
        <f>IFERROR(VLOOKUP([1]!Tabla9[[CEDULA ]],[1]!JUEVES[#Data],5,0),"No Registró")</f>
        <v>No Registró</v>
      </c>
      <c r="J178" s="359" t="str">
        <f>IFERROR(LOOKUP(2,1/([1]!JUEVES[[CEDULA ]]=[1]!Tabla9[[#This Row],[CEDULA ]]),[1]!JUEVES[HORA]),"No registró")</f>
        <v>No registró</v>
      </c>
      <c r="K178" s="359" t="str">
        <f>IFERROR(VLOOKUP([1]!Tabla9[[CEDULA ]],[1]!VIERNES[#Data],5,0),"No registró")</f>
        <v>No registró</v>
      </c>
      <c r="L178" s="359" t="str">
        <f>IFERROR(LOOKUP(2,1/([1]!VIERNES[[CEDULA ]]=[1]!Tabla9[[#This Row],[CEDULA ]]),[1]!VIERNES[HORA]),"No registró")</f>
        <v>No registró</v>
      </c>
      <c r="M178" s="359" t="str">
        <f>IFERROR(VLOOKUP([1]!Tabla9[[CEDULA ]],[1]!SABADO[#Data],5,0),"No registró")</f>
        <v>No registró</v>
      </c>
      <c r="N178" s="359" t="str">
        <f>IFERROR(LOOKUP(2,1/([1]!SABADO[[CEDULA ]]=[1]!Tabla9[[#This Row],[CEDULA ]]),[1]!SABADO[HORA]),"No registró")</f>
        <v>No registró</v>
      </c>
      <c r="O178" s="359" t="str">
        <f>IFERROR(VLOOKUP([1]!Tabla9[[CEDULA ]],[1]!DOMINGO[#Data],5,0),"No registró")</f>
        <v>No registró</v>
      </c>
      <c r="P178" s="359" t="str">
        <f>IFERROR(LOOKUP(2,1/([1]!DOMINGO[[CEDULA ]]=[1]!Tabla9[[#This Row],[CEDULA ]]),[1]!DOMINGO[HORA]),"No registró")</f>
        <v>No registró</v>
      </c>
      <c r="Q178" s="240">
        <f>IFERROR(VLOOKUP(A178,DATOS[],10,0),"")</f>
        <v>0</v>
      </c>
    </row>
    <row r="179" spans="1:17" x14ac:dyDescent="0.25">
      <c r="A179" s="239">
        <v>11917913</v>
      </c>
      <c r="B179" s="239" t="s">
        <v>1156</v>
      </c>
      <c r="C179" s="359">
        <f>IFERROR(VLOOKUP([1]!Tabla9[[CEDULA ]],[1]!LUNES[#Data],5,0),"No registró")</f>
        <v>0.33350694444444445</v>
      </c>
      <c r="D179" s="359">
        <f>IFERROR(LOOKUP(2,1/([1]!LUNES[[CEDULA ]]=[1]!Tabla9[[#This Row],[CEDULA ]]),[1]!LUNES[HORA]),"No registró")</f>
        <v>0.55954861111111109</v>
      </c>
      <c r="E179" s="359">
        <f>IFERROR(VLOOKUP([1]!Tabla9[[CEDULA ]],[1]!MARTES[#Data],5,0),"No registró")</f>
        <v>0.34392361111111108</v>
      </c>
      <c r="F179" s="359">
        <f>IFERROR(LOOKUP(2,1/([1]!MARTES[[CEDULA ]]=[1]!Tabla9[[#This Row],[CEDULA ]]),[1]!MARTES[HORA]),"No Registró")</f>
        <v>0.5794097222222222</v>
      </c>
      <c r="G179" s="359" t="str">
        <f>IFERROR(VLOOKUP([1]!Tabla9[[CEDULA ]],[1]!MIERCOLES[#Data],5,0),"No registró")</f>
        <v>No registró</v>
      </c>
      <c r="H179" s="359" t="str">
        <f>IFERROR(LOOKUP(2,1/([1]!MIERCOLES[[CEDULA ]]=[1]!Tabla9[[#This Row],[CEDULA ]]),[1]!MIERCOLES[HORA]),"No registró")</f>
        <v>No registró</v>
      </c>
      <c r="I179" s="359" t="str">
        <f>IFERROR(VLOOKUP([1]!Tabla9[[CEDULA ]],[1]!JUEVES[#Data],5,0),"No Registró")</f>
        <v>No Registró</v>
      </c>
      <c r="J179" s="359" t="str">
        <f>IFERROR(LOOKUP(2,1/([1]!JUEVES[[CEDULA ]]=[1]!Tabla9[[#This Row],[CEDULA ]]),[1]!JUEVES[HORA]),"No registró")</f>
        <v>No registró</v>
      </c>
      <c r="K179" s="359" t="str">
        <f>IFERROR(VLOOKUP([1]!Tabla9[[CEDULA ]],[1]!VIERNES[#Data],5,0),"No registró")</f>
        <v>No registró</v>
      </c>
      <c r="L179" s="359" t="str">
        <f>IFERROR(LOOKUP(2,1/([1]!VIERNES[[CEDULA ]]=[1]!Tabla9[[#This Row],[CEDULA ]]),[1]!VIERNES[HORA]),"No registró")</f>
        <v>No registró</v>
      </c>
      <c r="M179" s="359" t="str">
        <f>IFERROR(VLOOKUP([1]!Tabla9[[CEDULA ]],[1]!SABADO[#Data],5,0),"No registró")</f>
        <v>No registró</v>
      </c>
      <c r="N179" s="359" t="str">
        <f>IFERROR(LOOKUP(2,1/([1]!SABADO[[CEDULA ]]=[1]!Tabla9[[#This Row],[CEDULA ]]),[1]!SABADO[HORA]),"No registró")</f>
        <v>No registró</v>
      </c>
      <c r="O179" s="359" t="str">
        <f>IFERROR(VLOOKUP([1]!Tabla9[[CEDULA ]],[1]!DOMINGO[#Data],5,0),"No registró")</f>
        <v>No registró</v>
      </c>
      <c r="P179" s="359" t="str">
        <f>IFERROR(LOOKUP(2,1/([1]!DOMINGO[[CEDULA ]]=[1]!Tabla9[[#This Row],[CEDULA ]]),[1]!DOMINGO[HORA]),"No registró")</f>
        <v>No registró</v>
      </c>
      <c r="Q179" s="240" t="str">
        <f>IFERROR(VLOOKUP(A179,DATOS[],10,0),"")</f>
        <v>6. LA GUAIRA</v>
      </c>
    </row>
    <row r="180" spans="1:17" x14ac:dyDescent="0.25">
      <c r="A180" s="239">
        <v>11918573</v>
      </c>
      <c r="B180" s="239" t="s">
        <v>1157</v>
      </c>
      <c r="C180" s="359">
        <f>IFERROR(VLOOKUP([1]!Tabla9[[CEDULA ]],[1]!LUNES[#Data],5,0),"No registró")</f>
        <v>0.27908564814814812</v>
      </c>
      <c r="D180" s="359">
        <f>IFERROR(LOOKUP(2,1/([1]!LUNES[[CEDULA ]]=[1]!Tabla9[[#This Row],[CEDULA ]]),[1]!LUNES[HORA]),"No registró")</f>
        <v>0.55406250000000001</v>
      </c>
      <c r="E180" s="359">
        <f>IFERROR(VLOOKUP([1]!Tabla9[[CEDULA ]],[1]!MARTES[#Data],5,0),"No registró")</f>
        <v>0.27864583333333331</v>
      </c>
      <c r="F180" s="359">
        <f>IFERROR(LOOKUP(2,1/([1]!MARTES[[CEDULA ]]=[1]!Tabla9[[#This Row],[CEDULA ]]),[1]!MARTES[HORA]),"No Registró")</f>
        <v>0.55901620370370375</v>
      </c>
      <c r="G180" s="359" t="str">
        <f>IFERROR(VLOOKUP([1]!Tabla9[[CEDULA ]],[1]!MIERCOLES[#Data],5,0),"No registró")</f>
        <v>No registró</v>
      </c>
      <c r="H180" s="359" t="str">
        <f>IFERROR(LOOKUP(2,1/([1]!MIERCOLES[[CEDULA ]]=[1]!Tabla9[[#This Row],[CEDULA ]]),[1]!MIERCOLES[HORA]),"No registró")</f>
        <v>No registró</v>
      </c>
      <c r="I180" s="359" t="str">
        <f>IFERROR(VLOOKUP([1]!Tabla9[[CEDULA ]],[1]!JUEVES[#Data],5,0),"No Registró")</f>
        <v>No Registró</v>
      </c>
      <c r="J180" s="359" t="str">
        <f>IFERROR(LOOKUP(2,1/([1]!JUEVES[[CEDULA ]]=[1]!Tabla9[[#This Row],[CEDULA ]]),[1]!JUEVES[HORA]),"No registró")</f>
        <v>No registró</v>
      </c>
      <c r="K180" s="359" t="str">
        <f>IFERROR(VLOOKUP([1]!Tabla9[[CEDULA ]],[1]!VIERNES[#Data],5,0),"No registró")</f>
        <v>No registró</v>
      </c>
      <c r="L180" s="359" t="str">
        <f>IFERROR(LOOKUP(2,1/([1]!VIERNES[[CEDULA ]]=[1]!Tabla9[[#This Row],[CEDULA ]]),[1]!VIERNES[HORA]),"No registró")</f>
        <v>No registró</v>
      </c>
      <c r="M180" s="359" t="str">
        <f>IFERROR(VLOOKUP([1]!Tabla9[[CEDULA ]],[1]!SABADO[#Data],5,0),"No registró")</f>
        <v>No registró</v>
      </c>
      <c r="N180" s="359" t="str">
        <f>IFERROR(LOOKUP(2,1/([1]!SABADO[[CEDULA ]]=[1]!Tabla9[[#This Row],[CEDULA ]]),[1]!SABADO[HORA]),"No registró")</f>
        <v>No registró</v>
      </c>
      <c r="O180" s="359" t="str">
        <f>IFERROR(VLOOKUP([1]!Tabla9[[CEDULA ]],[1]!DOMINGO[#Data],5,0),"No registró")</f>
        <v>No registró</v>
      </c>
      <c r="P180" s="359" t="str">
        <f>IFERROR(LOOKUP(2,1/([1]!DOMINGO[[CEDULA ]]=[1]!Tabla9[[#This Row],[CEDULA ]]),[1]!DOMINGO[HORA]),"No registró")</f>
        <v>No registró</v>
      </c>
      <c r="Q180" s="240" t="str">
        <f>IFERROR(VLOOKUP(A180,DATOS[],10,0),"")</f>
        <v>1. COCHE</v>
      </c>
    </row>
    <row r="181" spans="1:17" x14ac:dyDescent="0.25">
      <c r="A181" s="239">
        <v>11921046</v>
      </c>
      <c r="B181" s="239" t="s">
        <v>1158</v>
      </c>
      <c r="C181" s="359">
        <f>IFERROR(VLOOKUP([1]!Tabla9[[CEDULA ]],[1]!LUNES[#Data],5,0),"No registró")</f>
        <v>0.27914351851851854</v>
      </c>
      <c r="D181" s="359">
        <f>IFERROR(LOOKUP(2,1/([1]!LUNES[[CEDULA ]]=[1]!Tabla9[[#This Row],[CEDULA ]]),[1]!LUNES[HORA]),"No registró")</f>
        <v>0.55788194444444439</v>
      </c>
      <c r="E181" s="359">
        <f>IFERROR(VLOOKUP([1]!Tabla9[[CEDULA ]],[1]!MARTES[#Data],5,0),"No registró")</f>
        <v>0.27857638888888886</v>
      </c>
      <c r="F181" s="359">
        <f>IFERROR(LOOKUP(2,1/([1]!MARTES[[CEDULA ]]=[1]!Tabla9[[#This Row],[CEDULA ]]),[1]!MARTES[HORA]),"No Registró")</f>
        <v>0.55924768518518519</v>
      </c>
      <c r="G181" s="359" t="str">
        <f>IFERROR(VLOOKUP([1]!Tabla9[[CEDULA ]],[1]!MIERCOLES[#Data],5,0),"No registró")</f>
        <v>No registró</v>
      </c>
      <c r="H181" s="359" t="str">
        <f>IFERROR(LOOKUP(2,1/([1]!MIERCOLES[[CEDULA ]]=[1]!Tabla9[[#This Row],[CEDULA ]]),[1]!MIERCOLES[HORA]),"No registró")</f>
        <v>No registró</v>
      </c>
      <c r="I181" s="359" t="str">
        <f>IFERROR(VLOOKUP([1]!Tabla9[[CEDULA ]],[1]!JUEVES[#Data],5,0),"No Registró")</f>
        <v>No Registró</v>
      </c>
      <c r="J181" s="359" t="str">
        <f>IFERROR(LOOKUP(2,1/([1]!JUEVES[[CEDULA ]]=[1]!Tabla9[[#This Row],[CEDULA ]]),[1]!JUEVES[HORA]),"No registró")</f>
        <v>No registró</v>
      </c>
      <c r="K181" s="359" t="str">
        <f>IFERROR(VLOOKUP([1]!Tabla9[[CEDULA ]],[1]!VIERNES[#Data],5,0),"No registró")</f>
        <v>No registró</v>
      </c>
      <c r="L181" s="359" t="str">
        <f>IFERROR(LOOKUP(2,1/([1]!VIERNES[[CEDULA ]]=[1]!Tabla9[[#This Row],[CEDULA ]]),[1]!VIERNES[HORA]),"No registró")</f>
        <v>No registró</v>
      </c>
      <c r="M181" s="359" t="str">
        <f>IFERROR(VLOOKUP([1]!Tabla9[[CEDULA ]],[1]!SABADO[#Data],5,0),"No registró")</f>
        <v>No registró</v>
      </c>
      <c r="N181" s="359" t="str">
        <f>IFERROR(LOOKUP(2,1/([1]!SABADO[[CEDULA ]]=[1]!Tabla9[[#This Row],[CEDULA ]]),[1]!SABADO[HORA]),"No registró")</f>
        <v>No registró</v>
      </c>
      <c r="O181" s="359" t="str">
        <f>IFERROR(VLOOKUP([1]!Tabla9[[CEDULA ]],[1]!DOMINGO[#Data],5,0),"No registró")</f>
        <v>No registró</v>
      </c>
      <c r="P181" s="359" t="str">
        <f>IFERROR(LOOKUP(2,1/([1]!DOMINGO[[CEDULA ]]=[1]!Tabla9[[#This Row],[CEDULA ]]),[1]!DOMINGO[HORA]),"No registró")</f>
        <v>No registró</v>
      </c>
      <c r="Q181" s="240" t="str">
        <f>IFERROR(VLOOKUP(A181,DATOS[],10,0),"")</f>
        <v>1. COCHE</v>
      </c>
    </row>
    <row r="182" spans="1:17" x14ac:dyDescent="0.25">
      <c r="A182" s="239">
        <v>11921508</v>
      </c>
      <c r="B182" s="239" t="s">
        <v>1159</v>
      </c>
      <c r="C182" s="359">
        <f>IFERROR(VLOOKUP([1]!Tabla9[[CEDULA ]],[1]!LUNES[#Data],5,0),"No registró")</f>
        <v>0.2273263888888889</v>
      </c>
      <c r="D182" s="359">
        <f>IFERROR(LOOKUP(2,1/([1]!LUNES[[CEDULA ]]=[1]!Tabla9[[#This Row],[CEDULA ]]),[1]!LUNES[HORA]),"No registró")</f>
        <v>0.61131944444444442</v>
      </c>
      <c r="E182" s="359">
        <f>IFERROR(VLOOKUP([1]!Tabla9[[CEDULA ]],[1]!MARTES[#Data],5,0),"No registró")</f>
        <v>0.22613425925925926</v>
      </c>
      <c r="F182" s="359">
        <f>IFERROR(LOOKUP(2,1/([1]!MARTES[[CEDULA ]]=[1]!Tabla9[[#This Row],[CEDULA ]]),[1]!MARTES[HORA]),"No Registró")</f>
        <v>0.63168981481481479</v>
      </c>
      <c r="G182" s="359" t="str">
        <f>IFERROR(VLOOKUP([1]!Tabla9[[CEDULA ]],[1]!MIERCOLES[#Data],5,0),"No registró")</f>
        <v>No registró</v>
      </c>
      <c r="H182" s="359" t="str">
        <f>IFERROR(LOOKUP(2,1/([1]!MIERCOLES[[CEDULA ]]=[1]!Tabla9[[#This Row],[CEDULA ]]),[1]!MIERCOLES[HORA]),"No registró")</f>
        <v>No registró</v>
      </c>
      <c r="I182" s="359" t="str">
        <f>IFERROR(VLOOKUP([1]!Tabla9[[CEDULA ]],[1]!JUEVES[#Data],5,0),"No Registró")</f>
        <v>No Registró</v>
      </c>
      <c r="J182" s="359" t="str">
        <f>IFERROR(LOOKUP(2,1/([1]!JUEVES[[CEDULA ]]=[1]!Tabla9[[#This Row],[CEDULA ]]),[1]!JUEVES[HORA]),"No registró")</f>
        <v>No registró</v>
      </c>
      <c r="K182" s="359" t="str">
        <f>IFERROR(VLOOKUP([1]!Tabla9[[CEDULA ]],[1]!VIERNES[#Data],5,0),"No registró")</f>
        <v>No registró</v>
      </c>
      <c r="L182" s="359" t="str">
        <f>IFERROR(LOOKUP(2,1/([1]!VIERNES[[CEDULA ]]=[1]!Tabla9[[#This Row],[CEDULA ]]),[1]!VIERNES[HORA]),"No registró")</f>
        <v>No registró</v>
      </c>
      <c r="M182" s="359" t="str">
        <f>IFERROR(VLOOKUP([1]!Tabla9[[CEDULA ]],[1]!SABADO[#Data],5,0),"No registró")</f>
        <v>No registró</v>
      </c>
      <c r="N182" s="359" t="str">
        <f>IFERROR(LOOKUP(2,1/([1]!SABADO[[CEDULA ]]=[1]!Tabla9[[#This Row],[CEDULA ]]),[1]!SABADO[HORA]),"No registró")</f>
        <v>No registró</v>
      </c>
      <c r="O182" s="359">
        <f>IFERROR(VLOOKUP([1]!Tabla9[[CEDULA ]],[1]!DOMINGO[#Data],5,0),"No registró")</f>
        <v>0.57105324074074071</v>
      </c>
      <c r="P182" s="359">
        <f>IFERROR(LOOKUP(2,1/([1]!DOMINGO[[CEDULA ]]=[1]!Tabla9[[#This Row],[CEDULA ]]),[1]!DOMINGO[HORA]),"No registró")</f>
        <v>0.57120370370370377</v>
      </c>
      <c r="Q182" s="240">
        <f>IFERROR(VLOOKUP(A182,DATOS[],10,0),"")</f>
        <v>0</v>
      </c>
    </row>
    <row r="183" spans="1:17" x14ac:dyDescent="0.25">
      <c r="A183" s="239">
        <v>11922356</v>
      </c>
      <c r="B183" s="239" t="s">
        <v>1160</v>
      </c>
      <c r="C183" s="359">
        <f>IFERROR(VLOOKUP([1]!Tabla9[[CEDULA ]],[1]!LUNES[#Data],5,0),"No registró")</f>
        <v>0.30473379629629632</v>
      </c>
      <c r="D183" s="359">
        <f>IFERROR(LOOKUP(2,1/([1]!LUNES[[CEDULA ]]=[1]!Tabla9[[#This Row],[CEDULA ]]),[1]!LUNES[HORA]),"No registró")</f>
        <v>0.55055555555555558</v>
      </c>
      <c r="E183" s="359">
        <f>IFERROR(VLOOKUP([1]!Tabla9[[CEDULA ]],[1]!MARTES[#Data],5,0),"No registró")</f>
        <v>0.28416666666666668</v>
      </c>
      <c r="F183" s="359">
        <f>IFERROR(LOOKUP(2,1/([1]!MARTES[[CEDULA ]]=[1]!Tabla9[[#This Row],[CEDULA ]]),[1]!MARTES[HORA]),"No Registró")</f>
        <v>0.55565972222222226</v>
      </c>
      <c r="G183" s="359" t="str">
        <f>IFERROR(VLOOKUP([1]!Tabla9[[CEDULA ]],[1]!MIERCOLES[#Data],5,0),"No registró")</f>
        <v>No registró</v>
      </c>
      <c r="H183" s="359" t="str">
        <f>IFERROR(LOOKUP(2,1/([1]!MIERCOLES[[CEDULA ]]=[1]!Tabla9[[#This Row],[CEDULA ]]),[1]!MIERCOLES[HORA]),"No registró")</f>
        <v>No registró</v>
      </c>
      <c r="I183" s="359" t="str">
        <f>IFERROR(VLOOKUP([1]!Tabla9[[CEDULA ]],[1]!JUEVES[#Data],5,0),"No Registró")</f>
        <v>No Registró</v>
      </c>
      <c r="J183" s="359" t="str">
        <f>IFERROR(LOOKUP(2,1/([1]!JUEVES[[CEDULA ]]=[1]!Tabla9[[#This Row],[CEDULA ]]),[1]!JUEVES[HORA]),"No registró")</f>
        <v>No registró</v>
      </c>
      <c r="K183" s="359" t="str">
        <f>IFERROR(VLOOKUP([1]!Tabla9[[CEDULA ]],[1]!VIERNES[#Data],5,0),"No registró")</f>
        <v>No registró</v>
      </c>
      <c r="L183" s="359" t="str">
        <f>IFERROR(LOOKUP(2,1/([1]!VIERNES[[CEDULA ]]=[1]!Tabla9[[#This Row],[CEDULA ]]),[1]!VIERNES[HORA]),"No registró")</f>
        <v>No registró</v>
      </c>
      <c r="M183" s="359" t="str">
        <f>IFERROR(VLOOKUP([1]!Tabla9[[CEDULA ]],[1]!SABADO[#Data],5,0),"No registró")</f>
        <v>No registró</v>
      </c>
      <c r="N183" s="359" t="str">
        <f>IFERROR(LOOKUP(2,1/([1]!SABADO[[CEDULA ]]=[1]!Tabla9[[#This Row],[CEDULA ]]),[1]!SABADO[HORA]),"No registró")</f>
        <v>No registró</v>
      </c>
      <c r="O183" s="359" t="str">
        <f>IFERROR(VLOOKUP([1]!Tabla9[[CEDULA ]],[1]!DOMINGO[#Data],5,0),"No registró")</f>
        <v>No registró</v>
      </c>
      <c r="P183" s="359" t="str">
        <f>IFERROR(LOOKUP(2,1/([1]!DOMINGO[[CEDULA ]]=[1]!Tabla9[[#This Row],[CEDULA ]]),[1]!DOMINGO[HORA]),"No registró")</f>
        <v>No registró</v>
      </c>
      <c r="Q183" s="240">
        <f>IFERROR(VLOOKUP(A183,DATOS[],10,0),"")</f>
        <v>0</v>
      </c>
    </row>
    <row r="184" spans="1:17" x14ac:dyDescent="0.25">
      <c r="A184" s="239">
        <v>11923611</v>
      </c>
      <c r="B184" s="239" t="s">
        <v>1161</v>
      </c>
      <c r="C184" s="359">
        <f>IFERROR(VLOOKUP([1]!Tabla9[[CEDULA ]],[1]!LUNES[#Data],5,0),"No registró")</f>
        <v>0.27783564814814815</v>
      </c>
      <c r="D184" s="359">
        <f>IFERROR(LOOKUP(2,1/([1]!LUNES[[CEDULA ]]=[1]!Tabla9[[#This Row],[CEDULA ]]),[1]!LUNES[HORA]),"No registró")</f>
        <v>0.55744212962962958</v>
      </c>
      <c r="E184" s="359">
        <f>IFERROR(VLOOKUP([1]!Tabla9[[CEDULA ]],[1]!MARTES[#Data],5,0),"No registró")</f>
        <v>0.27790509259259261</v>
      </c>
      <c r="F184" s="359">
        <f>IFERROR(LOOKUP(2,1/([1]!MARTES[[CEDULA ]]=[1]!Tabla9[[#This Row],[CEDULA ]]),[1]!MARTES[HORA]),"No Registró")</f>
        <v>0.53313657407407411</v>
      </c>
      <c r="G184" s="359" t="str">
        <f>IFERROR(VLOOKUP([1]!Tabla9[[CEDULA ]],[1]!MIERCOLES[#Data],5,0),"No registró")</f>
        <v>No registró</v>
      </c>
      <c r="H184" s="359" t="str">
        <f>IFERROR(LOOKUP(2,1/([1]!MIERCOLES[[CEDULA ]]=[1]!Tabla9[[#This Row],[CEDULA ]]),[1]!MIERCOLES[HORA]),"No registró")</f>
        <v>No registró</v>
      </c>
      <c r="I184" s="359" t="str">
        <f>IFERROR(VLOOKUP([1]!Tabla9[[CEDULA ]],[1]!JUEVES[#Data],5,0),"No Registró")</f>
        <v>No Registró</v>
      </c>
      <c r="J184" s="359" t="str">
        <f>IFERROR(LOOKUP(2,1/([1]!JUEVES[[CEDULA ]]=[1]!Tabla9[[#This Row],[CEDULA ]]),[1]!JUEVES[HORA]),"No registró")</f>
        <v>No registró</v>
      </c>
      <c r="K184" s="359" t="str">
        <f>IFERROR(VLOOKUP([1]!Tabla9[[CEDULA ]],[1]!VIERNES[#Data],5,0),"No registró")</f>
        <v>No registró</v>
      </c>
      <c r="L184" s="359" t="str">
        <f>IFERROR(LOOKUP(2,1/([1]!VIERNES[[CEDULA ]]=[1]!Tabla9[[#This Row],[CEDULA ]]),[1]!VIERNES[HORA]),"No registró")</f>
        <v>No registró</v>
      </c>
      <c r="M184" s="359" t="str">
        <f>IFERROR(VLOOKUP([1]!Tabla9[[CEDULA ]],[1]!SABADO[#Data],5,0),"No registró")</f>
        <v>No registró</v>
      </c>
      <c r="N184" s="359" t="str">
        <f>IFERROR(LOOKUP(2,1/([1]!SABADO[[CEDULA ]]=[1]!Tabla9[[#This Row],[CEDULA ]]),[1]!SABADO[HORA]),"No registró")</f>
        <v>No registró</v>
      </c>
      <c r="O184" s="359" t="str">
        <f>IFERROR(VLOOKUP([1]!Tabla9[[CEDULA ]],[1]!DOMINGO[#Data],5,0),"No registró")</f>
        <v>No registró</v>
      </c>
      <c r="P184" s="359" t="str">
        <f>IFERROR(LOOKUP(2,1/([1]!DOMINGO[[CEDULA ]]=[1]!Tabla9[[#This Row],[CEDULA ]]),[1]!DOMINGO[HORA]),"No registró")</f>
        <v>No registró</v>
      </c>
      <c r="Q184" s="240" t="str">
        <f>IFERROR(VLOOKUP(A184,DATOS[],10,0),"")</f>
        <v>1. COCHE</v>
      </c>
    </row>
    <row r="185" spans="1:17" x14ac:dyDescent="0.25">
      <c r="A185" s="239">
        <v>11925476</v>
      </c>
      <c r="B185" s="239" t="s">
        <v>1162</v>
      </c>
      <c r="C185" s="359">
        <f>IFERROR(VLOOKUP([1]!Tabla9[[CEDULA ]],[1]!LUNES[#Data],5,0),"No registró")</f>
        <v>0.28039351851851851</v>
      </c>
      <c r="D185" s="359">
        <f>IFERROR(LOOKUP(2,1/([1]!LUNES[[CEDULA ]]=[1]!Tabla9[[#This Row],[CEDULA ]]),[1]!LUNES[HORA]),"No registró")</f>
        <v>0.55403935185185182</v>
      </c>
      <c r="E185" s="359">
        <f>IFERROR(VLOOKUP([1]!Tabla9[[CEDULA ]],[1]!MARTES[#Data],5,0),"No registró")</f>
        <v>0.28704861111111107</v>
      </c>
      <c r="F185" s="359">
        <f>IFERROR(LOOKUP(2,1/([1]!MARTES[[CEDULA ]]=[1]!Tabla9[[#This Row],[CEDULA ]]),[1]!MARTES[HORA]),"No Registró")</f>
        <v>0.55311342592592594</v>
      </c>
      <c r="G185" s="359" t="str">
        <f>IFERROR(VLOOKUP([1]!Tabla9[[CEDULA ]],[1]!MIERCOLES[#Data],5,0),"No registró")</f>
        <v>No registró</v>
      </c>
      <c r="H185" s="359" t="str">
        <f>IFERROR(LOOKUP(2,1/([1]!MIERCOLES[[CEDULA ]]=[1]!Tabla9[[#This Row],[CEDULA ]]),[1]!MIERCOLES[HORA]),"No registró")</f>
        <v>No registró</v>
      </c>
      <c r="I185" s="359" t="str">
        <f>IFERROR(VLOOKUP([1]!Tabla9[[CEDULA ]],[1]!JUEVES[#Data],5,0),"No Registró")</f>
        <v>No Registró</v>
      </c>
      <c r="J185" s="359" t="str">
        <f>IFERROR(LOOKUP(2,1/([1]!JUEVES[[CEDULA ]]=[1]!Tabla9[[#This Row],[CEDULA ]]),[1]!JUEVES[HORA]),"No registró")</f>
        <v>No registró</v>
      </c>
      <c r="K185" s="359" t="str">
        <f>IFERROR(VLOOKUP([1]!Tabla9[[CEDULA ]],[1]!VIERNES[#Data],5,0),"No registró")</f>
        <v>No registró</v>
      </c>
      <c r="L185" s="359" t="str">
        <f>IFERROR(LOOKUP(2,1/([1]!VIERNES[[CEDULA ]]=[1]!Tabla9[[#This Row],[CEDULA ]]),[1]!VIERNES[HORA]),"No registró")</f>
        <v>No registró</v>
      </c>
      <c r="M185" s="359" t="str">
        <f>IFERROR(VLOOKUP([1]!Tabla9[[CEDULA ]],[1]!SABADO[#Data],5,0),"No registró")</f>
        <v>No registró</v>
      </c>
      <c r="N185" s="359" t="str">
        <f>IFERROR(LOOKUP(2,1/([1]!SABADO[[CEDULA ]]=[1]!Tabla9[[#This Row],[CEDULA ]]),[1]!SABADO[HORA]),"No registró")</f>
        <v>No registró</v>
      </c>
      <c r="O185" s="359" t="str">
        <f>IFERROR(VLOOKUP([1]!Tabla9[[CEDULA ]],[1]!DOMINGO[#Data],5,0),"No registró")</f>
        <v>No registró</v>
      </c>
      <c r="P185" s="359" t="str">
        <f>IFERROR(LOOKUP(2,1/([1]!DOMINGO[[CEDULA ]]=[1]!Tabla9[[#This Row],[CEDULA ]]),[1]!DOMINGO[HORA]),"No registró")</f>
        <v>No registró</v>
      </c>
      <c r="Q185" s="240" t="str">
        <f>IFERROR(VLOOKUP(A185,DATOS[],10,0),"")</f>
        <v>2. CATIA</v>
      </c>
    </row>
    <row r="186" spans="1:17" x14ac:dyDescent="0.25">
      <c r="A186" s="239">
        <v>11930868</v>
      </c>
      <c r="B186" s="239" t="s">
        <v>1163</v>
      </c>
      <c r="C186" s="359">
        <f>IFERROR(VLOOKUP([1]!Tabla9[[CEDULA ]],[1]!LUNES[#Data],5,0),"No registró")</f>
        <v>0.28173611111111113</v>
      </c>
      <c r="D186" s="359">
        <f>IFERROR(LOOKUP(2,1/([1]!LUNES[[CEDULA ]]=[1]!Tabla9[[#This Row],[CEDULA ]]),[1]!LUNES[HORA]),"No registró")</f>
        <v>0.54744212962962957</v>
      </c>
      <c r="E186" s="359">
        <f>IFERROR(VLOOKUP([1]!Tabla9[[CEDULA ]],[1]!MARTES[#Data],5,0),"No registró")</f>
        <v>0.28773148148148148</v>
      </c>
      <c r="F186" s="359">
        <f>IFERROR(LOOKUP(2,1/([1]!MARTES[[CEDULA ]]=[1]!Tabla9[[#This Row],[CEDULA ]]),[1]!MARTES[HORA]),"No Registró")</f>
        <v>0.54450231481481481</v>
      </c>
      <c r="G186" s="359" t="str">
        <f>IFERROR(VLOOKUP([1]!Tabla9[[CEDULA ]],[1]!MIERCOLES[#Data],5,0),"No registró")</f>
        <v>No registró</v>
      </c>
      <c r="H186" s="359" t="str">
        <f>IFERROR(LOOKUP(2,1/([1]!MIERCOLES[[CEDULA ]]=[1]!Tabla9[[#This Row],[CEDULA ]]),[1]!MIERCOLES[HORA]),"No registró")</f>
        <v>No registró</v>
      </c>
      <c r="I186" s="359" t="str">
        <f>IFERROR(VLOOKUP([1]!Tabla9[[CEDULA ]],[1]!JUEVES[#Data],5,0),"No Registró")</f>
        <v>No Registró</v>
      </c>
      <c r="J186" s="359" t="str">
        <f>IFERROR(LOOKUP(2,1/([1]!JUEVES[[CEDULA ]]=[1]!Tabla9[[#This Row],[CEDULA ]]),[1]!JUEVES[HORA]),"No registró")</f>
        <v>No registró</v>
      </c>
      <c r="K186" s="359" t="str">
        <f>IFERROR(VLOOKUP([1]!Tabla9[[CEDULA ]],[1]!VIERNES[#Data],5,0),"No registró")</f>
        <v>No registró</v>
      </c>
      <c r="L186" s="359" t="str">
        <f>IFERROR(LOOKUP(2,1/([1]!VIERNES[[CEDULA ]]=[1]!Tabla9[[#This Row],[CEDULA ]]),[1]!VIERNES[HORA]),"No registró")</f>
        <v>No registró</v>
      </c>
      <c r="M186" s="359" t="str">
        <f>IFERROR(VLOOKUP([1]!Tabla9[[CEDULA ]],[1]!SABADO[#Data],5,0),"No registró")</f>
        <v>No registró</v>
      </c>
      <c r="N186" s="359" t="str">
        <f>IFERROR(LOOKUP(2,1/([1]!SABADO[[CEDULA ]]=[1]!Tabla9[[#This Row],[CEDULA ]]),[1]!SABADO[HORA]),"No registró")</f>
        <v>No registró</v>
      </c>
      <c r="O186" s="359" t="str">
        <f>IFERROR(VLOOKUP([1]!Tabla9[[CEDULA ]],[1]!DOMINGO[#Data],5,0),"No registró")</f>
        <v>No registró</v>
      </c>
      <c r="P186" s="359" t="str">
        <f>IFERROR(LOOKUP(2,1/([1]!DOMINGO[[CEDULA ]]=[1]!Tabla9[[#This Row],[CEDULA ]]),[1]!DOMINGO[HORA]),"No registró")</f>
        <v>No registró</v>
      </c>
      <c r="Q186" s="240" t="str">
        <f>IFERROR(VLOOKUP(A186,DATOS[],10,0),"")</f>
        <v>2. CATIA</v>
      </c>
    </row>
    <row r="187" spans="1:17" x14ac:dyDescent="0.25">
      <c r="A187" s="239">
        <v>11944937</v>
      </c>
      <c r="B187" s="239" t="s">
        <v>1164</v>
      </c>
      <c r="C187" s="359">
        <f>IFERROR(VLOOKUP([1]!Tabla9[[CEDULA ]],[1]!LUNES[#Data],5,0),"No registró")</f>
        <v>0.21895833333333334</v>
      </c>
      <c r="D187" s="359">
        <f>IFERROR(LOOKUP(2,1/([1]!LUNES[[CEDULA ]]=[1]!Tabla9[[#This Row],[CEDULA ]]),[1]!LUNES[HORA]),"No registró")</f>
        <v>0.76950231481481479</v>
      </c>
      <c r="E187" s="359">
        <f>IFERROR(VLOOKUP([1]!Tabla9[[CEDULA ]],[1]!MARTES[#Data],5,0),"No registró")</f>
        <v>0.23333333333333331</v>
      </c>
      <c r="F187" s="359">
        <f>IFERROR(LOOKUP(2,1/([1]!MARTES[[CEDULA ]]=[1]!Tabla9[[#This Row],[CEDULA ]]),[1]!MARTES[HORA]),"No Registró")</f>
        <v>0.63422453703703707</v>
      </c>
      <c r="G187" s="359" t="str">
        <f>IFERROR(VLOOKUP([1]!Tabla9[[CEDULA ]],[1]!MIERCOLES[#Data],5,0),"No registró")</f>
        <v>No registró</v>
      </c>
      <c r="H187" s="359" t="str">
        <f>IFERROR(LOOKUP(2,1/([1]!MIERCOLES[[CEDULA ]]=[1]!Tabla9[[#This Row],[CEDULA ]]),[1]!MIERCOLES[HORA]),"No registró")</f>
        <v>No registró</v>
      </c>
      <c r="I187" s="359" t="str">
        <f>IFERROR(VLOOKUP([1]!Tabla9[[CEDULA ]],[1]!JUEVES[#Data],5,0),"No Registró")</f>
        <v>No Registró</v>
      </c>
      <c r="J187" s="359" t="str">
        <f>IFERROR(LOOKUP(2,1/([1]!JUEVES[[CEDULA ]]=[1]!Tabla9[[#This Row],[CEDULA ]]),[1]!JUEVES[HORA]),"No registró")</f>
        <v>No registró</v>
      </c>
      <c r="K187" s="359" t="str">
        <f>IFERROR(VLOOKUP([1]!Tabla9[[CEDULA ]],[1]!VIERNES[#Data],5,0),"No registró")</f>
        <v>No registró</v>
      </c>
      <c r="L187" s="359" t="str">
        <f>IFERROR(LOOKUP(2,1/([1]!VIERNES[[CEDULA ]]=[1]!Tabla9[[#This Row],[CEDULA ]]),[1]!VIERNES[HORA]),"No registró")</f>
        <v>No registró</v>
      </c>
      <c r="M187" s="359" t="str">
        <f>IFERROR(VLOOKUP([1]!Tabla9[[CEDULA ]],[1]!SABADO[#Data],5,0),"No registró")</f>
        <v>No registró</v>
      </c>
      <c r="N187" s="359" t="str">
        <f>IFERROR(LOOKUP(2,1/([1]!SABADO[[CEDULA ]]=[1]!Tabla9[[#This Row],[CEDULA ]]),[1]!SABADO[HORA]),"No registró")</f>
        <v>No registró</v>
      </c>
      <c r="O187" s="359" t="str">
        <f>IFERROR(VLOOKUP([1]!Tabla9[[CEDULA ]],[1]!DOMINGO[#Data],5,0),"No registró")</f>
        <v>No registró</v>
      </c>
      <c r="P187" s="359" t="str">
        <f>IFERROR(LOOKUP(2,1/([1]!DOMINGO[[CEDULA ]]=[1]!Tabla9[[#This Row],[CEDULA ]]),[1]!DOMINGO[HORA]),"No registró")</f>
        <v>No registró</v>
      </c>
      <c r="Q187" s="240" t="str">
        <f>IFERROR(VLOOKUP(A187,DATOS[],10,0),"")</f>
        <v>1. COCHE</v>
      </c>
    </row>
    <row r="188" spans="1:17" x14ac:dyDescent="0.25">
      <c r="A188" s="239">
        <v>11994298</v>
      </c>
      <c r="B188" s="239" t="s">
        <v>1165</v>
      </c>
      <c r="C188" s="359">
        <f>IFERROR(VLOOKUP([1]!Tabla9[[CEDULA ]],[1]!LUNES[#Data],5,0),"No registró")</f>
        <v>0.28013888888888888</v>
      </c>
      <c r="D188" s="359">
        <f>IFERROR(LOOKUP(2,1/([1]!LUNES[[CEDULA ]]=[1]!Tabla9[[#This Row],[CEDULA ]]),[1]!LUNES[HORA]),"No registró")</f>
        <v>0.55945601851851856</v>
      </c>
      <c r="E188" s="359">
        <f>IFERROR(VLOOKUP([1]!Tabla9[[CEDULA ]],[1]!MARTES[#Data],5,0),"No registró")</f>
        <v>0.28313657407407405</v>
      </c>
      <c r="F188" s="359">
        <f>IFERROR(LOOKUP(2,1/([1]!MARTES[[CEDULA ]]=[1]!Tabla9[[#This Row],[CEDULA ]]),[1]!MARTES[HORA]),"No Registró")</f>
        <v>0.55528935185185191</v>
      </c>
      <c r="G188" s="359" t="str">
        <f>IFERROR(VLOOKUP([1]!Tabla9[[CEDULA ]],[1]!MIERCOLES[#Data],5,0),"No registró")</f>
        <v>No registró</v>
      </c>
      <c r="H188" s="359" t="str">
        <f>IFERROR(LOOKUP(2,1/([1]!MIERCOLES[[CEDULA ]]=[1]!Tabla9[[#This Row],[CEDULA ]]),[1]!MIERCOLES[HORA]),"No registró")</f>
        <v>No registró</v>
      </c>
      <c r="I188" s="359" t="str">
        <f>IFERROR(VLOOKUP([1]!Tabla9[[CEDULA ]],[1]!JUEVES[#Data],5,0),"No Registró")</f>
        <v>No Registró</v>
      </c>
      <c r="J188" s="359" t="str">
        <f>IFERROR(LOOKUP(2,1/([1]!JUEVES[[CEDULA ]]=[1]!Tabla9[[#This Row],[CEDULA ]]),[1]!JUEVES[HORA]),"No registró")</f>
        <v>No registró</v>
      </c>
      <c r="K188" s="359" t="str">
        <f>IFERROR(VLOOKUP([1]!Tabla9[[CEDULA ]],[1]!VIERNES[#Data],5,0),"No registró")</f>
        <v>No registró</v>
      </c>
      <c r="L188" s="359" t="str">
        <f>IFERROR(LOOKUP(2,1/([1]!VIERNES[[CEDULA ]]=[1]!Tabla9[[#This Row],[CEDULA ]]),[1]!VIERNES[HORA]),"No registró")</f>
        <v>No registró</v>
      </c>
      <c r="M188" s="359" t="str">
        <f>IFERROR(VLOOKUP([1]!Tabla9[[CEDULA ]],[1]!SABADO[#Data],5,0),"No registró")</f>
        <v>No registró</v>
      </c>
      <c r="N188" s="359" t="str">
        <f>IFERROR(LOOKUP(2,1/([1]!SABADO[[CEDULA ]]=[1]!Tabla9[[#This Row],[CEDULA ]]),[1]!SABADO[HORA]),"No registró")</f>
        <v>No registró</v>
      </c>
      <c r="O188" s="359" t="str">
        <f>IFERROR(VLOOKUP([1]!Tabla9[[CEDULA ]],[1]!DOMINGO[#Data],5,0),"No registró")</f>
        <v>No registró</v>
      </c>
      <c r="P188" s="359" t="str">
        <f>IFERROR(LOOKUP(2,1/([1]!DOMINGO[[CEDULA ]]=[1]!Tabla9[[#This Row],[CEDULA ]]),[1]!DOMINGO[HORA]),"No registró")</f>
        <v>No registró</v>
      </c>
      <c r="Q188" s="240">
        <f>IFERROR(VLOOKUP(A188,DATOS[],10,0),"")</f>
        <v>0</v>
      </c>
    </row>
    <row r="189" spans="1:17" x14ac:dyDescent="0.25">
      <c r="A189" s="239">
        <v>11994919</v>
      </c>
      <c r="B189" s="239" t="s">
        <v>1166</v>
      </c>
      <c r="C189" s="359">
        <f>IFERROR(VLOOKUP([1]!Tabla9[[CEDULA ]],[1]!LUNES[#Data],5,0),"No registró")</f>
        <v>0.29689814814814813</v>
      </c>
      <c r="D189" s="359">
        <f>IFERROR(LOOKUP(2,1/([1]!LUNES[[CEDULA ]]=[1]!Tabla9[[#This Row],[CEDULA ]]),[1]!LUNES[HORA]),"No registró")</f>
        <v>0.52614583333333331</v>
      </c>
      <c r="E189" s="359">
        <f>IFERROR(VLOOKUP([1]!Tabla9[[CEDULA ]],[1]!MARTES[#Data],5,0),"No registró")</f>
        <v>0.28563657407407406</v>
      </c>
      <c r="F189" s="360" t="s">
        <v>988</v>
      </c>
      <c r="G189" s="359" t="str">
        <f>IFERROR(VLOOKUP([1]!Tabla9[[CEDULA ]],[1]!MIERCOLES[#Data],5,0),"No registró")</f>
        <v>No registró</v>
      </c>
      <c r="H189" s="359" t="str">
        <f>IFERROR(LOOKUP(2,1/([1]!MIERCOLES[[CEDULA ]]=[1]!Tabla9[[#This Row],[CEDULA ]]),[1]!MIERCOLES[HORA]),"No registró")</f>
        <v>No registró</v>
      </c>
      <c r="I189" s="359" t="str">
        <f>IFERROR(VLOOKUP([1]!Tabla9[[CEDULA ]],[1]!JUEVES[#Data],5,0),"No Registró")</f>
        <v>No Registró</v>
      </c>
      <c r="J189" s="359" t="str">
        <f>IFERROR(LOOKUP(2,1/([1]!JUEVES[[CEDULA ]]=[1]!Tabla9[[#This Row],[CEDULA ]]),[1]!JUEVES[HORA]),"No registró")</f>
        <v>No registró</v>
      </c>
      <c r="K189" s="359">
        <f>IFERROR(VLOOKUP([1]!Tabla9[[CEDULA ]],[1]!VIERNES[#Data],5,0),"No registró")</f>
        <v>0.32489583333333333</v>
      </c>
      <c r="L189" s="360" t="s">
        <v>989</v>
      </c>
      <c r="M189" s="359">
        <f>IFERROR(VLOOKUP([1]!Tabla9[[CEDULA ]],[1]!SABADO[#Data],5,0),"No registró")</f>
        <v>0.29494212962962962</v>
      </c>
      <c r="N189" s="360" t="s">
        <v>989</v>
      </c>
      <c r="O189" s="359" t="str">
        <f>IFERROR(VLOOKUP([1]!Tabla9[[CEDULA ]],[1]!DOMINGO[#Data],5,0),"No registró")</f>
        <v>No registró</v>
      </c>
      <c r="P189" s="359" t="str">
        <f>IFERROR(LOOKUP(2,1/([1]!DOMINGO[[CEDULA ]]=[1]!Tabla9[[#This Row],[CEDULA ]]),[1]!DOMINGO[HORA]),"No registró")</f>
        <v>No registró</v>
      </c>
      <c r="Q189" s="240" t="str">
        <f>IFERROR(VLOOKUP(A189,DATOS[],10,0),"")</f>
        <v>2. CATIA</v>
      </c>
    </row>
    <row r="190" spans="1:17" x14ac:dyDescent="0.25">
      <c r="A190" s="239">
        <v>12054201</v>
      </c>
      <c r="B190" s="239" t="s">
        <v>1167</v>
      </c>
      <c r="C190" s="359">
        <f>IFERROR(VLOOKUP([1]!Tabla9[[CEDULA ]],[1]!LUNES[#Data],5,0),"No registró")</f>
        <v>0.28084490740740742</v>
      </c>
      <c r="D190" s="359">
        <f>IFERROR(LOOKUP(2,1/([1]!LUNES[[CEDULA ]]=[1]!Tabla9[[#This Row],[CEDULA ]]),[1]!LUNES[HORA]),"No registró")</f>
        <v>0.55961805555555555</v>
      </c>
      <c r="E190" s="359">
        <f>IFERROR(VLOOKUP([1]!Tabla9[[CEDULA ]],[1]!MARTES[#Data],5,0),"No registró")</f>
        <v>0.28694444444444445</v>
      </c>
      <c r="F190" s="359">
        <f>IFERROR(LOOKUP(2,1/([1]!MARTES[[CEDULA ]]=[1]!Tabla9[[#This Row],[CEDULA ]]),[1]!MARTES[HORA]),"No Registró")</f>
        <v>0.55284722222222216</v>
      </c>
      <c r="G190" s="359" t="str">
        <f>IFERROR(VLOOKUP([1]!Tabla9[[CEDULA ]],[1]!MIERCOLES[#Data],5,0),"No registró")</f>
        <v>No registró</v>
      </c>
      <c r="H190" s="359" t="str">
        <f>IFERROR(LOOKUP(2,1/([1]!MIERCOLES[[CEDULA ]]=[1]!Tabla9[[#This Row],[CEDULA ]]),[1]!MIERCOLES[HORA]),"No registró")</f>
        <v>No registró</v>
      </c>
      <c r="I190" s="359" t="str">
        <f>IFERROR(VLOOKUP([1]!Tabla9[[CEDULA ]],[1]!JUEVES[#Data],5,0),"No Registró")</f>
        <v>No Registró</v>
      </c>
      <c r="J190" s="359" t="str">
        <f>IFERROR(LOOKUP(2,1/([1]!JUEVES[[CEDULA ]]=[1]!Tabla9[[#This Row],[CEDULA ]]),[1]!JUEVES[HORA]),"No registró")</f>
        <v>No registró</v>
      </c>
      <c r="K190" s="359" t="str">
        <f>IFERROR(VLOOKUP([1]!Tabla9[[CEDULA ]],[1]!VIERNES[#Data],5,0),"No registró")</f>
        <v>No registró</v>
      </c>
      <c r="L190" s="359" t="str">
        <f>IFERROR(LOOKUP(2,1/([1]!VIERNES[[CEDULA ]]=[1]!Tabla9[[#This Row],[CEDULA ]]),[1]!VIERNES[HORA]),"No registró")</f>
        <v>No registró</v>
      </c>
      <c r="M190" s="359" t="str">
        <f>IFERROR(VLOOKUP([1]!Tabla9[[CEDULA ]],[1]!SABADO[#Data],5,0),"No registró")</f>
        <v>No registró</v>
      </c>
      <c r="N190" s="359" t="str">
        <f>IFERROR(LOOKUP(2,1/([1]!SABADO[[CEDULA ]]=[1]!Tabla9[[#This Row],[CEDULA ]]),[1]!SABADO[HORA]),"No registró")</f>
        <v>No registró</v>
      </c>
      <c r="O190" s="359" t="str">
        <f>IFERROR(VLOOKUP([1]!Tabla9[[CEDULA ]],[1]!DOMINGO[#Data],5,0),"No registró")</f>
        <v>No registró</v>
      </c>
      <c r="P190" s="359" t="str">
        <f>IFERROR(LOOKUP(2,1/([1]!DOMINGO[[CEDULA ]]=[1]!Tabla9[[#This Row],[CEDULA ]]),[1]!DOMINGO[HORA]),"No registró")</f>
        <v>No registró</v>
      </c>
      <c r="Q190" s="240">
        <f>IFERROR(VLOOKUP(A190,DATOS[],10,0),"")</f>
        <v>0</v>
      </c>
    </row>
    <row r="191" spans="1:17" x14ac:dyDescent="0.25">
      <c r="A191" s="239">
        <v>12111014</v>
      </c>
      <c r="B191" s="239" t="s">
        <v>1168</v>
      </c>
      <c r="C191" s="359">
        <f>IFERROR(VLOOKUP([1]!Tabla9[[CEDULA ]],[1]!LUNES[#Data],5,0),"No registró")</f>
        <v>0.34612268518518513</v>
      </c>
      <c r="D191" s="359">
        <f>IFERROR(LOOKUP(2,1/([1]!LUNES[[CEDULA ]]=[1]!Tabla9[[#This Row],[CEDULA ]]),[1]!LUNES[HORA]),"No registró")</f>
        <v>0.55795138888888884</v>
      </c>
      <c r="E191" s="359">
        <f>IFERROR(VLOOKUP([1]!Tabla9[[CEDULA ]],[1]!MARTES[#Data],5,0),"No registró")</f>
        <v>0.35973379629629632</v>
      </c>
      <c r="F191" s="359">
        <f>IFERROR(LOOKUP(2,1/([1]!MARTES[[CEDULA ]]=[1]!Tabla9[[#This Row],[CEDULA ]]),[1]!MARTES[HORA]),"No Registró")</f>
        <v>0.56055555555555558</v>
      </c>
      <c r="G191" s="359" t="str">
        <f>IFERROR(VLOOKUP([1]!Tabla9[[CEDULA ]],[1]!MIERCOLES[#Data],5,0),"No registró")</f>
        <v>No registró</v>
      </c>
      <c r="H191" s="359" t="str">
        <f>IFERROR(LOOKUP(2,1/([1]!MIERCOLES[[CEDULA ]]=[1]!Tabla9[[#This Row],[CEDULA ]]),[1]!MIERCOLES[HORA]),"No registró")</f>
        <v>No registró</v>
      </c>
      <c r="I191" s="359" t="str">
        <f>IFERROR(VLOOKUP([1]!Tabla9[[CEDULA ]],[1]!JUEVES[#Data],5,0),"No Registró")</f>
        <v>No Registró</v>
      </c>
      <c r="J191" s="359" t="str">
        <f>IFERROR(LOOKUP(2,1/([1]!JUEVES[[CEDULA ]]=[1]!Tabla9[[#This Row],[CEDULA ]]),[1]!JUEVES[HORA]),"No registró")</f>
        <v>No registró</v>
      </c>
      <c r="K191" s="359" t="str">
        <f>IFERROR(VLOOKUP([1]!Tabla9[[CEDULA ]],[1]!VIERNES[#Data],5,0),"No registró")</f>
        <v>No registró</v>
      </c>
      <c r="L191" s="359" t="str">
        <f>IFERROR(LOOKUP(2,1/([1]!VIERNES[[CEDULA ]]=[1]!Tabla9[[#This Row],[CEDULA ]]),[1]!VIERNES[HORA]),"No registró")</f>
        <v>No registró</v>
      </c>
      <c r="M191" s="359" t="str">
        <f>IFERROR(VLOOKUP([1]!Tabla9[[CEDULA ]],[1]!SABADO[#Data],5,0),"No registró")</f>
        <v>No registró</v>
      </c>
      <c r="N191" s="359" t="str">
        <f>IFERROR(LOOKUP(2,1/([1]!SABADO[[CEDULA ]]=[1]!Tabla9[[#This Row],[CEDULA ]]),[1]!SABADO[HORA]),"No registró")</f>
        <v>No registró</v>
      </c>
      <c r="O191" s="359" t="str">
        <f>IFERROR(VLOOKUP([1]!Tabla9[[CEDULA ]],[1]!DOMINGO[#Data],5,0),"No registró")</f>
        <v>No registró</v>
      </c>
      <c r="P191" s="359" t="str">
        <f>IFERROR(LOOKUP(2,1/([1]!DOMINGO[[CEDULA ]]=[1]!Tabla9[[#This Row],[CEDULA ]]),[1]!DOMINGO[HORA]),"No registró")</f>
        <v>No registró</v>
      </c>
      <c r="Q191" s="240">
        <f>IFERROR(VLOOKUP(A191,DATOS[],10,0),"")</f>
        <v>0</v>
      </c>
    </row>
    <row r="192" spans="1:17" x14ac:dyDescent="0.25">
      <c r="A192" s="239">
        <v>12259612</v>
      </c>
      <c r="B192" s="239" t="s">
        <v>1169</v>
      </c>
      <c r="C192" s="359">
        <f>IFERROR(VLOOKUP([1]!Tabla9[[CEDULA ]],[1]!LUNES[#Data],5,0),"No registró")</f>
        <v>0.2930787037037037</v>
      </c>
      <c r="D192" s="359">
        <f>IFERROR(LOOKUP(2,1/([1]!LUNES[[CEDULA ]]=[1]!Tabla9[[#This Row],[CEDULA ]]),[1]!LUNES[HORA]),"No registró")</f>
        <v>0.63177083333333328</v>
      </c>
      <c r="E192" s="359">
        <f>IFERROR(VLOOKUP([1]!Tabla9[[CEDULA ]],[1]!MARTES[#Data],5,0),"No registró")</f>
        <v>0.28828703703703701</v>
      </c>
      <c r="F192" s="359">
        <f>IFERROR(LOOKUP(2,1/([1]!MARTES[[CEDULA ]]=[1]!Tabla9[[#This Row],[CEDULA ]]),[1]!MARTES[HORA]),"No Registró")</f>
        <v>0.54591435185185189</v>
      </c>
      <c r="G192" s="359" t="str">
        <f>IFERROR(VLOOKUP([1]!Tabla9[[CEDULA ]],[1]!MIERCOLES[#Data],5,0),"No registró")</f>
        <v>No registró</v>
      </c>
      <c r="H192" s="359" t="str">
        <f>IFERROR(LOOKUP(2,1/([1]!MIERCOLES[[CEDULA ]]=[1]!Tabla9[[#This Row],[CEDULA ]]),[1]!MIERCOLES[HORA]),"No registró")</f>
        <v>No registró</v>
      </c>
      <c r="I192" s="359" t="str">
        <f>IFERROR(VLOOKUP([1]!Tabla9[[CEDULA ]],[1]!JUEVES[#Data],5,0),"No Registró")</f>
        <v>No Registró</v>
      </c>
      <c r="J192" s="359" t="str">
        <f>IFERROR(LOOKUP(2,1/([1]!JUEVES[[CEDULA ]]=[1]!Tabla9[[#This Row],[CEDULA ]]),[1]!JUEVES[HORA]),"No registró")</f>
        <v>No registró</v>
      </c>
      <c r="K192" s="359" t="str">
        <f>IFERROR(VLOOKUP([1]!Tabla9[[CEDULA ]],[1]!VIERNES[#Data],5,0),"No registró")</f>
        <v>No registró</v>
      </c>
      <c r="L192" s="359" t="str">
        <f>IFERROR(LOOKUP(2,1/([1]!VIERNES[[CEDULA ]]=[1]!Tabla9[[#This Row],[CEDULA ]]),[1]!VIERNES[HORA]),"No registró")</f>
        <v>No registró</v>
      </c>
      <c r="M192" s="359" t="str">
        <f>IFERROR(VLOOKUP([1]!Tabla9[[CEDULA ]],[1]!SABADO[#Data],5,0),"No registró")</f>
        <v>No registró</v>
      </c>
      <c r="N192" s="359" t="str">
        <f>IFERROR(LOOKUP(2,1/([1]!SABADO[[CEDULA ]]=[1]!Tabla9[[#This Row],[CEDULA ]]),[1]!SABADO[HORA]),"No registró")</f>
        <v>No registró</v>
      </c>
      <c r="O192" s="359" t="str">
        <f>IFERROR(VLOOKUP([1]!Tabla9[[CEDULA ]],[1]!DOMINGO[#Data],5,0),"No registró")</f>
        <v>No registró</v>
      </c>
      <c r="P192" s="359" t="str">
        <f>IFERROR(LOOKUP(2,1/([1]!DOMINGO[[CEDULA ]]=[1]!Tabla9[[#This Row],[CEDULA ]]),[1]!DOMINGO[HORA]),"No registró")</f>
        <v>No registró</v>
      </c>
      <c r="Q192" s="240">
        <f>IFERROR(VLOOKUP(A192,DATOS[],10,0),"")</f>
        <v>0</v>
      </c>
    </row>
    <row r="193" spans="1:17" x14ac:dyDescent="0.25">
      <c r="A193" s="239">
        <v>12281806</v>
      </c>
      <c r="B193" s="239" t="s">
        <v>1170</v>
      </c>
      <c r="C193" s="359">
        <f>IFERROR(VLOOKUP([1]!Tabla9[[CEDULA ]],[1]!LUNES[#Data],5,0),"No registró")</f>
        <v>0.28412037037037036</v>
      </c>
      <c r="D193" s="359">
        <f>IFERROR(LOOKUP(2,1/([1]!LUNES[[CEDULA ]]=[1]!Tabla9[[#This Row],[CEDULA ]]),[1]!LUNES[HORA]),"No registró")</f>
        <v>0.52759259259259261</v>
      </c>
      <c r="E193" s="359">
        <f>IFERROR(VLOOKUP([1]!Tabla9[[CEDULA ]],[1]!MARTES[#Data],5,0),"No registró")</f>
        <v>0.28516203703703707</v>
      </c>
      <c r="F193" s="359">
        <f>IFERROR(LOOKUP(2,1/([1]!MARTES[[CEDULA ]]=[1]!Tabla9[[#This Row],[CEDULA ]]),[1]!MARTES[HORA]),"No Registró")</f>
        <v>0.45785879629629633</v>
      </c>
      <c r="G193" s="359" t="str">
        <f>IFERROR(VLOOKUP([1]!Tabla9[[CEDULA ]],[1]!MIERCOLES[#Data],5,0),"No registró")</f>
        <v>No registró</v>
      </c>
      <c r="H193" s="359" t="str">
        <f>IFERROR(LOOKUP(2,1/([1]!MIERCOLES[[CEDULA ]]=[1]!Tabla9[[#This Row],[CEDULA ]]),[1]!MIERCOLES[HORA]),"No registró")</f>
        <v>No registró</v>
      </c>
      <c r="I193" s="359" t="str">
        <f>IFERROR(VLOOKUP([1]!Tabla9[[CEDULA ]],[1]!JUEVES[#Data],5,0),"No Registró")</f>
        <v>No Registró</v>
      </c>
      <c r="J193" s="359" t="str">
        <f>IFERROR(LOOKUP(2,1/([1]!JUEVES[[CEDULA ]]=[1]!Tabla9[[#This Row],[CEDULA ]]),[1]!JUEVES[HORA]),"No registró")</f>
        <v>No registró</v>
      </c>
      <c r="K193" s="359" t="str">
        <f>IFERROR(VLOOKUP([1]!Tabla9[[CEDULA ]],[1]!VIERNES[#Data],5,0),"No registró")</f>
        <v>No registró</v>
      </c>
      <c r="L193" s="359" t="str">
        <f>IFERROR(LOOKUP(2,1/([1]!VIERNES[[CEDULA ]]=[1]!Tabla9[[#This Row],[CEDULA ]]),[1]!VIERNES[HORA]),"No registró")</f>
        <v>No registró</v>
      </c>
      <c r="M193" s="359" t="str">
        <f>IFERROR(VLOOKUP([1]!Tabla9[[CEDULA ]],[1]!SABADO[#Data],5,0),"No registró")</f>
        <v>No registró</v>
      </c>
      <c r="N193" s="359" t="str">
        <f>IFERROR(LOOKUP(2,1/([1]!SABADO[[CEDULA ]]=[1]!Tabla9[[#This Row],[CEDULA ]]),[1]!SABADO[HORA]),"No registró")</f>
        <v>No registró</v>
      </c>
      <c r="O193" s="359" t="str">
        <f>IFERROR(VLOOKUP([1]!Tabla9[[CEDULA ]],[1]!DOMINGO[#Data],5,0),"No registró")</f>
        <v>No registró</v>
      </c>
      <c r="P193" s="359" t="str">
        <f>IFERROR(LOOKUP(2,1/([1]!DOMINGO[[CEDULA ]]=[1]!Tabla9[[#This Row],[CEDULA ]]),[1]!DOMINGO[HORA]),"No registró")</f>
        <v>No registró</v>
      </c>
      <c r="Q193" s="240" t="str">
        <f>IFERROR(VLOOKUP(A193,DATOS[],10,0),"")</f>
        <v>3. CARICUAO</v>
      </c>
    </row>
    <row r="194" spans="1:17" x14ac:dyDescent="0.25">
      <c r="A194" s="239">
        <v>12287719</v>
      </c>
      <c r="B194" s="239" t="s">
        <v>1171</v>
      </c>
      <c r="C194" s="359">
        <f>IFERROR(VLOOKUP([1]!Tabla9[[CEDULA ]],[1]!LUNES[#Data],5,0),"No registró")</f>
        <v>0.30916666666666665</v>
      </c>
      <c r="D194" s="359">
        <f>IFERROR(LOOKUP(2,1/([1]!LUNES[[CEDULA ]]=[1]!Tabla9[[#This Row],[CEDULA ]]),[1]!LUNES[HORA]),"No registró")</f>
        <v>0.55497685185185186</v>
      </c>
      <c r="E194" s="359">
        <f>IFERROR(VLOOKUP([1]!Tabla9[[CEDULA ]],[1]!MARTES[#Data],5,0),"No registró")</f>
        <v>0.33809027777777773</v>
      </c>
      <c r="F194" s="359">
        <f>IFERROR(LOOKUP(2,1/([1]!MARTES[[CEDULA ]]=[1]!Tabla9[[#This Row],[CEDULA ]]),[1]!MARTES[HORA]),"No Registró")</f>
        <v>0.55313657407407402</v>
      </c>
      <c r="G194" s="359" t="str">
        <f>IFERROR(VLOOKUP([1]!Tabla9[[CEDULA ]],[1]!MIERCOLES[#Data],5,0),"No registró")</f>
        <v>No registró</v>
      </c>
      <c r="H194" s="359" t="str">
        <f>IFERROR(LOOKUP(2,1/([1]!MIERCOLES[[CEDULA ]]=[1]!Tabla9[[#This Row],[CEDULA ]]),[1]!MIERCOLES[HORA]),"No registró")</f>
        <v>No registró</v>
      </c>
      <c r="I194" s="359" t="str">
        <f>IFERROR(VLOOKUP([1]!Tabla9[[CEDULA ]],[1]!JUEVES[#Data],5,0),"No Registró")</f>
        <v>No Registró</v>
      </c>
      <c r="J194" s="359" t="str">
        <f>IFERROR(LOOKUP(2,1/([1]!JUEVES[[CEDULA ]]=[1]!Tabla9[[#This Row],[CEDULA ]]),[1]!JUEVES[HORA]),"No registró")</f>
        <v>No registró</v>
      </c>
      <c r="K194" s="359" t="str">
        <f>IFERROR(VLOOKUP([1]!Tabla9[[CEDULA ]],[1]!VIERNES[#Data],5,0),"No registró")</f>
        <v>No registró</v>
      </c>
      <c r="L194" s="359" t="str">
        <f>IFERROR(LOOKUP(2,1/([1]!VIERNES[[CEDULA ]]=[1]!Tabla9[[#This Row],[CEDULA ]]),[1]!VIERNES[HORA]),"No registró")</f>
        <v>No registró</v>
      </c>
      <c r="M194" s="359">
        <f>IFERROR(VLOOKUP([1]!Tabla9[[CEDULA ]],[1]!SABADO[#Data],5,0),"No registró")</f>
        <v>0.28980324074074076</v>
      </c>
      <c r="N194" s="359">
        <f>IFERROR(LOOKUP(2,1/([1]!SABADO[[CEDULA ]]=[1]!Tabla9[[#This Row],[CEDULA ]]),[1]!SABADO[HORA]),"No registró")</f>
        <v>0.53415509259259253</v>
      </c>
      <c r="O194" s="359" t="str">
        <f>IFERROR(VLOOKUP([1]!Tabla9[[CEDULA ]],[1]!DOMINGO[#Data],5,0),"No registró")</f>
        <v>No registró</v>
      </c>
      <c r="P194" s="359" t="str">
        <f>IFERROR(LOOKUP(2,1/([1]!DOMINGO[[CEDULA ]]=[1]!Tabla9[[#This Row],[CEDULA ]]),[1]!DOMINGO[HORA]),"No registró")</f>
        <v>No registró</v>
      </c>
      <c r="Q194" s="240" t="str">
        <f>IFERROR(VLOOKUP(A194,DATOS[],10,0),"")</f>
        <v>4. VALLES DEL TUY</v>
      </c>
    </row>
    <row r="195" spans="1:17" x14ac:dyDescent="0.25">
      <c r="A195" s="239">
        <v>12289719</v>
      </c>
      <c r="B195" s="239" t="s">
        <v>1172</v>
      </c>
      <c r="C195" s="359">
        <f>IFERROR(VLOOKUP([1]!Tabla9[[CEDULA ]],[1]!LUNES[#Data],5,0),"No registró")</f>
        <v>0.3181134259259259</v>
      </c>
      <c r="D195" s="359">
        <f>IFERROR(LOOKUP(2,1/([1]!LUNES[[CEDULA ]]=[1]!Tabla9[[#This Row],[CEDULA ]]),[1]!LUNES[HORA]),"No registró")</f>
        <v>0.55326388888888889</v>
      </c>
      <c r="E195" s="359" t="str">
        <f>IFERROR(VLOOKUP([1]!Tabla9[[CEDULA ]],[1]!MARTES[#Data],5,0),"No registró")</f>
        <v>No registró</v>
      </c>
      <c r="F195" s="359" t="str">
        <f>IFERROR(LOOKUP(2,1/([1]!MARTES[[CEDULA ]]=[1]!Tabla9[[#This Row],[CEDULA ]]),[1]!MARTES[HORA]),"No Registró")</f>
        <v>No Registró</v>
      </c>
      <c r="G195" s="359" t="str">
        <f>IFERROR(VLOOKUP([1]!Tabla9[[CEDULA ]],[1]!MIERCOLES[#Data],5,0),"No registró")</f>
        <v>No registró</v>
      </c>
      <c r="H195" s="359" t="str">
        <f>IFERROR(LOOKUP(2,1/([1]!MIERCOLES[[CEDULA ]]=[1]!Tabla9[[#This Row],[CEDULA ]]),[1]!MIERCOLES[HORA]),"No registró")</f>
        <v>No registró</v>
      </c>
      <c r="I195" s="359" t="str">
        <f>IFERROR(VLOOKUP([1]!Tabla9[[CEDULA ]],[1]!JUEVES[#Data],5,0),"No Registró")</f>
        <v>No Registró</v>
      </c>
      <c r="J195" s="359" t="str">
        <f>IFERROR(LOOKUP(2,1/([1]!JUEVES[[CEDULA ]]=[1]!Tabla9[[#This Row],[CEDULA ]]),[1]!JUEVES[HORA]),"No registró")</f>
        <v>No registró</v>
      </c>
      <c r="K195" s="359" t="str">
        <f>IFERROR(VLOOKUP([1]!Tabla9[[CEDULA ]],[1]!VIERNES[#Data],5,0),"No registró")</f>
        <v>No registró</v>
      </c>
      <c r="L195" s="359" t="str">
        <f>IFERROR(LOOKUP(2,1/([1]!VIERNES[[CEDULA ]]=[1]!Tabla9[[#This Row],[CEDULA ]]),[1]!VIERNES[HORA]),"No registró")</f>
        <v>No registró</v>
      </c>
      <c r="M195" s="359" t="str">
        <f>IFERROR(VLOOKUP([1]!Tabla9[[CEDULA ]],[1]!SABADO[#Data],5,0),"No registró")</f>
        <v>No registró</v>
      </c>
      <c r="N195" s="359" t="str">
        <f>IFERROR(LOOKUP(2,1/([1]!SABADO[[CEDULA ]]=[1]!Tabla9[[#This Row],[CEDULA ]]),[1]!SABADO[HORA]),"No registró")</f>
        <v>No registró</v>
      </c>
      <c r="O195" s="359" t="str">
        <f>IFERROR(VLOOKUP([1]!Tabla9[[CEDULA ]],[1]!DOMINGO[#Data],5,0),"No registró")</f>
        <v>No registró</v>
      </c>
      <c r="P195" s="359" t="str">
        <f>IFERROR(LOOKUP(2,1/([1]!DOMINGO[[CEDULA ]]=[1]!Tabla9[[#This Row],[CEDULA ]]),[1]!DOMINGO[HORA]),"No registró")</f>
        <v>No registró</v>
      </c>
      <c r="Q195" s="240">
        <f>IFERROR(VLOOKUP(A195,DATOS[],10,0),"")</f>
        <v>0</v>
      </c>
    </row>
    <row r="196" spans="1:17" x14ac:dyDescent="0.25">
      <c r="A196" s="239">
        <v>12357367</v>
      </c>
      <c r="B196" s="239" t="s">
        <v>1173</v>
      </c>
      <c r="C196" s="359">
        <f>IFERROR(VLOOKUP([1]!Tabla9[[CEDULA ]],[1]!LUNES[#Data],5,0),"No registró")</f>
        <v>0.29851851851851852</v>
      </c>
      <c r="D196" s="359">
        <f>IFERROR(LOOKUP(2,1/([1]!LUNES[[CEDULA ]]=[1]!Tabla9[[#This Row],[CEDULA ]]),[1]!LUNES[HORA]),"No registró")</f>
        <v>0.56009259259259259</v>
      </c>
      <c r="E196" s="359">
        <f>IFERROR(VLOOKUP([1]!Tabla9[[CEDULA ]],[1]!MARTES[#Data],5,0),"No registró")</f>
        <v>0.32849537037037035</v>
      </c>
      <c r="F196" s="359">
        <f>IFERROR(LOOKUP(2,1/([1]!MARTES[[CEDULA ]]=[1]!Tabla9[[#This Row],[CEDULA ]]),[1]!MARTES[HORA]),"No Registró")</f>
        <v>0.56716435185185188</v>
      </c>
      <c r="G196" s="359" t="str">
        <f>IFERROR(VLOOKUP([1]!Tabla9[[CEDULA ]],[1]!MIERCOLES[#Data],5,0),"No registró")</f>
        <v>No registró</v>
      </c>
      <c r="H196" s="359" t="str">
        <f>IFERROR(LOOKUP(2,1/([1]!MIERCOLES[[CEDULA ]]=[1]!Tabla9[[#This Row],[CEDULA ]]),[1]!MIERCOLES[HORA]),"No registró")</f>
        <v>No registró</v>
      </c>
      <c r="I196" s="359" t="str">
        <f>IFERROR(VLOOKUP([1]!Tabla9[[CEDULA ]],[1]!JUEVES[#Data],5,0),"No Registró")</f>
        <v>No Registró</v>
      </c>
      <c r="J196" s="359" t="str">
        <f>IFERROR(LOOKUP(2,1/([1]!JUEVES[[CEDULA ]]=[1]!Tabla9[[#This Row],[CEDULA ]]),[1]!JUEVES[HORA]),"No registró")</f>
        <v>No registró</v>
      </c>
      <c r="K196" s="359" t="str">
        <f>IFERROR(VLOOKUP([1]!Tabla9[[CEDULA ]],[1]!VIERNES[#Data],5,0),"No registró")</f>
        <v>No registró</v>
      </c>
      <c r="L196" s="359" t="str">
        <f>IFERROR(LOOKUP(2,1/([1]!VIERNES[[CEDULA ]]=[1]!Tabla9[[#This Row],[CEDULA ]]),[1]!VIERNES[HORA]),"No registró")</f>
        <v>No registró</v>
      </c>
      <c r="M196" s="359" t="str">
        <f>IFERROR(VLOOKUP([1]!Tabla9[[CEDULA ]],[1]!SABADO[#Data],5,0),"No registró")</f>
        <v>No registró</v>
      </c>
      <c r="N196" s="359" t="str">
        <f>IFERROR(LOOKUP(2,1/([1]!SABADO[[CEDULA ]]=[1]!Tabla9[[#This Row],[CEDULA ]]),[1]!SABADO[HORA]),"No registró")</f>
        <v>No registró</v>
      </c>
      <c r="O196" s="359" t="str">
        <f>IFERROR(VLOOKUP([1]!Tabla9[[CEDULA ]],[1]!DOMINGO[#Data],5,0),"No registró")</f>
        <v>No registró</v>
      </c>
      <c r="P196" s="359" t="str">
        <f>IFERROR(LOOKUP(2,1/([1]!DOMINGO[[CEDULA ]]=[1]!Tabla9[[#This Row],[CEDULA ]]),[1]!DOMINGO[HORA]),"No registró")</f>
        <v>No registró</v>
      </c>
      <c r="Q196" s="240">
        <f>IFERROR(VLOOKUP(A196,DATOS[],10,0),"")</f>
        <v>0</v>
      </c>
    </row>
    <row r="197" spans="1:17" x14ac:dyDescent="0.25">
      <c r="A197" s="239">
        <v>12384336</v>
      </c>
      <c r="B197" s="239" t="s">
        <v>1174</v>
      </c>
      <c r="C197" s="359">
        <f>IFERROR(VLOOKUP([1]!Tabla9[[CEDULA ]],[1]!LUNES[#Data],5,0),"No registró")</f>
        <v>0.28217592592592594</v>
      </c>
      <c r="D197" s="359">
        <f>IFERROR(LOOKUP(2,1/([1]!LUNES[[CEDULA ]]=[1]!Tabla9[[#This Row],[CEDULA ]]),[1]!LUNES[HORA]),"No registró")</f>
        <v>0.56267361111111114</v>
      </c>
      <c r="E197" s="359">
        <f>IFERROR(VLOOKUP([1]!Tabla9[[CEDULA ]],[1]!MARTES[#Data],5,0),"No registró")</f>
        <v>0.28237268518518516</v>
      </c>
      <c r="F197" s="359">
        <f>IFERROR(LOOKUP(2,1/([1]!MARTES[[CEDULA ]]=[1]!Tabla9[[#This Row],[CEDULA ]]),[1]!MARTES[HORA]),"No Registró")</f>
        <v>0.55626157407407406</v>
      </c>
      <c r="G197" s="359" t="str">
        <f>IFERROR(VLOOKUP([1]!Tabla9[[CEDULA ]],[1]!MIERCOLES[#Data],5,0),"No registró")</f>
        <v>No registró</v>
      </c>
      <c r="H197" s="359" t="str">
        <f>IFERROR(LOOKUP(2,1/([1]!MIERCOLES[[CEDULA ]]=[1]!Tabla9[[#This Row],[CEDULA ]]),[1]!MIERCOLES[HORA]),"No registró")</f>
        <v>No registró</v>
      </c>
      <c r="I197" s="359" t="str">
        <f>IFERROR(VLOOKUP([1]!Tabla9[[CEDULA ]],[1]!JUEVES[#Data],5,0),"No Registró")</f>
        <v>No Registró</v>
      </c>
      <c r="J197" s="359" t="str">
        <f>IFERROR(LOOKUP(2,1/([1]!JUEVES[[CEDULA ]]=[1]!Tabla9[[#This Row],[CEDULA ]]),[1]!JUEVES[HORA]),"No registró")</f>
        <v>No registró</v>
      </c>
      <c r="K197" s="359" t="str">
        <f>IFERROR(VLOOKUP([1]!Tabla9[[CEDULA ]],[1]!VIERNES[#Data],5,0),"No registró")</f>
        <v>No registró</v>
      </c>
      <c r="L197" s="359" t="str">
        <f>IFERROR(LOOKUP(2,1/([1]!VIERNES[[CEDULA ]]=[1]!Tabla9[[#This Row],[CEDULA ]]),[1]!VIERNES[HORA]),"No registró")</f>
        <v>No registró</v>
      </c>
      <c r="M197" s="359" t="str">
        <f>IFERROR(VLOOKUP([1]!Tabla9[[CEDULA ]],[1]!SABADO[#Data],5,0),"No registró")</f>
        <v>No registró</v>
      </c>
      <c r="N197" s="359" t="str">
        <f>IFERROR(LOOKUP(2,1/([1]!SABADO[[CEDULA ]]=[1]!Tabla9[[#This Row],[CEDULA ]]),[1]!SABADO[HORA]),"No registró")</f>
        <v>No registró</v>
      </c>
      <c r="O197" s="359" t="str">
        <f>IFERROR(VLOOKUP([1]!Tabla9[[CEDULA ]],[1]!DOMINGO[#Data],5,0),"No registró")</f>
        <v>No registró</v>
      </c>
      <c r="P197" s="359" t="str">
        <f>IFERROR(LOOKUP(2,1/([1]!DOMINGO[[CEDULA ]]=[1]!Tabla9[[#This Row],[CEDULA ]]),[1]!DOMINGO[HORA]),"No registró")</f>
        <v>No registró</v>
      </c>
      <c r="Q197" s="240" t="str">
        <f>IFERROR(VLOOKUP(A197,DATOS[],10,0),"")</f>
        <v>3. CARICUAO</v>
      </c>
    </row>
    <row r="198" spans="1:17" x14ac:dyDescent="0.25">
      <c r="A198" s="239">
        <v>12384741</v>
      </c>
      <c r="B198" s="239" t="s">
        <v>1175</v>
      </c>
      <c r="C198" s="359">
        <f>IFERROR(VLOOKUP([1]!Tabla9[[CEDULA ]],[1]!LUNES[#Data],5,0),"No registró")</f>
        <v>0.27886574074074072</v>
      </c>
      <c r="D198" s="359">
        <f>IFERROR(LOOKUP(2,1/([1]!LUNES[[CEDULA ]]=[1]!Tabla9[[#This Row],[CEDULA ]]),[1]!LUNES[HORA]),"No registró")</f>
        <v>0.54929398148148145</v>
      </c>
      <c r="E198" s="359">
        <f>IFERROR(VLOOKUP([1]!Tabla9[[CEDULA ]],[1]!MARTES[#Data],5,0),"No registró")</f>
        <v>0.28225694444444444</v>
      </c>
      <c r="F198" s="359">
        <f>IFERROR(LOOKUP(2,1/([1]!MARTES[[CEDULA ]]=[1]!Tabla9[[#This Row],[CEDULA ]]),[1]!MARTES[HORA]),"No Registró")</f>
        <v>0.5508333333333334</v>
      </c>
      <c r="G198" s="359" t="str">
        <f>IFERROR(VLOOKUP([1]!Tabla9[[CEDULA ]],[1]!MIERCOLES[#Data],5,0),"No registró")</f>
        <v>No registró</v>
      </c>
      <c r="H198" s="359" t="str">
        <f>IFERROR(LOOKUP(2,1/([1]!MIERCOLES[[CEDULA ]]=[1]!Tabla9[[#This Row],[CEDULA ]]),[1]!MIERCOLES[HORA]),"No registró")</f>
        <v>No registró</v>
      </c>
      <c r="I198" s="359" t="str">
        <f>IFERROR(VLOOKUP([1]!Tabla9[[CEDULA ]],[1]!JUEVES[#Data],5,0),"No Registró")</f>
        <v>No Registró</v>
      </c>
      <c r="J198" s="359" t="str">
        <f>IFERROR(LOOKUP(2,1/([1]!JUEVES[[CEDULA ]]=[1]!Tabla9[[#This Row],[CEDULA ]]),[1]!JUEVES[HORA]),"No registró")</f>
        <v>No registró</v>
      </c>
      <c r="K198" s="359" t="str">
        <f>IFERROR(VLOOKUP([1]!Tabla9[[CEDULA ]],[1]!VIERNES[#Data],5,0),"No registró")</f>
        <v>No registró</v>
      </c>
      <c r="L198" s="359" t="str">
        <f>IFERROR(LOOKUP(2,1/([1]!VIERNES[[CEDULA ]]=[1]!Tabla9[[#This Row],[CEDULA ]]),[1]!VIERNES[HORA]),"No registró")</f>
        <v>No registró</v>
      </c>
      <c r="M198" s="359" t="str">
        <f>IFERROR(VLOOKUP([1]!Tabla9[[CEDULA ]],[1]!SABADO[#Data],5,0),"No registró")</f>
        <v>No registró</v>
      </c>
      <c r="N198" s="359" t="str">
        <f>IFERROR(LOOKUP(2,1/([1]!SABADO[[CEDULA ]]=[1]!Tabla9[[#This Row],[CEDULA ]]),[1]!SABADO[HORA]),"No registró")</f>
        <v>No registró</v>
      </c>
      <c r="O198" s="359" t="str">
        <f>IFERROR(VLOOKUP([1]!Tabla9[[CEDULA ]],[1]!DOMINGO[#Data],5,0),"No registró")</f>
        <v>No registró</v>
      </c>
      <c r="P198" s="359" t="str">
        <f>IFERROR(LOOKUP(2,1/([1]!DOMINGO[[CEDULA ]]=[1]!Tabla9[[#This Row],[CEDULA ]]),[1]!DOMINGO[HORA]),"No registró")</f>
        <v>No registró</v>
      </c>
      <c r="Q198" s="240" t="str">
        <f>IFERROR(VLOOKUP(A198,DATOS[],10,0),"")</f>
        <v>1. COCHE</v>
      </c>
    </row>
    <row r="199" spans="1:17" x14ac:dyDescent="0.25">
      <c r="A199" s="239">
        <v>12390716</v>
      </c>
      <c r="B199" s="239" t="s">
        <v>1176</v>
      </c>
      <c r="C199" s="359">
        <f>IFERROR(VLOOKUP([1]!Tabla9[[CEDULA ]],[1]!LUNES[#Data],5,0),"No registró")</f>
        <v>0.28167824074074072</v>
      </c>
      <c r="D199" s="359">
        <f>IFERROR(LOOKUP(2,1/([1]!LUNES[[CEDULA ]]=[1]!Tabla9[[#This Row],[CEDULA ]]),[1]!LUNES[HORA]),"No registró")</f>
        <v>0.60528935185185184</v>
      </c>
      <c r="E199" s="359">
        <f>IFERROR(VLOOKUP([1]!Tabla9[[CEDULA ]],[1]!MARTES[#Data],5,0),"No registró")</f>
        <v>0.28150462962962963</v>
      </c>
      <c r="F199" s="359">
        <f>IFERROR(LOOKUP(2,1/([1]!MARTES[[CEDULA ]]=[1]!Tabla9[[#This Row],[CEDULA ]]),[1]!MARTES[HORA]),"No Registró")</f>
        <v>0.62296296296296294</v>
      </c>
      <c r="G199" s="359" t="str">
        <f>IFERROR(VLOOKUP([1]!Tabla9[[CEDULA ]],[1]!MIERCOLES[#Data],5,0),"No registró")</f>
        <v>No registró</v>
      </c>
      <c r="H199" s="359" t="str">
        <f>IFERROR(LOOKUP(2,1/([1]!MIERCOLES[[CEDULA ]]=[1]!Tabla9[[#This Row],[CEDULA ]]),[1]!MIERCOLES[HORA]),"No registró")</f>
        <v>No registró</v>
      </c>
      <c r="I199" s="359" t="str">
        <f>IFERROR(VLOOKUP([1]!Tabla9[[CEDULA ]],[1]!JUEVES[#Data],5,0),"No Registró")</f>
        <v>No Registró</v>
      </c>
      <c r="J199" s="359" t="str">
        <f>IFERROR(LOOKUP(2,1/([1]!JUEVES[[CEDULA ]]=[1]!Tabla9[[#This Row],[CEDULA ]]),[1]!JUEVES[HORA]),"No registró")</f>
        <v>No registró</v>
      </c>
      <c r="K199" s="359" t="str">
        <f>IFERROR(VLOOKUP([1]!Tabla9[[CEDULA ]],[1]!VIERNES[#Data],5,0),"No registró")</f>
        <v>No registró</v>
      </c>
      <c r="L199" s="359" t="str">
        <f>IFERROR(LOOKUP(2,1/([1]!VIERNES[[CEDULA ]]=[1]!Tabla9[[#This Row],[CEDULA ]]),[1]!VIERNES[HORA]),"No registró")</f>
        <v>No registró</v>
      </c>
      <c r="M199" s="359" t="str">
        <f>IFERROR(VLOOKUP([1]!Tabla9[[CEDULA ]],[1]!SABADO[#Data],5,0),"No registró")</f>
        <v>No registró</v>
      </c>
      <c r="N199" s="359" t="str">
        <f>IFERROR(LOOKUP(2,1/([1]!SABADO[[CEDULA ]]=[1]!Tabla9[[#This Row],[CEDULA ]]),[1]!SABADO[HORA]),"No registró")</f>
        <v>No registró</v>
      </c>
      <c r="O199" s="359" t="str">
        <f>IFERROR(VLOOKUP([1]!Tabla9[[CEDULA ]],[1]!DOMINGO[#Data],5,0),"No registró")</f>
        <v>No registró</v>
      </c>
      <c r="P199" s="359" t="str">
        <f>IFERROR(LOOKUP(2,1/([1]!DOMINGO[[CEDULA ]]=[1]!Tabla9[[#This Row],[CEDULA ]]),[1]!DOMINGO[HORA]),"No registró")</f>
        <v>No registró</v>
      </c>
      <c r="Q199" s="240">
        <f>IFERROR(VLOOKUP(A199,DATOS[],10,0),"")</f>
        <v>0</v>
      </c>
    </row>
    <row r="200" spans="1:17" x14ac:dyDescent="0.25">
      <c r="A200" s="239">
        <v>12396334</v>
      </c>
      <c r="B200" s="239" t="s">
        <v>1177</v>
      </c>
      <c r="C200" s="359">
        <f>IFERROR(VLOOKUP([1]!Tabla9[[CEDULA ]],[1]!LUNES[#Data],5,0),"No registró")</f>
        <v>0.29991898148148149</v>
      </c>
      <c r="D200" s="359">
        <f>IFERROR(LOOKUP(2,1/([1]!LUNES[[CEDULA ]]=[1]!Tabla9[[#This Row],[CEDULA ]]),[1]!LUNES[HORA]),"No registró")</f>
        <v>0.55282407407407408</v>
      </c>
      <c r="E200" s="359">
        <f>IFERROR(VLOOKUP([1]!Tabla9[[CEDULA ]],[1]!MARTES[#Data],5,0),"No registró")</f>
        <v>0.30059027777777775</v>
      </c>
      <c r="F200" s="359">
        <f>IFERROR(LOOKUP(2,1/([1]!MARTES[[CEDULA ]]=[1]!Tabla9[[#This Row],[CEDULA ]]),[1]!MARTES[HORA]),"No Registró")</f>
        <v>0.55084490740740744</v>
      </c>
      <c r="G200" s="359" t="str">
        <f>IFERROR(VLOOKUP([1]!Tabla9[[CEDULA ]],[1]!MIERCOLES[#Data],5,0),"No registró")</f>
        <v>No registró</v>
      </c>
      <c r="H200" s="359" t="str">
        <f>IFERROR(LOOKUP(2,1/([1]!MIERCOLES[[CEDULA ]]=[1]!Tabla9[[#This Row],[CEDULA ]]),[1]!MIERCOLES[HORA]),"No registró")</f>
        <v>No registró</v>
      </c>
      <c r="I200" s="359" t="str">
        <f>IFERROR(VLOOKUP([1]!Tabla9[[CEDULA ]],[1]!JUEVES[#Data],5,0),"No Registró")</f>
        <v>No Registró</v>
      </c>
      <c r="J200" s="359" t="str">
        <f>IFERROR(LOOKUP(2,1/([1]!JUEVES[[CEDULA ]]=[1]!Tabla9[[#This Row],[CEDULA ]]),[1]!JUEVES[HORA]),"No registró")</f>
        <v>No registró</v>
      </c>
      <c r="K200" s="359" t="str">
        <f>IFERROR(VLOOKUP([1]!Tabla9[[CEDULA ]],[1]!VIERNES[#Data],5,0),"No registró")</f>
        <v>No registró</v>
      </c>
      <c r="L200" s="359" t="str">
        <f>IFERROR(LOOKUP(2,1/([1]!VIERNES[[CEDULA ]]=[1]!Tabla9[[#This Row],[CEDULA ]]),[1]!VIERNES[HORA]),"No registró")</f>
        <v>No registró</v>
      </c>
      <c r="M200" s="359" t="str">
        <f>IFERROR(VLOOKUP([1]!Tabla9[[CEDULA ]],[1]!SABADO[#Data],5,0),"No registró")</f>
        <v>No registró</v>
      </c>
      <c r="N200" s="359" t="str">
        <f>IFERROR(LOOKUP(2,1/([1]!SABADO[[CEDULA ]]=[1]!Tabla9[[#This Row],[CEDULA ]]),[1]!SABADO[HORA]),"No registró")</f>
        <v>No registró</v>
      </c>
      <c r="O200" s="359" t="str">
        <f>IFERROR(VLOOKUP([1]!Tabla9[[CEDULA ]],[1]!DOMINGO[#Data],5,0),"No registró")</f>
        <v>No registró</v>
      </c>
      <c r="P200" s="359" t="str">
        <f>IFERROR(LOOKUP(2,1/([1]!DOMINGO[[CEDULA ]]=[1]!Tabla9[[#This Row],[CEDULA ]]),[1]!DOMINGO[HORA]),"No registró")</f>
        <v>No registró</v>
      </c>
      <c r="Q200" s="240">
        <f>IFERROR(VLOOKUP(A200,DATOS[],10,0),"")</f>
        <v>0</v>
      </c>
    </row>
    <row r="201" spans="1:17" x14ac:dyDescent="0.25">
      <c r="A201" s="239">
        <v>12398275</v>
      </c>
      <c r="B201" s="239" t="s">
        <v>1178</v>
      </c>
      <c r="C201" s="359">
        <f>IFERROR(VLOOKUP([1]!Tabla9[[CEDULA ]],[1]!LUNES[#Data],5,0),"No registró")</f>
        <v>0.31738425925925923</v>
      </c>
      <c r="D201" s="359">
        <f>IFERROR(LOOKUP(2,1/([1]!LUNES[[CEDULA ]]=[1]!Tabla9[[#This Row],[CEDULA ]]),[1]!LUNES[HORA]),"No registró")</f>
        <v>0.55453703703703705</v>
      </c>
      <c r="E201" s="359">
        <f>IFERROR(VLOOKUP([1]!Tabla9[[CEDULA ]],[1]!MARTES[#Data],5,0),"No registró")</f>
        <v>0.27635416666666668</v>
      </c>
      <c r="F201" s="359">
        <f>IFERROR(LOOKUP(2,1/([1]!MARTES[[CEDULA ]]=[1]!Tabla9[[#This Row],[CEDULA ]]),[1]!MARTES[HORA]),"No Registró")</f>
        <v>0.55587962962962967</v>
      </c>
      <c r="G201" s="359" t="str">
        <f>IFERROR(VLOOKUP([1]!Tabla9[[CEDULA ]],[1]!MIERCOLES[#Data],5,0),"No registró")</f>
        <v>No registró</v>
      </c>
      <c r="H201" s="359" t="str">
        <f>IFERROR(LOOKUP(2,1/([1]!MIERCOLES[[CEDULA ]]=[1]!Tabla9[[#This Row],[CEDULA ]]),[1]!MIERCOLES[HORA]),"No registró")</f>
        <v>No registró</v>
      </c>
      <c r="I201" s="359" t="str">
        <f>IFERROR(VLOOKUP([1]!Tabla9[[CEDULA ]],[1]!JUEVES[#Data],5,0),"No Registró")</f>
        <v>No Registró</v>
      </c>
      <c r="J201" s="359" t="str">
        <f>IFERROR(LOOKUP(2,1/([1]!JUEVES[[CEDULA ]]=[1]!Tabla9[[#This Row],[CEDULA ]]),[1]!JUEVES[HORA]),"No registró")</f>
        <v>No registró</v>
      </c>
      <c r="K201" s="359" t="str">
        <f>IFERROR(VLOOKUP([1]!Tabla9[[CEDULA ]],[1]!VIERNES[#Data],5,0),"No registró")</f>
        <v>No registró</v>
      </c>
      <c r="L201" s="359" t="str">
        <f>IFERROR(LOOKUP(2,1/([1]!VIERNES[[CEDULA ]]=[1]!Tabla9[[#This Row],[CEDULA ]]),[1]!VIERNES[HORA]),"No registró")</f>
        <v>No registró</v>
      </c>
      <c r="M201" s="359" t="str">
        <f>IFERROR(VLOOKUP([1]!Tabla9[[CEDULA ]],[1]!SABADO[#Data],5,0),"No registró")</f>
        <v>No registró</v>
      </c>
      <c r="N201" s="359" t="str">
        <f>IFERROR(LOOKUP(2,1/([1]!SABADO[[CEDULA ]]=[1]!Tabla9[[#This Row],[CEDULA ]]),[1]!SABADO[HORA]),"No registró")</f>
        <v>No registró</v>
      </c>
      <c r="O201" s="359" t="str">
        <f>IFERROR(VLOOKUP([1]!Tabla9[[CEDULA ]],[1]!DOMINGO[#Data],5,0),"No registró")</f>
        <v>No registró</v>
      </c>
      <c r="P201" s="359" t="str">
        <f>IFERROR(LOOKUP(2,1/([1]!DOMINGO[[CEDULA ]]=[1]!Tabla9[[#This Row],[CEDULA ]]),[1]!DOMINGO[HORA]),"No registró")</f>
        <v>No registró</v>
      </c>
      <c r="Q201" s="240" t="str">
        <f>IFERROR(VLOOKUP(A201,DATOS[],10,0),"")</f>
        <v>2. CATIA</v>
      </c>
    </row>
    <row r="202" spans="1:17" x14ac:dyDescent="0.25">
      <c r="A202" s="239">
        <v>12404080</v>
      </c>
      <c r="B202" s="239" t="s">
        <v>1179</v>
      </c>
      <c r="C202" s="359">
        <f>IFERROR(VLOOKUP([1]!Tabla9[[CEDULA ]],[1]!LUNES[#Data],5,0),"No registró")</f>
        <v>0.32719907407407406</v>
      </c>
      <c r="D202" s="359">
        <f>IFERROR(LOOKUP(2,1/([1]!LUNES[[CEDULA ]]=[1]!Tabla9[[#This Row],[CEDULA ]]),[1]!LUNES[HORA]),"No registró")</f>
        <v>0.56097222222222221</v>
      </c>
      <c r="E202" s="359">
        <f>IFERROR(VLOOKUP([1]!Tabla9[[CEDULA ]],[1]!MARTES[#Data],5,0),"No registró")</f>
        <v>0.31327546296296299</v>
      </c>
      <c r="F202" s="359">
        <f>IFERROR(LOOKUP(2,1/([1]!MARTES[[CEDULA ]]=[1]!Tabla9[[#This Row],[CEDULA ]]),[1]!MARTES[HORA]),"No Registró")</f>
        <v>0.56527777777777777</v>
      </c>
      <c r="G202" s="359" t="str">
        <f>IFERROR(VLOOKUP([1]!Tabla9[[CEDULA ]],[1]!MIERCOLES[#Data],5,0),"No registró")</f>
        <v>No registró</v>
      </c>
      <c r="H202" s="359" t="str">
        <f>IFERROR(LOOKUP(2,1/([1]!MIERCOLES[[CEDULA ]]=[1]!Tabla9[[#This Row],[CEDULA ]]),[1]!MIERCOLES[HORA]),"No registró")</f>
        <v>No registró</v>
      </c>
      <c r="I202" s="359" t="str">
        <f>IFERROR(VLOOKUP([1]!Tabla9[[CEDULA ]],[1]!JUEVES[#Data],5,0),"No Registró")</f>
        <v>No Registró</v>
      </c>
      <c r="J202" s="359" t="str">
        <f>IFERROR(LOOKUP(2,1/([1]!JUEVES[[CEDULA ]]=[1]!Tabla9[[#This Row],[CEDULA ]]),[1]!JUEVES[HORA]),"No registró")</f>
        <v>No registró</v>
      </c>
      <c r="K202" s="359" t="str">
        <f>IFERROR(VLOOKUP([1]!Tabla9[[CEDULA ]],[1]!VIERNES[#Data],5,0),"No registró")</f>
        <v>No registró</v>
      </c>
      <c r="L202" s="359" t="str">
        <f>IFERROR(LOOKUP(2,1/([1]!VIERNES[[CEDULA ]]=[1]!Tabla9[[#This Row],[CEDULA ]]),[1]!VIERNES[HORA]),"No registró")</f>
        <v>No registró</v>
      </c>
      <c r="M202" s="359" t="str">
        <f>IFERROR(VLOOKUP([1]!Tabla9[[CEDULA ]],[1]!SABADO[#Data],5,0),"No registró")</f>
        <v>No registró</v>
      </c>
      <c r="N202" s="359" t="str">
        <f>IFERROR(LOOKUP(2,1/([1]!SABADO[[CEDULA ]]=[1]!Tabla9[[#This Row],[CEDULA ]]),[1]!SABADO[HORA]),"No registró")</f>
        <v>No registró</v>
      </c>
      <c r="O202" s="359" t="str">
        <f>IFERROR(VLOOKUP([1]!Tabla9[[CEDULA ]],[1]!DOMINGO[#Data],5,0),"No registró")</f>
        <v>No registró</v>
      </c>
      <c r="P202" s="359" t="str">
        <f>IFERROR(LOOKUP(2,1/([1]!DOMINGO[[CEDULA ]]=[1]!Tabla9[[#This Row],[CEDULA ]]),[1]!DOMINGO[HORA]),"No registró")</f>
        <v>No registró</v>
      </c>
      <c r="Q202" s="240">
        <f>IFERROR(VLOOKUP(A202,DATOS[],10,0),"")</f>
        <v>0</v>
      </c>
    </row>
    <row r="203" spans="1:17" x14ac:dyDescent="0.25">
      <c r="A203" s="239">
        <v>12410293</v>
      </c>
      <c r="B203" s="239" t="s">
        <v>1180</v>
      </c>
      <c r="C203" s="359">
        <f>IFERROR(VLOOKUP([1]!Tabla9[[CEDULA ]],[1]!LUNES[#Data],5,0),"No registró")</f>
        <v>0.28832175925925924</v>
      </c>
      <c r="D203" s="359">
        <f>IFERROR(LOOKUP(2,1/([1]!LUNES[[CEDULA ]]=[1]!Tabla9[[#This Row],[CEDULA ]]),[1]!LUNES[HORA]),"No registró")</f>
        <v>0.55569444444444438</v>
      </c>
      <c r="E203" s="359">
        <f>IFERROR(VLOOKUP([1]!Tabla9[[CEDULA ]],[1]!MARTES[#Data],5,0),"No registró")</f>
        <v>0.30887731481481479</v>
      </c>
      <c r="F203" s="359">
        <f>IFERROR(LOOKUP(2,1/([1]!MARTES[[CEDULA ]]=[1]!Tabla9[[#This Row],[CEDULA ]]),[1]!MARTES[HORA]),"No Registró")</f>
        <v>0.55645833333333339</v>
      </c>
      <c r="G203" s="359" t="str">
        <f>IFERROR(VLOOKUP([1]!Tabla9[[CEDULA ]],[1]!MIERCOLES[#Data],5,0),"No registró")</f>
        <v>No registró</v>
      </c>
      <c r="H203" s="359" t="str">
        <f>IFERROR(LOOKUP(2,1/([1]!MIERCOLES[[CEDULA ]]=[1]!Tabla9[[#This Row],[CEDULA ]]),[1]!MIERCOLES[HORA]),"No registró")</f>
        <v>No registró</v>
      </c>
      <c r="I203" s="359" t="str">
        <f>IFERROR(VLOOKUP([1]!Tabla9[[CEDULA ]],[1]!JUEVES[#Data],5,0),"No Registró")</f>
        <v>No Registró</v>
      </c>
      <c r="J203" s="359" t="str">
        <f>IFERROR(LOOKUP(2,1/([1]!JUEVES[[CEDULA ]]=[1]!Tabla9[[#This Row],[CEDULA ]]),[1]!JUEVES[HORA]),"No registró")</f>
        <v>No registró</v>
      </c>
      <c r="K203" s="359" t="str">
        <f>IFERROR(VLOOKUP([1]!Tabla9[[CEDULA ]],[1]!VIERNES[#Data],5,0),"No registró")</f>
        <v>No registró</v>
      </c>
      <c r="L203" s="359" t="str">
        <f>IFERROR(LOOKUP(2,1/([1]!VIERNES[[CEDULA ]]=[1]!Tabla9[[#This Row],[CEDULA ]]),[1]!VIERNES[HORA]),"No registró")</f>
        <v>No registró</v>
      </c>
      <c r="M203" s="359" t="str">
        <f>IFERROR(VLOOKUP([1]!Tabla9[[CEDULA ]],[1]!SABADO[#Data],5,0),"No registró")</f>
        <v>No registró</v>
      </c>
      <c r="N203" s="359" t="str">
        <f>IFERROR(LOOKUP(2,1/([1]!SABADO[[CEDULA ]]=[1]!Tabla9[[#This Row],[CEDULA ]]),[1]!SABADO[HORA]),"No registró")</f>
        <v>No registró</v>
      </c>
      <c r="O203" s="359" t="str">
        <f>IFERROR(VLOOKUP([1]!Tabla9[[CEDULA ]],[1]!DOMINGO[#Data],5,0),"No registró")</f>
        <v>No registró</v>
      </c>
      <c r="P203" s="359" t="str">
        <f>IFERROR(LOOKUP(2,1/([1]!DOMINGO[[CEDULA ]]=[1]!Tabla9[[#This Row],[CEDULA ]]),[1]!DOMINGO[HORA]),"No registró")</f>
        <v>No registró</v>
      </c>
      <c r="Q203" s="240" t="str">
        <f>IFERROR(VLOOKUP(A203,DATOS[],10,0),"")</f>
        <v>5. GUARENAS</v>
      </c>
    </row>
    <row r="204" spans="1:17" x14ac:dyDescent="0.25">
      <c r="A204" s="239">
        <v>12544745</v>
      </c>
      <c r="B204" s="239" t="s">
        <v>1181</v>
      </c>
      <c r="C204" s="359">
        <f>IFERROR(VLOOKUP([1]!Tabla9[[CEDULA ]],[1]!LUNES[#Data],5,0),"No registró")</f>
        <v>0.33531249999999996</v>
      </c>
      <c r="D204" s="359">
        <f>IFERROR(LOOKUP(2,1/([1]!LUNES[[CEDULA ]]=[1]!Tabla9[[#This Row],[CEDULA ]]),[1]!LUNES[HORA]),"No registró")</f>
        <v>0.49704861111111115</v>
      </c>
      <c r="E204" s="359" t="str">
        <f>IFERROR(VLOOKUP([1]!Tabla9[[CEDULA ]],[1]!MARTES[#Data],5,0),"No registró")</f>
        <v>No registró</v>
      </c>
      <c r="F204" s="359" t="str">
        <f>IFERROR(LOOKUP(2,1/([1]!MARTES[[CEDULA ]]=[1]!Tabla9[[#This Row],[CEDULA ]]),[1]!MARTES[HORA]),"No Registró")</f>
        <v>No Registró</v>
      </c>
      <c r="G204" s="359" t="str">
        <f>IFERROR(VLOOKUP([1]!Tabla9[[CEDULA ]],[1]!MIERCOLES[#Data],5,0),"No registró")</f>
        <v>No registró</v>
      </c>
      <c r="H204" s="359" t="str">
        <f>IFERROR(LOOKUP(2,1/([1]!MIERCOLES[[CEDULA ]]=[1]!Tabla9[[#This Row],[CEDULA ]]),[1]!MIERCOLES[HORA]),"No registró")</f>
        <v>No registró</v>
      </c>
      <c r="I204" s="359" t="str">
        <f>IFERROR(VLOOKUP([1]!Tabla9[[CEDULA ]],[1]!JUEVES[#Data],5,0),"No Registró")</f>
        <v>No Registró</v>
      </c>
      <c r="J204" s="359" t="str">
        <f>IFERROR(LOOKUP(2,1/([1]!JUEVES[[CEDULA ]]=[1]!Tabla9[[#This Row],[CEDULA ]]),[1]!JUEVES[HORA]),"No registró")</f>
        <v>No registró</v>
      </c>
      <c r="K204" s="359" t="str">
        <f>IFERROR(VLOOKUP([1]!Tabla9[[CEDULA ]],[1]!VIERNES[#Data],5,0),"No registró")</f>
        <v>No registró</v>
      </c>
      <c r="L204" s="359" t="str">
        <f>IFERROR(LOOKUP(2,1/([1]!VIERNES[[CEDULA ]]=[1]!Tabla9[[#This Row],[CEDULA ]]),[1]!VIERNES[HORA]),"No registró")</f>
        <v>No registró</v>
      </c>
      <c r="M204" s="359" t="str">
        <f>IFERROR(VLOOKUP([1]!Tabla9[[CEDULA ]],[1]!SABADO[#Data],5,0),"No registró")</f>
        <v>No registró</v>
      </c>
      <c r="N204" s="359" t="str">
        <f>IFERROR(LOOKUP(2,1/([1]!SABADO[[CEDULA ]]=[1]!Tabla9[[#This Row],[CEDULA ]]),[1]!SABADO[HORA]),"No registró")</f>
        <v>No registró</v>
      </c>
      <c r="O204" s="359" t="str">
        <f>IFERROR(VLOOKUP([1]!Tabla9[[CEDULA ]],[1]!DOMINGO[#Data],5,0),"No registró")</f>
        <v>No registró</v>
      </c>
      <c r="P204" s="359" t="str">
        <f>IFERROR(LOOKUP(2,1/([1]!DOMINGO[[CEDULA ]]=[1]!Tabla9[[#This Row],[CEDULA ]]),[1]!DOMINGO[HORA]),"No registró")</f>
        <v>No registró</v>
      </c>
      <c r="Q204" s="240">
        <f>IFERROR(VLOOKUP(A204,DATOS[],10,0),"")</f>
        <v>0</v>
      </c>
    </row>
    <row r="205" spans="1:17" x14ac:dyDescent="0.25">
      <c r="A205" s="239">
        <v>12561193</v>
      </c>
      <c r="B205" s="239" t="s">
        <v>1182</v>
      </c>
      <c r="C205" s="359">
        <f>IFERROR(VLOOKUP([1]!Tabla9[[CEDULA ]],[1]!LUNES[#Data],5,0),"No registró")</f>
        <v>0.28248842592592593</v>
      </c>
      <c r="D205" s="359">
        <f>IFERROR(LOOKUP(2,1/([1]!LUNES[[CEDULA ]]=[1]!Tabla9[[#This Row],[CEDULA ]]),[1]!LUNES[HORA]),"No registró")</f>
        <v>0.68071759259259268</v>
      </c>
      <c r="E205" s="359">
        <f>IFERROR(VLOOKUP([1]!Tabla9[[CEDULA ]],[1]!MARTES[#Data],5,0),"No registró")</f>
        <v>0.28181712962962963</v>
      </c>
      <c r="F205" s="359">
        <f>IFERROR(LOOKUP(2,1/([1]!MARTES[[CEDULA ]]=[1]!Tabla9[[#This Row],[CEDULA ]]),[1]!MARTES[HORA]),"No Registró")</f>
        <v>0.74746527777777771</v>
      </c>
      <c r="G205" s="359" t="str">
        <f>IFERROR(VLOOKUP([1]!Tabla9[[CEDULA ]],[1]!MIERCOLES[#Data],5,0),"No registró")</f>
        <v>No registró</v>
      </c>
      <c r="H205" s="359" t="str">
        <f>IFERROR(LOOKUP(2,1/([1]!MIERCOLES[[CEDULA ]]=[1]!Tabla9[[#This Row],[CEDULA ]]),[1]!MIERCOLES[HORA]),"No registró")</f>
        <v>No registró</v>
      </c>
      <c r="I205" s="359" t="str">
        <f>IFERROR(VLOOKUP([1]!Tabla9[[CEDULA ]],[1]!JUEVES[#Data],5,0),"No Registró")</f>
        <v>No Registró</v>
      </c>
      <c r="J205" s="359" t="str">
        <f>IFERROR(LOOKUP(2,1/([1]!JUEVES[[CEDULA ]]=[1]!Tabla9[[#This Row],[CEDULA ]]),[1]!JUEVES[HORA]),"No registró")</f>
        <v>No registró</v>
      </c>
      <c r="K205" s="359" t="str">
        <f>IFERROR(VLOOKUP([1]!Tabla9[[CEDULA ]],[1]!VIERNES[#Data],5,0),"No registró")</f>
        <v>No registró</v>
      </c>
      <c r="L205" s="359" t="str">
        <f>IFERROR(LOOKUP(2,1/([1]!VIERNES[[CEDULA ]]=[1]!Tabla9[[#This Row],[CEDULA ]]),[1]!VIERNES[HORA]),"No registró")</f>
        <v>No registró</v>
      </c>
      <c r="M205" s="359" t="str">
        <f>IFERROR(VLOOKUP([1]!Tabla9[[CEDULA ]],[1]!SABADO[#Data],5,0),"No registró")</f>
        <v>No registró</v>
      </c>
      <c r="N205" s="359" t="str">
        <f>IFERROR(LOOKUP(2,1/([1]!SABADO[[CEDULA ]]=[1]!Tabla9[[#This Row],[CEDULA ]]),[1]!SABADO[HORA]),"No registró")</f>
        <v>No registró</v>
      </c>
      <c r="O205" s="359" t="str">
        <f>IFERROR(VLOOKUP([1]!Tabla9[[CEDULA ]],[1]!DOMINGO[#Data],5,0),"No registró")</f>
        <v>No registró</v>
      </c>
      <c r="P205" s="359" t="str">
        <f>IFERROR(LOOKUP(2,1/([1]!DOMINGO[[CEDULA ]]=[1]!Tabla9[[#This Row],[CEDULA ]]),[1]!DOMINGO[HORA]),"No registró")</f>
        <v>No registró</v>
      </c>
      <c r="Q205" s="240" t="str">
        <f>IFERROR(VLOOKUP(A205,DATOS[],10,0),"")</f>
        <v>3. CARICUAO</v>
      </c>
    </row>
    <row r="206" spans="1:17" x14ac:dyDescent="0.25">
      <c r="A206" s="239">
        <v>12616767</v>
      </c>
      <c r="B206" s="239" t="s">
        <v>1183</v>
      </c>
      <c r="C206" s="359">
        <f>IFERROR(VLOOKUP([1]!Tabla9[[CEDULA ]],[1]!LUNES[#Data],5,0),"No registró")</f>
        <v>0.2994560185185185</v>
      </c>
      <c r="D206" s="359">
        <f>IFERROR(LOOKUP(2,1/([1]!LUNES[[CEDULA ]]=[1]!Tabla9[[#This Row],[CEDULA ]]),[1]!LUNES[HORA]),"No registró")</f>
        <v>0.55209490740740741</v>
      </c>
      <c r="E206" s="359">
        <f>IFERROR(VLOOKUP([1]!Tabla9[[CEDULA ]],[1]!MARTES[#Data],5,0),"No registró")</f>
        <v>0.30158564814814814</v>
      </c>
      <c r="F206" s="359">
        <f>IFERROR(LOOKUP(2,1/([1]!MARTES[[CEDULA ]]=[1]!Tabla9[[#This Row],[CEDULA ]]),[1]!MARTES[HORA]),"No Registró")</f>
        <v>0.55070601851851853</v>
      </c>
      <c r="G206" s="359" t="str">
        <f>IFERROR(VLOOKUP([1]!Tabla9[[CEDULA ]],[1]!MIERCOLES[#Data],5,0),"No registró")</f>
        <v>No registró</v>
      </c>
      <c r="H206" s="359" t="str">
        <f>IFERROR(LOOKUP(2,1/([1]!MIERCOLES[[CEDULA ]]=[1]!Tabla9[[#This Row],[CEDULA ]]),[1]!MIERCOLES[HORA]),"No registró")</f>
        <v>No registró</v>
      </c>
      <c r="I206" s="359" t="str">
        <f>IFERROR(VLOOKUP([1]!Tabla9[[CEDULA ]],[1]!JUEVES[#Data],5,0),"No Registró")</f>
        <v>No Registró</v>
      </c>
      <c r="J206" s="359" t="str">
        <f>IFERROR(LOOKUP(2,1/([1]!JUEVES[[CEDULA ]]=[1]!Tabla9[[#This Row],[CEDULA ]]),[1]!JUEVES[HORA]),"No registró")</f>
        <v>No registró</v>
      </c>
      <c r="K206" s="359" t="str">
        <f>IFERROR(VLOOKUP([1]!Tabla9[[CEDULA ]],[1]!VIERNES[#Data],5,0),"No registró")</f>
        <v>No registró</v>
      </c>
      <c r="L206" s="359" t="str">
        <f>IFERROR(LOOKUP(2,1/([1]!VIERNES[[CEDULA ]]=[1]!Tabla9[[#This Row],[CEDULA ]]),[1]!VIERNES[HORA]),"No registró")</f>
        <v>No registró</v>
      </c>
      <c r="M206" s="359" t="str">
        <f>IFERROR(VLOOKUP([1]!Tabla9[[CEDULA ]],[1]!SABADO[#Data],5,0),"No registró")</f>
        <v>No registró</v>
      </c>
      <c r="N206" s="359" t="str">
        <f>IFERROR(LOOKUP(2,1/([1]!SABADO[[CEDULA ]]=[1]!Tabla9[[#This Row],[CEDULA ]]),[1]!SABADO[HORA]),"No registró")</f>
        <v>No registró</v>
      </c>
      <c r="O206" s="359" t="str">
        <f>IFERROR(VLOOKUP([1]!Tabla9[[CEDULA ]],[1]!DOMINGO[#Data],5,0),"No registró")</f>
        <v>No registró</v>
      </c>
      <c r="P206" s="359" t="str">
        <f>IFERROR(LOOKUP(2,1/([1]!DOMINGO[[CEDULA ]]=[1]!Tabla9[[#This Row],[CEDULA ]]),[1]!DOMINGO[HORA]),"No registró")</f>
        <v>No registró</v>
      </c>
      <c r="Q206" s="240">
        <f>IFERROR(VLOOKUP(A206,DATOS[],10,0),"")</f>
        <v>0</v>
      </c>
    </row>
    <row r="207" spans="1:17" x14ac:dyDescent="0.25">
      <c r="A207" s="239">
        <v>12641345</v>
      </c>
      <c r="B207" s="239" t="s">
        <v>1184</v>
      </c>
      <c r="C207" s="359">
        <f>IFERROR(VLOOKUP([1]!Tabla9[[CEDULA ]],[1]!LUNES[#Data],5,0),"No registró")</f>
        <v>0.33407407407407402</v>
      </c>
      <c r="D207" s="359">
        <f>IFERROR(LOOKUP(2,1/([1]!LUNES[[CEDULA ]]=[1]!Tabla9[[#This Row],[CEDULA ]]),[1]!LUNES[HORA]),"No registró")</f>
        <v>0.55782407407407408</v>
      </c>
      <c r="E207" s="359">
        <f>IFERROR(VLOOKUP([1]!Tabla9[[CEDULA ]],[1]!MARTES[#Data],5,0),"No registró")</f>
        <v>0.33094907407407409</v>
      </c>
      <c r="F207" s="359">
        <f>IFERROR(LOOKUP(2,1/([1]!MARTES[[CEDULA ]]=[1]!Tabla9[[#This Row],[CEDULA ]]),[1]!MARTES[HORA]),"No Registró")</f>
        <v>0.55178240740740747</v>
      </c>
      <c r="G207" s="359" t="str">
        <f>IFERROR(VLOOKUP([1]!Tabla9[[CEDULA ]],[1]!MIERCOLES[#Data],5,0),"No registró")</f>
        <v>No registró</v>
      </c>
      <c r="H207" s="359" t="str">
        <f>IFERROR(LOOKUP(2,1/([1]!MIERCOLES[[CEDULA ]]=[1]!Tabla9[[#This Row],[CEDULA ]]),[1]!MIERCOLES[HORA]),"No registró")</f>
        <v>No registró</v>
      </c>
      <c r="I207" s="359" t="str">
        <f>IFERROR(VLOOKUP([1]!Tabla9[[CEDULA ]],[1]!JUEVES[#Data],5,0),"No Registró")</f>
        <v>No Registró</v>
      </c>
      <c r="J207" s="359" t="str">
        <f>IFERROR(LOOKUP(2,1/([1]!JUEVES[[CEDULA ]]=[1]!Tabla9[[#This Row],[CEDULA ]]),[1]!JUEVES[HORA]),"No registró")</f>
        <v>No registró</v>
      </c>
      <c r="K207" s="359" t="str">
        <f>IFERROR(VLOOKUP([1]!Tabla9[[CEDULA ]],[1]!VIERNES[#Data],5,0),"No registró")</f>
        <v>No registró</v>
      </c>
      <c r="L207" s="359" t="str">
        <f>IFERROR(LOOKUP(2,1/([1]!VIERNES[[CEDULA ]]=[1]!Tabla9[[#This Row],[CEDULA ]]),[1]!VIERNES[HORA]),"No registró")</f>
        <v>No registró</v>
      </c>
      <c r="M207" s="359" t="str">
        <f>IFERROR(VLOOKUP([1]!Tabla9[[CEDULA ]],[1]!SABADO[#Data],5,0),"No registró")</f>
        <v>No registró</v>
      </c>
      <c r="N207" s="359" t="str">
        <f>IFERROR(LOOKUP(2,1/([1]!SABADO[[CEDULA ]]=[1]!Tabla9[[#This Row],[CEDULA ]]),[1]!SABADO[HORA]),"No registró")</f>
        <v>No registró</v>
      </c>
      <c r="O207" s="359" t="str">
        <f>IFERROR(VLOOKUP([1]!Tabla9[[CEDULA ]],[1]!DOMINGO[#Data],5,0),"No registró")</f>
        <v>No registró</v>
      </c>
      <c r="P207" s="359" t="str">
        <f>IFERROR(LOOKUP(2,1/([1]!DOMINGO[[CEDULA ]]=[1]!Tabla9[[#This Row],[CEDULA ]]),[1]!DOMINGO[HORA]),"No registró")</f>
        <v>No registró</v>
      </c>
      <c r="Q207" s="240">
        <f>IFERROR(VLOOKUP(A207,DATOS[],10,0),"")</f>
        <v>0</v>
      </c>
    </row>
    <row r="208" spans="1:17" x14ac:dyDescent="0.25">
      <c r="A208" s="239">
        <v>12685537</v>
      </c>
      <c r="B208" s="239" t="s">
        <v>1185</v>
      </c>
      <c r="C208" s="359">
        <f>IFERROR(VLOOKUP([1]!Tabla9[[CEDULA ]],[1]!LUNES[#Data],5,0),"No registró")</f>
        <v>0.28743055555555558</v>
      </c>
      <c r="D208" s="359">
        <f>IFERROR(LOOKUP(2,1/([1]!LUNES[[CEDULA ]]=[1]!Tabla9[[#This Row],[CEDULA ]]),[1]!LUNES[HORA]),"No registró")</f>
        <v>0.55516203703703704</v>
      </c>
      <c r="E208" s="359">
        <f>IFERROR(VLOOKUP([1]!Tabla9[[CEDULA ]],[1]!MARTES[#Data],5,0),"No registró")</f>
        <v>0.33496527777777779</v>
      </c>
      <c r="F208" s="359">
        <f>IFERROR(LOOKUP(2,1/([1]!MARTES[[CEDULA ]]=[1]!Tabla9[[#This Row],[CEDULA ]]),[1]!MARTES[HORA]),"No Registró")</f>
        <v>0.55853009259259256</v>
      </c>
      <c r="G208" s="359" t="str">
        <f>IFERROR(VLOOKUP([1]!Tabla9[[CEDULA ]],[1]!MIERCOLES[#Data],5,0),"No registró")</f>
        <v>No registró</v>
      </c>
      <c r="H208" s="359" t="str">
        <f>IFERROR(LOOKUP(2,1/([1]!MIERCOLES[[CEDULA ]]=[1]!Tabla9[[#This Row],[CEDULA ]]),[1]!MIERCOLES[HORA]),"No registró")</f>
        <v>No registró</v>
      </c>
      <c r="I208" s="359" t="str">
        <f>IFERROR(VLOOKUP([1]!Tabla9[[CEDULA ]],[1]!JUEVES[#Data],5,0),"No Registró")</f>
        <v>No Registró</v>
      </c>
      <c r="J208" s="359" t="str">
        <f>IFERROR(LOOKUP(2,1/([1]!JUEVES[[CEDULA ]]=[1]!Tabla9[[#This Row],[CEDULA ]]),[1]!JUEVES[HORA]),"No registró")</f>
        <v>No registró</v>
      </c>
      <c r="K208" s="359" t="str">
        <f>IFERROR(VLOOKUP([1]!Tabla9[[CEDULA ]],[1]!VIERNES[#Data],5,0),"No registró")</f>
        <v>No registró</v>
      </c>
      <c r="L208" s="359" t="str">
        <f>IFERROR(LOOKUP(2,1/([1]!VIERNES[[CEDULA ]]=[1]!Tabla9[[#This Row],[CEDULA ]]),[1]!VIERNES[HORA]),"No registró")</f>
        <v>No registró</v>
      </c>
      <c r="M208" s="359" t="str">
        <f>IFERROR(VLOOKUP([1]!Tabla9[[CEDULA ]],[1]!SABADO[#Data],5,0),"No registró")</f>
        <v>No registró</v>
      </c>
      <c r="N208" s="359" t="str">
        <f>IFERROR(LOOKUP(2,1/([1]!SABADO[[CEDULA ]]=[1]!Tabla9[[#This Row],[CEDULA ]]),[1]!SABADO[HORA]),"No registró")</f>
        <v>No registró</v>
      </c>
      <c r="O208" s="359" t="str">
        <f>IFERROR(VLOOKUP([1]!Tabla9[[CEDULA ]],[1]!DOMINGO[#Data],5,0),"No registró")</f>
        <v>No registró</v>
      </c>
      <c r="P208" s="359" t="str">
        <f>IFERROR(LOOKUP(2,1/([1]!DOMINGO[[CEDULA ]]=[1]!Tabla9[[#This Row],[CEDULA ]]),[1]!DOMINGO[HORA]),"No registró")</f>
        <v>No registró</v>
      </c>
      <c r="Q208" s="240" t="str">
        <f>IFERROR(VLOOKUP(A208,DATOS[],10,0),"")</f>
        <v>4. VALLES DEL TUY</v>
      </c>
    </row>
    <row r="209" spans="1:17" x14ac:dyDescent="0.25">
      <c r="A209" s="239">
        <v>12781587</v>
      </c>
      <c r="B209" s="239" t="s">
        <v>1186</v>
      </c>
      <c r="C209" s="359">
        <f>IFERROR(VLOOKUP([1]!Tabla9[[CEDULA ]],[1]!LUNES[#Data],5,0),"No registró")</f>
        <v>0.3175115740740741</v>
      </c>
      <c r="D209" s="359">
        <f>IFERROR(LOOKUP(2,1/([1]!LUNES[[CEDULA ]]=[1]!Tabla9[[#This Row],[CEDULA ]]),[1]!LUNES[HORA]),"No registró")</f>
        <v>0.55204861111111114</v>
      </c>
      <c r="E209" s="359">
        <f>IFERROR(VLOOKUP([1]!Tabla9[[CEDULA ]],[1]!MARTES[#Data],5,0),"No registró")</f>
        <v>0.30857638888888889</v>
      </c>
      <c r="F209" s="359">
        <f>IFERROR(LOOKUP(2,1/([1]!MARTES[[CEDULA ]]=[1]!Tabla9[[#This Row],[CEDULA ]]),[1]!MARTES[HORA]),"No Registró")</f>
        <v>0.55238425925925927</v>
      </c>
      <c r="G209" s="359" t="str">
        <f>IFERROR(VLOOKUP([1]!Tabla9[[CEDULA ]],[1]!MIERCOLES[#Data],5,0),"No registró")</f>
        <v>No registró</v>
      </c>
      <c r="H209" s="359" t="str">
        <f>IFERROR(LOOKUP(2,1/([1]!MIERCOLES[[CEDULA ]]=[1]!Tabla9[[#This Row],[CEDULA ]]),[1]!MIERCOLES[HORA]),"No registró")</f>
        <v>No registró</v>
      </c>
      <c r="I209" s="359" t="str">
        <f>IFERROR(VLOOKUP([1]!Tabla9[[CEDULA ]],[1]!JUEVES[#Data],5,0),"No Registró")</f>
        <v>No Registró</v>
      </c>
      <c r="J209" s="359" t="str">
        <f>IFERROR(LOOKUP(2,1/([1]!JUEVES[[CEDULA ]]=[1]!Tabla9[[#This Row],[CEDULA ]]),[1]!JUEVES[HORA]),"No registró")</f>
        <v>No registró</v>
      </c>
      <c r="K209" s="359" t="str">
        <f>IFERROR(VLOOKUP([1]!Tabla9[[CEDULA ]],[1]!VIERNES[#Data],5,0),"No registró")</f>
        <v>No registró</v>
      </c>
      <c r="L209" s="359" t="str">
        <f>IFERROR(LOOKUP(2,1/([1]!VIERNES[[CEDULA ]]=[1]!Tabla9[[#This Row],[CEDULA ]]),[1]!VIERNES[HORA]),"No registró")</f>
        <v>No registró</v>
      </c>
      <c r="M209" s="359" t="str">
        <f>IFERROR(VLOOKUP([1]!Tabla9[[CEDULA ]],[1]!SABADO[#Data],5,0),"No registró")</f>
        <v>No registró</v>
      </c>
      <c r="N209" s="359" t="str">
        <f>IFERROR(LOOKUP(2,1/([1]!SABADO[[CEDULA ]]=[1]!Tabla9[[#This Row],[CEDULA ]]),[1]!SABADO[HORA]),"No registró")</f>
        <v>No registró</v>
      </c>
      <c r="O209" s="359" t="str">
        <f>IFERROR(VLOOKUP([1]!Tabla9[[CEDULA ]],[1]!DOMINGO[#Data],5,0),"No registró")</f>
        <v>No registró</v>
      </c>
      <c r="P209" s="359" t="str">
        <f>IFERROR(LOOKUP(2,1/([1]!DOMINGO[[CEDULA ]]=[1]!Tabla9[[#This Row],[CEDULA ]]),[1]!DOMINGO[HORA]),"No registró")</f>
        <v>No registró</v>
      </c>
      <c r="Q209" s="240">
        <f>IFERROR(VLOOKUP(A209,DATOS[],10,0),"")</f>
        <v>0</v>
      </c>
    </row>
    <row r="210" spans="1:17" x14ac:dyDescent="0.25">
      <c r="A210" s="239">
        <v>12826005</v>
      </c>
      <c r="B210" s="239" t="s">
        <v>1187</v>
      </c>
      <c r="C210" s="359">
        <f>IFERROR(VLOOKUP([1]!Tabla9[[CEDULA ]],[1]!LUNES[#Data],5,0),"No registró")</f>
        <v>0.28774305555555557</v>
      </c>
      <c r="D210" s="359">
        <f>IFERROR(LOOKUP(2,1/([1]!LUNES[[CEDULA ]]=[1]!Tabla9[[#This Row],[CEDULA ]]),[1]!LUNES[HORA]),"No registró")</f>
        <v>0.55351851851851852</v>
      </c>
      <c r="E210" s="359">
        <f>IFERROR(VLOOKUP([1]!Tabla9[[CEDULA ]],[1]!MARTES[#Data],5,0),"No registró")</f>
        <v>0.28233796296296299</v>
      </c>
      <c r="F210" s="359">
        <f>IFERROR(LOOKUP(2,1/([1]!MARTES[[CEDULA ]]=[1]!Tabla9[[#This Row],[CEDULA ]]),[1]!MARTES[HORA]),"No Registró")</f>
        <v>0.5537037037037037</v>
      </c>
      <c r="G210" s="359" t="str">
        <f>IFERROR(VLOOKUP([1]!Tabla9[[CEDULA ]],[1]!MIERCOLES[#Data],5,0),"No registró")</f>
        <v>No registró</v>
      </c>
      <c r="H210" s="359" t="str">
        <f>IFERROR(LOOKUP(2,1/([1]!MIERCOLES[[CEDULA ]]=[1]!Tabla9[[#This Row],[CEDULA ]]),[1]!MIERCOLES[HORA]),"No registró")</f>
        <v>No registró</v>
      </c>
      <c r="I210" s="359" t="str">
        <f>IFERROR(VLOOKUP([1]!Tabla9[[CEDULA ]],[1]!JUEVES[#Data],5,0),"No Registró")</f>
        <v>No Registró</v>
      </c>
      <c r="J210" s="359" t="str">
        <f>IFERROR(LOOKUP(2,1/([1]!JUEVES[[CEDULA ]]=[1]!Tabla9[[#This Row],[CEDULA ]]),[1]!JUEVES[HORA]),"No registró")</f>
        <v>No registró</v>
      </c>
      <c r="K210" s="359" t="str">
        <f>IFERROR(VLOOKUP([1]!Tabla9[[CEDULA ]],[1]!VIERNES[#Data],5,0),"No registró")</f>
        <v>No registró</v>
      </c>
      <c r="L210" s="359" t="str">
        <f>IFERROR(LOOKUP(2,1/([1]!VIERNES[[CEDULA ]]=[1]!Tabla9[[#This Row],[CEDULA ]]),[1]!VIERNES[HORA]),"No registró")</f>
        <v>No registró</v>
      </c>
      <c r="M210" s="359" t="str">
        <f>IFERROR(VLOOKUP([1]!Tabla9[[CEDULA ]],[1]!SABADO[#Data],5,0),"No registró")</f>
        <v>No registró</v>
      </c>
      <c r="N210" s="359" t="str">
        <f>IFERROR(LOOKUP(2,1/([1]!SABADO[[CEDULA ]]=[1]!Tabla9[[#This Row],[CEDULA ]]),[1]!SABADO[HORA]),"No registró")</f>
        <v>No registró</v>
      </c>
      <c r="O210" s="359" t="str">
        <f>IFERROR(VLOOKUP([1]!Tabla9[[CEDULA ]],[1]!DOMINGO[#Data],5,0),"No registró")</f>
        <v>No registró</v>
      </c>
      <c r="P210" s="359" t="str">
        <f>IFERROR(LOOKUP(2,1/([1]!DOMINGO[[CEDULA ]]=[1]!Tabla9[[#This Row],[CEDULA ]]),[1]!DOMINGO[HORA]),"No registró")</f>
        <v>No registró</v>
      </c>
      <c r="Q210" s="240" t="str">
        <f>IFERROR(VLOOKUP(A210,DATOS[],10,0),"")</f>
        <v>5. GUARENAS</v>
      </c>
    </row>
    <row r="211" spans="1:17" x14ac:dyDescent="0.25">
      <c r="A211" s="239">
        <v>12834013</v>
      </c>
      <c r="B211" s="239" t="s">
        <v>1381</v>
      </c>
      <c r="C211" s="359">
        <f>IFERROR(VLOOKUP([1]!Tabla9[[CEDULA ]],[1]!LUNES[#Data],5,0),"No registró")</f>
        <v>0.26429398148148148</v>
      </c>
      <c r="D211" s="359">
        <f>IFERROR(LOOKUP(2,1/([1]!LUNES[[CEDULA ]]=[1]!Tabla9[[#This Row],[CEDULA ]]),[1]!LUNES[HORA]),"No registró")</f>
        <v>0.55660879629629634</v>
      </c>
      <c r="E211" s="359">
        <f>IFERROR(VLOOKUP([1]!Tabla9[[CEDULA ]],[1]!MARTES[#Data],5,0),"No registró")</f>
        <v>0.26803240740740741</v>
      </c>
      <c r="F211" s="359">
        <f>IFERROR(LOOKUP(2,1/([1]!MARTES[[CEDULA ]]=[1]!Tabla9[[#This Row],[CEDULA ]]),[1]!MARTES[HORA]),"No Registró")</f>
        <v>0.56732638888888887</v>
      </c>
      <c r="G211" s="359" t="str">
        <f>IFERROR(VLOOKUP([1]!Tabla9[[CEDULA ]],[1]!MIERCOLES[#Data],5,0),"No registró")</f>
        <v>No registró</v>
      </c>
      <c r="H211" s="359" t="str">
        <f>IFERROR(LOOKUP(2,1/([1]!MIERCOLES[[CEDULA ]]=[1]!Tabla9[[#This Row],[CEDULA ]]),[1]!MIERCOLES[HORA]),"No registró")</f>
        <v>No registró</v>
      </c>
      <c r="I211" s="359" t="str">
        <f>IFERROR(VLOOKUP([1]!Tabla9[[CEDULA ]],[1]!JUEVES[#Data],5,0),"No Registró")</f>
        <v>No Registró</v>
      </c>
      <c r="J211" s="359" t="str">
        <f>IFERROR(LOOKUP(2,1/([1]!JUEVES[[CEDULA ]]=[1]!Tabla9[[#This Row],[CEDULA ]]),[1]!JUEVES[HORA]),"No registró")</f>
        <v>No registró</v>
      </c>
      <c r="K211" s="359" t="str">
        <f>IFERROR(VLOOKUP([1]!Tabla9[[CEDULA ]],[1]!VIERNES[#Data],5,0),"No registró")</f>
        <v>No registró</v>
      </c>
      <c r="L211" s="359" t="str">
        <f>IFERROR(LOOKUP(2,1/([1]!VIERNES[[CEDULA ]]=[1]!Tabla9[[#This Row],[CEDULA ]]),[1]!VIERNES[HORA]),"No registró")</f>
        <v>No registró</v>
      </c>
      <c r="M211" s="359" t="str">
        <f>IFERROR(VLOOKUP([1]!Tabla9[[CEDULA ]],[1]!SABADO[#Data],5,0),"No registró")</f>
        <v>No registró</v>
      </c>
      <c r="N211" s="359" t="str">
        <f>IFERROR(LOOKUP(2,1/([1]!SABADO[[CEDULA ]]=[1]!Tabla9[[#This Row],[CEDULA ]]),[1]!SABADO[HORA]),"No registró")</f>
        <v>No registró</v>
      </c>
      <c r="O211" s="359" t="str">
        <f>IFERROR(VLOOKUP([1]!Tabla9[[CEDULA ]],[1]!DOMINGO[#Data],5,0),"No registró")</f>
        <v>No registró</v>
      </c>
      <c r="P211" s="359" t="str">
        <f>IFERROR(LOOKUP(2,1/([1]!DOMINGO[[CEDULA ]]=[1]!Tabla9[[#This Row],[CEDULA ]]),[1]!DOMINGO[HORA]),"No registró")</f>
        <v>No registró</v>
      </c>
      <c r="Q211" s="240">
        <f>IFERROR(VLOOKUP(A211,DATOS[],10,0),"")</f>
        <v>0</v>
      </c>
    </row>
    <row r="212" spans="1:17" x14ac:dyDescent="0.25">
      <c r="A212" s="239">
        <v>12854512</v>
      </c>
      <c r="B212" s="239" t="s">
        <v>1382</v>
      </c>
      <c r="C212" s="359">
        <f>IFERROR(VLOOKUP([1]!Tabla9[[CEDULA ]],[1]!LUNES[#Data],5,0),"No registró")</f>
        <v>0.32688657407407407</v>
      </c>
      <c r="D212" s="359">
        <f>IFERROR(LOOKUP(2,1/([1]!LUNES[[CEDULA ]]=[1]!Tabla9[[#This Row],[CEDULA ]]),[1]!LUNES[HORA]),"No registró")</f>
        <v>0.56450231481481483</v>
      </c>
      <c r="E212" s="359">
        <f>IFERROR(VLOOKUP([1]!Tabla9[[CEDULA ]],[1]!MARTES[#Data],5,0),"No registró")</f>
        <v>0.31549768518518517</v>
      </c>
      <c r="F212" s="359">
        <f>IFERROR(LOOKUP(2,1/([1]!MARTES[[CEDULA ]]=[1]!Tabla9[[#This Row],[CEDULA ]]),[1]!MARTES[HORA]),"No Registró")</f>
        <v>0.55708333333333326</v>
      </c>
      <c r="G212" s="359" t="str">
        <f>IFERROR(VLOOKUP([1]!Tabla9[[CEDULA ]],[1]!MIERCOLES[#Data],5,0),"No registró")</f>
        <v>No registró</v>
      </c>
      <c r="H212" s="359" t="str">
        <f>IFERROR(LOOKUP(2,1/([1]!MIERCOLES[[CEDULA ]]=[1]!Tabla9[[#This Row],[CEDULA ]]),[1]!MIERCOLES[HORA]),"No registró")</f>
        <v>No registró</v>
      </c>
      <c r="I212" s="359" t="str">
        <f>IFERROR(VLOOKUP([1]!Tabla9[[CEDULA ]],[1]!JUEVES[#Data],5,0),"No Registró")</f>
        <v>No Registró</v>
      </c>
      <c r="J212" s="359" t="str">
        <f>IFERROR(LOOKUP(2,1/([1]!JUEVES[[CEDULA ]]=[1]!Tabla9[[#This Row],[CEDULA ]]),[1]!JUEVES[HORA]),"No registró")</f>
        <v>No registró</v>
      </c>
      <c r="K212" s="359" t="str">
        <f>IFERROR(VLOOKUP([1]!Tabla9[[CEDULA ]],[1]!VIERNES[#Data],5,0),"No registró")</f>
        <v>No registró</v>
      </c>
      <c r="L212" s="359" t="str">
        <f>IFERROR(LOOKUP(2,1/([1]!VIERNES[[CEDULA ]]=[1]!Tabla9[[#This Row],[CEDULA ]]),[1]!VIERNES[HORA]),"No registró")</f>
        <v>No registró</v>
      </c>
      <c r="M212" s="359" t="str">
        <f>IFERROR(VLOOKUP([1]!Tabla9[[CEDULA ]],[1]!SABADO[#Data],5,0),"No registró")</f>
        <v>No registró</v>
      </c>
      <c r="N212" s="359" t="str">
        <f>IFERROR(LOOKUP(2,1/([1]!SABADO[[CEDULA ]]=[1]!Tabla9[[#This Row],[CEDULA ]]),[1]!SABADO[HORA]),"No registró")</f>
        <v>No registró</v>
      </c>
      <c r="O212" s="359" t="str">
        <f>IFERROR(VLOOKUP([1]!Tabla9[[CEDULA ]],[1]!DOMINGO[#Data],5,0),"No registró")</f>
        <v>No registró</v>
      </c>
      <c r="P212" s="359" t="str">
        <f>IFERROR(LOOKUP(2,1/([1]!DOMINGO[[CEDULA ]]=[1]!Tabla9[[#This Row],[CEDULA ]]),[1]!DOMINGO[HORA]),"No registró")</f>
        <v>No registró</v>
      </c>
      <c r="Q212" s="240" t="str">
        <f>IFERROR(VLOOKUP(A212,DATOS[],10,0),"")</f>
        <v>0. ALTO NIVEL</v>
      </c>
    </row>
    <row r="213" spans="1:17" x14ac:dyDescent="0.25">
      <c r="A213" s="239">
        <v>12867339</v>
      </c>
      <c r="B213" s="239" t="s">
        <v>1188</v>
      </c>
      <c r="C213" s="359">
        <f>IFERROR(VLOOKUP([1]!Tabla9[[CEDULA ]],[1]!LUNES[#Data],5,0),"No registró")</f>
        <v>0.30972222222222223</v>
      </c>
      <c r="D213" s="359">
        <f>IFERROR(LOOKUP(2,1/([1]!LUNES[[CEDULA ]]=[1]!Tabla9[[#This Row],[CEDULA ]]),[1]!LUNES[HORA]),"No registró")</f>
        <v>0.59586805555555555</v>
      </c>
      <c r="E213" s="359">
        <f>IFERROR(VLOOKUP([1]!Tabla9[[CEDULA ]],[1]!MARTES[#Data],5,0),"No registró")</f>
        <v>0.30704861111111109</v>
      </c>
      <c r="F213" s="359">
        <f>IFERROR(LOOKUP(2,1/([1]!MARTES[[CEDULA ]]=[1]!Tabla9[[#This Row],[CEDULA ]]),[1]!MARTES[HORA]),"No Registró")</f>
        <v>0.59666666666666668</v>
      </c>
      <c r="G213" s="359" t="str">
        <f>IFERROR(VLOOKUP([1]!Tabla9[[CEDULA ]],[1]!MIERCOLES[#Data],5,0),"No registró")</f>
        <v>No registró</v>
      </c>
      <c r="H213" s="359" t="str">
        <f>IFERROR(LOOKUP(2,1/([1]!MIERCOLES[[CEDULA ]]=[1]!Tabla9[[#This Row],[CEDULA ]]),[1]!MIERCOLES[HORA]),"No registró")</f>
        <v>No registró</v>
      </c>
      <c r="I213" s="359" t="str">
        <f>IFERROR(VLOOKUP([1]!Tabla9[[CEDULA ]],[1]!JUEVES[#Data],5,0),"No Registró")</f>
        <v>No Registró</v>
      </c>
      <c r="J213" s="359" t="str">
        <f>IFERROR(LOOKUP(2,1/([1]!JUEVES[[CEDULA ]]=[1]!Tabla9[[#This Row],[CEDULA ]]),[1]!JUEVES[HORA]),"No registró")</f>
        <v>No registró</v>
      </c>
      <c r="K213" s="359" t="str">
        <f>IFERROR(VLOOKUP([1]!Tabla9[[CEDULA ]],[1]!VIERNES[#Data],5,0),"No registró")</f>
        <v>No registró</v>
      </c>
      <c r="L213" s="359" t="str">
        <f>IFERROR(LOOKUP(2,1/([1]!VIERNES[[CEDULA ]]=[1]!Tabla9[[#This Row],[CEDULA ]]),[1]!VIERNES[HORA]),"No registró")</f>
        <v>No registró</v>
      </c>
      <c r="M213" s="359" t="str">
        <f>IFERROR(VLOOKUP([1]!Tabla9[[CEDULA ]],[1]!SABADO[#Data],5,0),"No registró")</f>
        <v>No registró</v>
      </c>
      <c r="N213" s="359" t="str">
        <f>IFERROR(LOOKUP(2,1/([1]!SABADO[[CEDULA ]]=[1]!Tabla9[[#This Row],[CEDULA ]]),[1]!SABADO[HORA]),"No registró")</f>
        <v>No registró</v>
      </c>
      <c r="O213" s="359" t="str">
        <f>IFERROR(VLOOKUP([1]!Tabla9[[CEDULA ]],[1]!DOMINGO[#Data],5,0),"No registró")</f>
        <v>No registró</v>
      </c>
      <c r="P213" s="359" t="str">
        <f>IFERROR(LOOKUP(2,1/([1]!DOMINGO[[CEDULA ]]=[1]!Tabla9[[#This Row],[CEDULA ]]),[1]!DOMINGO[HORA]),"No registró")</f>
        <v>No registró</v>
      </c>
      <c r="Q213" s="240">
        <f>IFERROR(VLOOKUP(A213,DATOS[],10,0),"")</f>
        <v>0</v>
      </c>
    </row>
    <row r="214" spans="1:17" x14ac:dyDescent="0.25">
      <c r="A214" s="239">
        <v>12900851</v>
      </c>
      <c r="B214" s="239" t="s">
        <v>1189</v>
      </c>
      <c r="C214" s="359">
        <f>IFERROR(VLOOKUP([1]!Tabla9[[CEDULA ]],[1]!LUNES[#Data],5,0),"No registró")</f>
        <v>0.31328703703703703</v>
      </c>
      <c r="D214" s="359">
        <f>IFERROR(LOOKUP(2,1/([1]!LUNES[[CEDULA ]]=[1]!Tabla9[[#This Row],[CEDULA ]]),[1]!LUNES[HORA]),"No registró")</f>
        <v>0.38935185185185189</v>
      </c>
      <c r="E214" s="359">
        <f>IFERROR(VLOOKUP([1]!Tabla9[[CEDULA ]],[1]!MARTES[#Data],5,0),"No registró")</f>
        <v>0.28971064814814812</v>
      </c>
      <c r="F214" s="359">
        <f>IFERROR(LOOKUP(2,1/([1]!MARTES[[CEDULA ]]=[1]!Tabla9[[#This Row],[CEDULA ]]),[1]!MARTES[HORA]),"No Registró")</f>
        <v>0.49298611111111112</v>
      </c>
      <c r="G214" s="359">
        <f>IFERROR(VLOOKUP([1]!Tabla9[[CEDULA ]],[1]!MIERCOLES[#Data],5,0),"No registró")</f>
        <v>0.40739583333333335</v>
      </c>
      <c r="H214" s="360" t="s">
        <v>989</v>
      </c>
      <c r="I214" s="359" t="str">
        <f>IFERROR(VLOOKUP([1]!Tabla9[[CEDULA ]],[1]!JUEVES[#Data],5,0),"No Registró")</f>
        <v>No Registró</v>
      </c>
      <c r="J214" s="359" t="str">
        <f>IFERROR(LOOKUP(2,1/([1]!JUEVES[[CEDULA ]]=[1]!Tabla9[[#This Row],[CEDULA ]]),[1]!JUEVES[HORA]),"No registró")</f>
        <v>No registró</v>
      </c>
      <c r="K214" s="359" t="str">
        <f>IFERROR(VLOOKUP([1]!Tabla9[[CEDULA ]],[1]!VIERNES[#Data],5,0),"No registró")</f>
        <v>No registró</v>
      </c>
      <c r="L214" s="359" t="str">
        <f>IFERROR(LOOKUP(2,1/([1]!VIERNES[[CEDULA ]]=[1]!Tabla9[[#This Row],[CEDULA ]]),[1]!VIERNES[HORA]),"No registró")</f>
        <v>No registró</v>
      </c>
      <c r="M214" s="359">
        <f>IFERROR(VLOOKUP([1]!Tabla9[[CEDULA ]],[1]!SABADO[#Data],5,0),"No registró")</f>
        <v>0.37927083333333328</v>
      </c>
      <c r="N214" s="360" t="s">
        <v>989</v>
      </c>
      <c r="O214" s="359" t="str">
        <f>IFERROR(VLOOKUP([1]!Tabla9[[CEDULA ]],[1]!DOMINGO[#Data],5,0),"No registró")</f>
        <v>No registró</v>
      </c>
      <c r="P214" s="359" t="str">
        <f>IFERROR(LOOKUP(2,1/([1]!DOMINGO[[CEDULA ]]=[1]!Tabla9[[#This Row],[CEDULA ]]),[1]!DOMINGO[HORA]),"No registró")</f>
        <v>No registró</v>
      </c>
      <c r="Q214" s="240">
        <f>IFERROR(VLOOKUP(A214,DATOS[],10,0),"")</f>
        <v>0</v>
      </c>
    </row>
    <row r="215" spans="1:17" x14ac:dyDescent="0.25">
      <c r="A215" s="239">
        <v>12951325</v>
      </c>
      <c r="B215" s="239" t="s">
        <v>1190</v>
      </c>
      <c r="C215" s="359">
        <f>IFERROR(VLOOKUP([1]!Tabla9[[CEDULA ]],[1]!LUNES[#Data],5,0),"No registró")</f>
        <v>0.36847222222222226</v>
      </c>
      <c r="D215" s="359">
        <f>IFERROR(LOOKUP(2,1/([1]!LUNES[[CEDULA ]]=[1]!Tabla9[[#This Row],[CEDULA ]]),[1]!LUNES[HORA]),"No registró")</f>
        <v>0.55521990740740745</v>
      </c>
      <c r="E215" s="359">
        <f>IFERROR(VLOOKUP([1]!Tabla9[[CEDULA ]],[1]!MARTES[#Data],5,0),"No registró")</f>
        <v>0.39231481481481478</v>
      </c>
      <c r="F215" s="359">
        <f>IFERROR(LOOKUP(2,1/([1]!MARTES[[CEDULA ]]=[1]!Tabla9[[#This Row],[CEDULA ]]),[1]!MARTES[HORA]),"No Registró")</f>
        <v>0.54917824074074073</v>
      </c>
      <c r="G215" s="359" t="str">
        <f>IFERROR(VLOOKUP([1]!Tabla9[[CEDULA ]],[1]!MIERCOLES[#Data],5,0),"No registró")</f>
        <v>No registró</v>
      </c>
      <c r="H215" s="359" t="str">
        <f>IFERROR(LOOKUP(2,1/([1]!MIERCOLES[[CEDULA ]]=[1]!Tabla9[[#This Row],[CEDULA ]]),[1]!MIERCOLES[HORA]),"No registró")</f>
        <v>No registró</v>
      </c>
      <c r="I215" s="359" t="str">
        <f>IFERROR(VLOOKUP([1]!Tabla9[[CEDULA ]],[1]!JUEVES[#Data],5,0),"No Registró")</f>
        <v>No Registró</v>
      </c>
      <c r="J215" s="359" t="str">
        <f>IFERROR(LOOKUP(2,1/([1]!JUEVES[[CEDULA ]]=[1]!Tabla9[[#This Row],[CEDULA ]]),[1]!JUEVES[HORA]),"No registró")</f>
        <v>No registró</v>
      </c>
      <c r="K215" s="359" t="str">
        <f>IFERROR(VLOOKUP([1]!Tabla9[[CEDULA ]],[1]!VIERNES[#Data],5,0),"No registró")</f>
        <v>No registró</v>
      </c>
      <c r="L215" s="359" t="str">
        <f>IFERROR(LOOKUP(2,1/([1]!VIERNES[[CEDULA ]]=[1]!Tabla9[[#This Row],[CEDULA ]]),[1]!VIERNES[HORA]),"No registró")</f>
        <v>No registró</v>
      </c>
      <c r="M215" s="359" t="str">
        <f>IFERROR(VLOOKUP([1]!Tabla9[[CEDULA ]],[1]!SABADO[#Data],5,0),"No registró")</f>
        <v>No registró</v>
      </c>
      <c r="N215" s="359" t="str">
        <f>IFERROR(LOOKUP(2,1/([1]!SABADO[[CEDULA ]]=[1]!Tabla9[[#This Row],[CEDULA ]]),[1]!SABADO[HORA]),"No registró")</f>
        <v>No registró</v>
      </c>
      <c r="O215" s="359" t="str">
        <f>IFERROR(VLOOKUP([1]!Tabla9[[CEDULA ]],[1]!DOMINGO[#Data],5,0),"No registró")</f>
        <v>No registró</v>
      </c>
      <c r="P215" s="359" t="str">
        <f>IFERROR(LOOKUP(2,1/([1]!DOMINGO[[CEDULA ]]=[1]!Tabla9[[#This Row],[CEDULA ]]),[1]!DOMINGO[HORA]),"No registró")</f>
        <v>No registró</v>
      </c>
      <c r="Q215" s="240" t="str">
        <f>IFERROR(VLOOKUP(A215,DATOS[],10,0),"")</f>
        <v>5. GUARENAS</v>
      </c>
    </row>
    <row r="216" spans="1:17" x14ac:dyDescent="0.25">
      <c r="A216" s="239">
        <v>13048823</v>
      </c>
      <c r="B216" s="239" t="s">
        <v>1191</v>
      </c>
      <c r="C216" s="359">
        <f>IFERROR(VLOOKUP([1]!Tabla9[[CEDULA ]],[1]!LUNES[#Data],5,0),"No registró")</f>
        <v>0.34988425925925926</v>
      </c>
      <c r="D216" s="359">
        <f>IFERROR(LOOKUP(2,1/([1]!LUNES[[CEDULA ]]=[1]!Tabla9[[#This Row],[CEDULA ]]),[1]!LUNES[HORA]),"No registró")</f>
        <v>0.54013888888888884</v>
      </c>
      <c r="E216" s="359" t="str">
        <f>IFERROR(VLOOKUP([1]!Tabla9[[CEDULA ]],[1]!MARTES[#Data],5,0),"No registró")</f>
        <v>No registró</v>
      </c>
      <c r="F216" s="359" t="str">
        <f>IFERROR(LOOKUP(2,1/([1]!MARTES[[CEDULA ]]=[1]!Tabla9[[#This Row],[CEDULA ]]),[1]!MARTES[HORA]),"No Registró")</f>
        <v>No Registró</v>
      </c>
      <c r="G216" s="359" t="str">
        <f>IFERROR(VLOOKUP([1]!Tabla9[[CEDULA ]],[1]!MIERCOLES[#Data],5,0),"No registró")</f>
        <v>No registró</v>
      </c>
      <c r="H216" s="359" t="str">
        <f>IFERROR(LOOKUP(2,1/([1]!MIERCOLES[[CEDULA ]]=[1]!Tabla9[[#This Row],[CEDULA ]]),[1]!MIERCOLES[HORA]),"No registró")</f>
        <v>No registró</v>
      </c>
      <c r="I216" s="359" t="str">
        <f>IFERROR(VLOOKUP([1]!Tabla9[[CEDULA ]],[1]!JUEVES[#Data],5,0),"No Registró")</f>
        <v>No Registró</v>
      </c>
      <c r="J216" s="359" t="str">
        <f>IFERROR(LOOKUP(2,1/([1]!JUEVES[[CEDULA ]]=[1]!Tabla9[[#This Row],[CEDULA ]]),[1]!JUEVES[HORA]),"No registró")</f>
        <v>No registró</v>
      </c>
      <c r="K216" s="359" t="str">
        <f>IFERROR(VLOOKUP([1]!Tabla9[[CEDULA ]],[1]!VIERNES[#Data],5,0),"No registró")</f>
        <v>No registró</v>
      </c>
      <c r="L216" s="359" t="str">
        <f>IFERROR(LOOKUP(2,1/([1]!VIERNES[[CEDULA ]]=[1]!Tabla9[[#This Row],[CEDULA ]]),[1]!VIERNES[HORA]),"No registró")</f>
        <v>No registró</v>
      </c>
      <c r="M216" s="359" t="str">
        <f>IFERROR(VLOOKUP([1]!Tabla9[[CEDULA ]],[1]!SABADO[#Data],5,0),"No registró")</f>
        <v>No registró</v>
      </c>
      <c r="N216" s="359" t="str">
        <f>IFERROR(LOOKUP(2,1/([1]!SABADO[[CEDULA ]]=[1]!Tabla9[[#This Row],[CEDULA ]]),[1]!SABADO[HORA]),"No registró")</f>
        <v>No registró</v>
      </c>
      <c r="O216" s="359" t="str">
        <f>IFERROR(VLOOKUP([1]!Tabla9[[CEDULA ]],[1]!DOMINGO[#Data],5,0),"No registró")</f>
        <v>No registró</v>
      </c>
      <c r="P216" s="359" t="str">
        <f>IFERROR(LOOKUP(2,1/([1]!DOMINGO[[CEDULA ]]=[1]!Tabla9[[#This Row],[CEDULA ]]),[1]!DOMINGO[HORA]),"No registró")</f>
        <v>No registró</v>
      </c>
      <c r="Q216" s="240">
        <f>IFERROR(VLOOKUP(A216,DATOS[],10,0),"")</f>
        <v>0</v>
      </c>
    </row>
    <row r="217" spans="1:17" x14ac:dyDescent="0.25">
      <c r="A217" s="239">
        <v>13050919</v>
      </c>
      <c r="B217" s="239" t="s">
        <v>1192</v>
      </c>
      <c r="C217" s="359">
        <f>IFERROR(VLOOKUP([1]!Tabla9[[CEDULA ]],[1]!LUNES[#Data],5,0),"No registró")</f>
        <v>0.28160879629629632</v>
      </c>
      <c r="D217" s="359">
        <f>IFERROR(LOOKUP(2,1/([1]!LUNES[[CEDULA ]]=[1]!Tabla9[[#This Row],[CEDULA ]]),[1]!LUNES[HORA]),"No registró")</f>
        <v>0.55842592592592599</v>
      </c>
      <c r="E217" s="359">
        <f>IFERROR(VLOOKUP([1]!Tabla9[[CEDULA ]],[1]!MARTES[#Data],5,0),"No registró")</f>
        <v>0.28137731481481482</v>
      </c>
      <c r="F217" s="359">
        <f>IFERROR(LOOKUP(2,1/([1]!MARTES[[CEDULA ]]=[1]!Tabla9[[#This Row],[CEDULA ]]),[1]!MARTES[HORA]),"No Registró")</f>
        <v>0.5557523148148148</v>
      </c>
      <c r="G217" s="359" t="str">
        <f>IFERROR(VLOOKUP([1]!Tabla9[[CEDULA ]],[1]!MIERCOLES[#Data],5,0),"No registró")</f>
        <v>No registró</v>
      </c>
      <c r="H217" s="359" t="str">
        <f>IFERROR(LOOKUP(2,1/([1]!MIERCOLES[[CEDULA ]]=[1]!Tabla9[[#This Row],[CEDULA ]]),[1]!MIERCOLES[HORA]),"No registró")</f>
        <v>No registró</v>
      </c>
      <c r="I217" s="359" t="str">
        <f>IFERROR(VLOOKUP([1]!Tabla9[[CEDULA ]],[1]!JUEVES[#Data],5,0),"No Registró")</f>
        <v>No Registró</v>
      </c>
      <c r="J217" s="359" t="str">
        <f>IFERROR(LOOKUP(2,1/([1]!JUEVES[[CEDULA ]]=[1]!Tabla9[[#This Row],[CEDULA ]]),[1]!JUEVES[HORA]),"No registró")</f>
        <v>No registró</v>
      </c>
      <c r="K217" s="359" t="str">
        <f>IFERROR(VLOOKUP([1]!Tabla9[[CEDULA ]],[1]!VIERNES[#Data],5,0),"No registró")</f>
        <v>No registró</v>
      </c>
      <c r="L217" s="359" t="str">
        <f>IFERROR(LOOKUP(2,1/([1]!VIERNES[[CEDULA ]]=[1]!Tabla9[[#This Row],[CEDULA ]]),[1]!VIERNES[HORA]),"No registró")</f>
        <v>No registró</v>
      </c>
      <c r="M217" s="359" t="str">
        <f>IFERROR(VLOOKUP([1]!Tabla9[[CEDULA ]],[1]!SABADO[#Data],5,0),"No registró")</f>
        <v>No registró</v>
      </c>
      <c r="N217" s="359" t="str">
        <f>IFERROR(LOOKUP(2,1/([1]!SABADO[[CEDULA ]]=[1]!Tabla9[[#This Row],[CEDULA ]]),[1]!SABADO[HORA]),"No registró")</f>
        <v>No registró</v>
      </c>
      <c r="O217" s="359" t="str">
        <f>IFERROR(VLOOKUP([1]!Tabla9[[CEDULA ]],[1]!DOMINGO[#Data],5,0),"No registró")</f>
        <v>No registró</v>
      </c>
      <c r="P217" s="359" t="str">
        <f>IFERROR(LOOKUP(2,1/([1]!DOMINGO[[CEDULA ]]=[1]!Tabla9[[#This Row],[CEDULA ]]),[1]!DOMINGO[HORA]),"No registró")</f>
        <v>No registró</v>
      </c>
      <c r="Q217" s="240" t="str">
        <f>IFERROR(VLOOKUP(A217,DATOS[],10,0),"")</f>
        <v>3. CARICUAO</v>
      </c>
    </row>
    <row r="218" spans="1:17" x14ac:dyDescent="0.25">
      <c r="A218" s="239">
        <v>13066471</v>
      </c>
      <c r="B218" s="239" t="s">
        <v>1193</v>
      </c>
      <c r="C218" s="359">
        <f>IFERROR(VLOOKUP([1]!Tabla9[[CEDULA ]],[1]!LUNES[#Data],5,0),"No registró")</f>
        <v>0.27777777777777779</v>
      </c>
      <c r="D218" s="359">
        <f>IFERROR(LOOKUP(2,1/([1]!LUNES[[CEDULA ]]=[1]!Tabla9[[#This Row],[CEDULA ]]),[1]!LUNES[HORA]),"No registró")</f>
        <v>0.55459490740740736</v>
      </c>
      <c r="E218" s="359" t="str">
        <f>IFERROR(VLOOKUP([1]!Tabla9[[CEDULA ]],[1]!MARTES[#Data],5,0),"No registró")</f>
        <v>No registró</v>
      </c>
      <c r="F218" s="359" t="str">
        <f>IFERROR(LOOKUP(2,1/([1]!MARTES[[CEDULA ]]=[1]!Tabla9[[#This Row],[CEDULA ]]),[1]!MARTES[HORA]),"No Registró")</f>
        <v>No Registró</v>
      </c>
      <c r="G218" s="359" t="str">
        <f>IFERROR(VLOOKUP([1]!Tabla9[[CEDULA ]],[1]!MIERCOLES[#Data],5,0),"No registró")</f>
        <v>No registró</v>
      </c>
      <c r="H218" s="359" t="str">
        <f>IFERROR(LOOKUP(2,1/([1]!MIERCOLES[[CEDULA ]]=[1]!Tabla9[[#This Row],[CEDULA ]]),[1]!MIERCOLES[HORA]),"No registró")</f>
        <v>No registró</v>
      </c>
      <c r="I218" s="359" t="str">
        <f>IFERROR(VLOOKUP([1]!Tabla9[[CEDULA ]],[1]!JUEVES[#Data],5,0),"No Registró")</f>
        <v>No Registró</v>
      </c>
      <c r="J218" s="359" t="str">
        <f>IFERROR(LOOKUP(2,1/([1]!JUEVES[[CEDULA ]]=[1]!Tabla9[[#This Row],[CEDULA ]]),[1]!JUEVES[HORA]),"No registró")</f>
        <v>No registró</v>
      </c>
      <c r="K218" s="359" t="str">
        <f>IFERROR(VLOOKUP([1]!Tabla9[[CEDULA ]],[1]!VIERNES[#Data],5,0),"No registró")</f>
        <v>No registró</v>
      </c>
      <c r="L218" s="359" t="str">
        <f>IFERROR(LOOKUP(2,1/([1]!VIERNES[[CEDULA ]]=[1]!Tabla9[[#This Row],[CEDULA ]]),[1]!VIERNES[HORA]),"No registró")</f>
        <v>No registró</v>
      </c>
      <c r="M218" s="359" t="str">
        <f>IFERROR(VLOOKUP([1]!Tabla9[[CEDULA ]],[1]!SABADO[#Data],5,0),"No registró")</f>
        <v>No registró</v>
      </c>
      <c r="N218" s="359" t="str">
        <f>IFERROR(LOOKUP(2,1/([1]!SABADO[[CEDULA ]]=[1]!Tabla9[[#This Row],[CEDULA ]]),[1]!SABADO[HORA]),"No registró")</f>
        <v>No registró</v>
      </c>
      <c r="O218" s="359" t="str">
        <f>IFERROR(VLOOKUP([1]!Tabla9[[CEDULA ]],[1]!DOMINGO[#Data],5,0),"No registró")</f>
        <v>No registró</v>
      </c>
      <c r="P218" s="359" t="str">
        <f>IFERROR(LOOKUP(2,1/([1]!DOMINGO[[CEDULA ]]=[1]!Tabla9[[#This Row],[CEDULA ]]),[1]!DOMINGO[HORA]),"No registró")</f>
        <v>No registró</v>
      </c>
      <c r="Q218" s="240" t="str">
        <f>IFERROR(VLOOKUP(A218,DATOS[],10,0),"")</f>
        <v>1. COCHE</v>
      </c>
    </row>
    <row r="219" spans="1:17" x14ac:dyDescent="0.25">
      <c r="A219" s="239">
        <v>13066658</v>
      </c>
      <c r="B219" s="239" t="s">
        <v>1194</v>
      </c>
      <c r="C219" s="359">
        <f>IFERROR(VLOOKUP([1]!Tabla9[[CEDULA ]],[1]!LUNES[#Data],5,0),"No registró")</f>
        <v>0.30909722222222219</v>
      </c>
      <c r="D219" s="359">
        <f>IFERROR(LOOKUP(2,1/([1]!LUNES[[CEDULA ]]=[1]!Tabla9[[#This Row],[CEDULA ]]),[1]!LUNES[HORA]),"No registró")</f>
        <v>0.55131944444444447</v>
      </c>
      <c r="E219" s="359">
        <f>IFERROR(VLOOKUP([1]!Tabla9[[CEDULA ]],[1]!MARTES[#Data],5,0),"No registró")</f>
        <v>0.33777777777777779</v>
      </c>
      <c r="F219" s="359">
        <f>IFERROR(LOOKUP(2,1/([1]!MARTES[[CEDULA ]]=[1]!Tabla9[[#This Row],[CEDULA ]]),[1]!MARTES[HORA]),"No Registró")</f>
        <v>0.55222222222222228</v>
      </c>
      <c r="G219" s="359" t="str">
        <f>IFERROR(VLOOKUP([1]!Tabla9[[CEDULA ]],[1]!MIERCOLES[#Data],5,0),"No registró")</f>
        <v>No registró</v>
      </c>
      <c r="H219" s="359" t="str">
        <f>IFERROR(LOOKUP(2,1/([1]!MIERCOLES[[CEDULA ]]=[1]!Tabla9[[#This Row],[CEDULA ]]),[1]!MIERCOLES[HORA]),"No registró")</f>
        <v>No registró</v>
      </c>
      <c r="I219" s="359" t="str">
        <f>IFERROR(VLOOKUP([1]!Tabla9[[CEDULA ]],[1]!JUEVES[#Data],5,0),"No Registró")</f>
        <v>No Registró</v>
      </c>
      <c r="J219" s="359" t="str">
        <f>IFERROR(LOOKUP(2,1/([1]!JUEVES[[CEDULA ]]=[1]!Tabla9[[#This Row],[CEDULA ]]),[1]!JUEVES[HORA]),"No registró")</f>
        <v>No registró</v>
      </c>
      <c r="K219" s="359" t="str">
        <f>IFERROR(VLOOKUP([1]!Tabla9[[CEDULA ]],[1]!VIERNES[#Data],5,0),"No registró")</f>
        <v>No registró</v>
      </c>
      <c r="L219" s="359" t="str">
        <f>IFERROR(LOOKUP(2,1/([1]!VIERNES[[CEDULA ]]=[1]!Tabla9[[#This Row],[CEDULA ]]),[1]!VIERNES[HORA]),"No registró")</f>
        <v>No registró</v>
      </c>
      <c r="M219" s="359" t="str">
        <f>IFERROR(VLOOKUP([1]!Tabla9[[CEDULA ]],[1]!SABADO[#Data],5,0),"No registró")</f>
        <v>No registró</v>
      </c>
      <c r="N219" s="359" t="str">
        <f>IFERROR(LOOKUP(2,1/([1]!SABADO[[CEDULA ]]=[1]!Tabla9[[#This Row],[CEDULA ]]),[1]!SABADO[HORA]),"No registró")</f>
        <v>No registró</v>
      </c>
      <c r="O219" s="359" t="str">
        <f>IFERROR(VLOOKUP([1]!Tabla9[[CEDULA ]],[1]!DOMINGO[#Data],5,0),"No registró")</f>
        <v>No registró</v>
      </c>
      <c r="P219" s="359" t="str">
        <f>IFERROR(LOOKUP(2,1/([1]!DOMINGO[[CEDULA ]]=[1]!Tabla9[[#This Row],[CEDULA ]]),[1]!DOMINGO[HORA]),"No registró")</f>
        <v>No registró</v>
      </c>
      <c r="Q219" s="240" t="str">
        <f>IFERROR(VLOOKUP(A219,DATOS[],10,0),"")</f>
        <v>4. VALLES DEL TUY</v>
      </c>
    </row>
    <row r="220" spans="1:17" x14ac:dyDescent="0.25">
      <c r="A220" s="239">
        <v>13127394</v>
      </c>
      <c r="B220" s="239" t="s">
        <v>1195</v>
      </c>
      <c r="C220" s="359">
        <f>IFERROR(VLOOKUP([1]!Tabla9[[CEDULA ]],[1]!LUNES[#Data],5,0),"No registró")</f>
        <v>0.32557870370370373</v>
      </c>
      <c r="D220" s="359">
        <f>IFERROR(LOOKUP(2,1/([1]!LUNES[[CEDULA ]]=[1]!Tabla9[[#This Row],[CEDULA ]]),[1]!LUNES[HORA]),"No registró")</f>
        <v>0.55281250000000004</v>
      </c>
      <c r="E220" s="359">
        <f>IFERROR(VLOOKUP([1]!Tabla9[[CEDULA ]],[1]!MARTES[#Data],5,0),"No registró")</f>
        <v>0.332974537037037</v>
      </c>
      <c r="F220" s="359">
        <f>IFERROR(LOOKUP(2,1/([1]!MARTES[[CEDULA ]]=[1]!Tabla9[[#This Row],[CEDULA ]]),[1]!MARTES[HORA]),"No Registró")</f>
        <v>0.55403935185185182</v>
      </c>
      <c r="G220" s="359" t="str">
        <f>IFERROR(VLOOKUP([1]!Tabla9[[CEDULA ]],[1]!MIERCOLES[#Data],5,0),"No registró")</f>
        <v>No registró</v>
      </c>
      <c r="H220" s="359" t="str">
        <f>IFERROR(LOOKUP(2,1/([1]!MIERCOLES[[CEDULA ]]=[1]!Tabla9[[#This Row],[CEDULA ]]),[1]!MIERCOLES[HORA]),"No registró")</f>
        <v>No registró</v>
      </c>
      <c r="I220" s="359" t="str">
        <f>IFERROR(VLOOKUP([1]!Tabla9[[CEDULA ]],[1]!JUEVES[#Data],5,0),"No Registró")</f>
        <v>No Registró</v>
      </c>
      <c r="J220" s="359" t="str">
        <f>IFERROR(LOOKUP(2,1/([1]!JUEVES[[CEDULA ]]=[1]!Tabla9[[#This Row],[CEDULA ]]),[1]!JUEVES[HORA]),"No registró")</f>
        <v>No registró</v>
      </c>
      <c r="K220" s="359" t="str">
        <f>IFERROR(VLOOKUP([1]!Tabla9[[CEDULA ]],[1]!VIERNES[#Data],5,0),"No registró")</f>
        <v>No registró</v>
      </c>
      <c r="L220" s="359" t="str">
        <f>IFERROR(LOOKUP(2,1/([1]!VIERNES[[CEDULA ]]=[1]!Tabla9[[#This Row],[CEDULA ]]),[1]!VIERNES[HORA]),"No registró")</f>
        <v>No registró</v>
      </c>
      <c r="M220" s="359" t="str">
        <f>IFERROR(VLOOKUP([1]!Tabla9[[CEDULA ]],[1]!SABADO[#Data],5,0),"No registró")</f>
        <v>No registró</v>
      </c>
      <c r="N220" s="359" t="str">
        <f>IFERROR(LOOKUP(2,1/([1]!SABADO[[CEDULA ]]=[1]!Tabla9[[#This Row],[CEDULA ]]),[1]!SABADO[HORA]),"No registró")</f>
        <v>No registró</v>
      </c>
      <c r="O220" s="359" t="str">
        <f>IFERROR(VLOOKUP([1]!Tabla9[[CEDULA ]],[1]!DOMINGO[#Data],5,0),"No registró")</f>
        <v>No registró</v>
      </c>
      <c r="P220" s="359" t="str">
        <f>IFERROR(LOOKUP(2,1/([1]!DOMINGO[[CEDULA ]]=[1]!Tabla9[[#This Row],[CEDULA ]]),[1]!DOMINGO[HORA]),"No registró")</f>
        <v>No registró</v>
      </c>
      <c r="Q220" s="240">
        <f>IFERROR(VLOOKUP(A220,DATOS[],10,0),"")</f>
        <v>0</v>
      </c>
    </row>
    <row r="221" spans="1:17" x14ac:dyDescent="0.25">
      <c r="A221" s="239">
        <v>13159270</v>
      </c>
      <c r="B221" s="239" t="s">
        <v>1196</v>
      </c>
      <c r="C221" s="359">
        <f>IFERROR(VLOOKUP([1]!Tabla9[[CEDULA ]],[1]!LUNES[#Data],5,0),"No registró")</f>
        <v>0.27023148148148152</v>
      </c>
      <c r="D221" s="359">
        <f>IFERROR(LOOKUP(2,1/([1]!LUNES[[CEDULA ]]=[1]!Tabla9[[#This Row],[CEDULA ]]),[1]!LUNES[HORA]),"No registró")</f>
        <v>0.54749999999999999</v>
      </c>
      <c r="E221" s="359">
        <f>IFERROR(VLOOKUP([1]!Tabla9[[CEDULA ]],[1]!MARTES[#Data],5,0),"No registró")</f>
        <v>0.33266203703703706</v>
      </c>
      <c r="F221" s="359">
        <f>IFERROR(LOOKUP(2,1/([1]!MARTES[[CEDULA ]]=[1]!Tabla9[[#This Row],[CEDULA ]]),[1]!MARTES[HORA]),"No Registró")</f>
        <v>0.54468749999999999</v>
      </c>
      <c r="G221" s="359" t="str">
        <f>IFERROR(VLOOKUP([1]!Tabla9[[CEDULA ]],[1]!MIERCOLES[#Data],5,0),"No registró")</f>
        <v>No registró</v>
      </c>
      <c r="H221" s="359" t="str">
        <f>IFERROR(LOOKUP(2,1/([1]!MIERCOLES[[CEDULA ]]=[1]!Tabla9[[#This Row],[CEDULA ]]),[1]!MIERCOLES[HORA]),"No registró")</f>
        <v>No registró</v>
      </c>
      <c r="I221" s="359" t="str">
        <f>IFERROR(VLOOKUP([1]!Tabla9[[CEDULA ]],[1]!JUEVES[#Data],5,0),"No Registró")</f>
        <v>No Registró</v>
      </c>
      <c r="J221" s="359" t="str">
        <f>IFERROR(LOOKUP(2,1/([1]!JUEVES[[CEDULA ]]=[1]!Tabla9[[#This Row],[CEDULA ]]),[1]!JUEVES[HORA]),"No registró")</f>
        <v>No registró</v>
      </c>
      <c r="K221" s="359" t="str">
        <f>IFERROR(VLOOKUP([1]!Tabla9[[CEDULA ]],[1]!VIERNES[#Data],5,0),"No registró")</f>
        <v>No registró</v>
      </c>
      <c r="L221" s="359" t="str">
        <f>IFERROR(LOOKUP(2,1/([1]!VIERNES[[CEDULA ]]=[1]!Tabla9[[#This Row],[CEDULA ]]),[1]!VIERNES[HORA]),"No registró")</f>
        <v>No registró</v>
      </c>
      <c r="M221" s="359" t="str">
        <f>IFERROR(VLOOKUP([1]!Tabla9[[CEDULA ]],[1]!SABADO[#Data],5,0),"No registró")</f>
        <v>No registró</v>
      </c>
      <c r="N221" s="359" t="str">
        <f>IFERROR(LOOKUP(2,1/([1]!SABADO[[CEDULA ]]=[1]!Tabla9[[#This Row],[CEDULA ]]),[1]!SABADO[HORA]),"No registró")</f>
        <v>No registró</v>
      </c>
      <c r="O221" s="359" t="str">
        <f>IFERROR(VLOOKUP([1]!Tabla9[[CEDULA ]],[1]!DOMINGO[#Data],5,0),"No registró")</f>
        <v>No registró</v>
      </c>
      <c r="P221" s="359" t="str">
        <f>IFERROR(LOOKUP(2,1/([1]!DOMINGO[[CEDULA ]]=[1]!Tabla9[[#This Row],[CEDULA ]]),[1]!DOMINGO[HORA]),"No registró")</f>
        <v>No registró</v>
      </c>
      <c r="Q221" s="240" t="str">
        <f>IFERROR(VLOOKUP(A221,DATOS[],10,0),"")</f>
        <v>5. GUARENAS</v>
      </c>
    </row>
    <row r="222" spans="1:17" x14ac:dyDescent="0.25">
      <c r="A222" s="239">
        <v>13224484</v>
      </c>
      <c r="B222" s="239" t="s">
        <v>1383</v>
      </c>
      <c r="C222" s="359">
        <f>IFERROR(VLOOKUP([1]!Tabla9[[CEDULA ]],[1]!LUNES[#Data],5,0),"No registró")</f>
        <v>0.33350694444444445</v>
      </c>
      <c r="D222" s="359">
        <f>IFERROR(LOOKUP(2,1/([1]!LUNES[[CEDULA ]]=[1]!Tabla9[[#This Row],[CEDULA ]]),[1]!LUNES[HORA]),"No registró")</f>
        <v>0.55592592592592593</v>
      </c>
      <c r="E222" s="359">
        <f>IFERROR(VLOOKUP([1]!Tabla9[[CEDULA ]],[1]!MARTES[#Data],5,0),"No registró")</f>
        <v>0.34386574074074078</v>
      </c>
      <c r="F222" s="359">
        <f>IFERROR(LOOKUP(2,1/([1]!MARTES[[CEDULA ]]=[1]!Tabla9[[#This Row],[CEDULA ]]),[1]!MARTES[HORA]),"No Registró")</f>
        <v>0.55393518518518514</v>
      </c>
      <c r="G222" s="359" t="str">
        <f>IFERROR(VLOOKUP([1]!Tabla9[[CEDULA ]],[1]!MIERCOLES[#Data],5,0),"No registró")</f>
        <v>No registró</v>
      </c>
      <c r="H222" s="359" t="str">
        <f>IFERROR(LOOKUP(2,1/([1]!MIERCOLES[[CEDULA ]]=[1]!Tabla9[[#This Row],[CEDULA ]]),[1]!MIERCOLES[HORA]),"No registró")</f>
        <v>No registró</v>
      </c>
      <c r="I222" s="359" t="str">
        <f>IFERROR(VLOOKUP([1]!Tabla9[[CEDULA ]],[1]!JUEVES[#Data],5,0),"No Registró")</f>
        <v>No Registró</v>
      </c>
      <c r="J222" s="359" t="str">
        <f>IFERROR(LOOKUP(2,1/([1]!JUEVES[[CEDULA ]]=[1]!Tabla9[[#This Row],[CEDULA ]]),[1]!JUEVES[HORA]),"No registró")</f>
        <v>No registró</v>
      </c>
      <c r="K222" s="359" t="str">
        <f>IFERROR(VLOOKUP([1]!Tabla9[[CEDULA ]],[1]!VIERNES[#Data],5,0),"No registró")</f>
        <v>No registró</v>
      </c>
      <c r="L222" s="359" t="str">
        <f>IFERROR(LOOKUP(2,1/([1]!VIERNES[[CEDULA ]]=[1]!Tabla9[[#This Row],[CEDULA ]]),[1]!VIERNES[HORA]),"No registró")</f>
        <v>No registró</v>
      </c>
      <c r="M222" s="359" t="str">
        <f>IFERROR(VLOOKUP([1]!Tabla9[[CEDULA ]],[1]!SABADO[#Data],5,0),"No registró")</f>
        <v>No registró</v>
      </c>
      <c r="N222" s="359" t="str">
        <f>IFERROR(LOOKUP(2,1/([1]!SABADO[[CEDULA ]]=[1]!Tabla9[[#This Row],[CEDULA ]]),[1]!SABADO[HORA]),"No registró")</f>
        <v>No registró</v>
      </c>
      <c r="O222" s="359" t="str">
        <f>IFERROR(VLOOKUP([1]!Tabla9[[CEDULA ]],[1]!DOMINGO[#Data],5,0),"No registró")</f>
        <v>No registró</v>
      </c>
      <c r="P222" s="359" t="str">
        <f>IFERROR(LOOKUP(2,1/([1]!DOMINGO[[CEDULA ]]=[1]!Tabla9[[#This Row],[CEDULA ]]),[1]!DOMINGO[HORA]),"No registró")</f>
        <v>No registró</v>
      </c>
      <c r="Q222" s="240" t="str">
        <f>IFERROR(VLOOKUP(A222,DATOS[],10,0),"")</f>
        <v>0. ALTO NIVEL</v>
      </c>
    </row>
    <row r="223" spans="1:17" x14ac:dyDescent="0.25">
      <c r="A223" s="239">
        <v>13290687</v>
      </c>
      <c r="B223" s="239" t="s">
        <v>1197</v>
      </c>
      <c r="C223" s="359">
        <f>IFERROR(VLOOKUP([1]!Tabla9[[CEDULA ]],[1]!LUNES[#Data],5,0),"No registró")</f>
        <v>0.28771990740740744</v>
      </c>
      <c r="D223" s="359">
        <f>IFERROR(LOOKUP(2,1/([1]!LUNES[[CEDULA ]]=[1]!Tabla9[[#This Row],[CEDULA ]]),[1]!LUNES[HORA]),"No registró")</f>
        <v>0.55151620370370369</v>
      </c>
      <c r="E223" s="359">
        <f>IFERROR(VLOOKUP([1]!Tabla9[[CEDULA ]],[1]!MARTES[#Data],5,0),"No registró")</f>
        <v>0.28259259259259256</v>
      </c>
      <c r="F223" s="359">
        <f>IFERROR(LOOKUP(2,1/([1]!MARTES[[CEDULA ]]=[1]!Tabla9[[#This Row],[CEDULA ]]),[1]!MARTES[HORA]),"No Registró")</f>
        <v>0.52606481481481482</v>
      </c>
      <c r="G223" s="359" t="str">
        <f>IFERROR(VLOOKUP([1]!Tabla9[[CEDULA ]],[1]!MIERCOLES[#Data],5,0),"No registró")</f>
        <v>No registró</v>
      </c>
      <c r="H223" s="359" t="str">
        <f>IFERROR(LOOKUP(2,1/([1]!MIERCOLES[[CEDULA ]]=[1]!Tabla9[[#This Row],[CEDULA ]]),[1]!MIERCOLES[HORA]),"No registró")</f>
        <v>No registró</v>
      </c>
      <c r="I223" s="359" t="str">
        <f>IFERROR(VLOOKUP([1]!Tabla9[[CEDULA ]],[1]!JUEVES[#Data],5,0),"No Registró")</f>
        <v>No Registró</v>
      </c>
      <c r="J223" s="359" t="str">
        <f>IFERROR(LOOKUP(2,1/([1]!JUEVES[[CEDULA ]]=[1]!Tabla9[[#This Row],[CEDULA ]]),[1]!JUEVES[HORA]),"No registró")</f>
        <v>No registró</v>
      </c>
      <c r="K223" s="359" t="str">
        <f>IFERROR(VLOOKUP([1]!Tabla9[[CEDULA ]],[1]!VIERNES[#Data],5,0),"No registró")</f>
        <v>No registró</v>
      </c>
      <c r="L223" s="359" t="str">
        <f>IFERROR(LOOKUP(2,1/([1]!VIERNES[[CEDULA ]]=[1]!Tabla9[[#This Row],[CEDULA ]]),[1]!VIERNES[HORA]),"No registró")</f>
        <v>No registró</v>
      </c>
      <c r="M223" s="359" t="str">
        <f>IFERROR(VLOOKUP([1]!Tabla9[[CEDULA ]],[1]!SABADO[#Data],5,0),"No registró")</f>
        <v>No registró</v>
      </c>
      <c r="N223" s="359" t="str">
        <f>IFERROR(LOOKUP(2,1/([1]!SABADO[[CEDULA ]]=[1]!Tabla9[[#This Row],[CEDULA ]]),[1]!SABADO[HORA]),"No registró")</f>
        <v>No registró</v>
      </c>
      <c r="O223" s="359" t="str">
        <f>IFERROR(VLOOKUP([1]!Tabla9[[CEDULA ]],[1]!DOMINGO[#Data],5,0),"No registró")</f>
        <v>No registró</v>
      </c>
      <c r="P223" s="359" t="str">
        <f>IFERROR(LOOKUP(2,1/([1]!DOMINGO[[CEDULA ]]=[1]!Tabla9[[#This Row],[CEDULA ]]),[1]!DOMINGO[HORA]),"No registró")</f>
        <v>No registró</v>
      </c>
      <c r="Q223" s="240" t="str">
        <f>IFERROR(VLOOKUP(A223,DATOS[],10,0),"")</f>
        <v>5. GUARENAS</v>
      </c>
    </row>
    <row r="224" spans="1:17" x14ac:dyDescent="0.25">
      <c r="A224" s="239">
        <v>13319654</v>
      </c>
      <c r="B224" s="239" t="s">
        <v>1198</v>
      </c>
      <c r="C224" s="359">
        <f>IFERROR(VLOOKUP([1]!Tabla9[[CEDULA ]],[1]!LUNES[#Data],5,0),"No registró")</f>
        <v>0.28793981481481484</v>
      </c>
      <c r="D224" s="359">
        <f>IFERROR(LOOKUP(2,1/([1]!LUNES[[CEDULA ]]=[1]!Tabla9[[#This Row],[CEDULA ]]),[1]!LUNES[HORA]),"No registró")</f>
        <v>0.55467592592592596</v>
      </c>
      <c r="E224" s="359">
        <f>IFERROR(VLOOKUP([1]!Tabla9[[CEDULA ]],[1]!MARTES[#Data],5,0),"No registró")</f>
        <v>0.28285879629629629</v>
      </c>
      <c r="F224" s="359">
        <f>IFERROR(LOOKUP(2,1/([1]!MARTES[[CEDULA ]]=[1]!Tabla9[[#This Row],[CEDULA ]]),[1]!MARTES[HORA]),"No Registró")</f>
        <v>0.55390046296296302</v>
      </c>
      <c r="G224" s="359" t="str">
        <f>IFERROR(VLOOKUP([1]!Tabla9[[CEDULA ]],[1]!MIERCOLES[#Data],5,0),"No registró")</f>
        <v>No registró</v>
      </c>
      <c r="H224" s="359" t="str">
        <f>IFERROR(LOOKUP(2,1/([1]!MIERCOLES[[CEDULA ]]=[1]!Tabla9[[#This Row],[CEDULA ]]),[1]!MIERCOLES[HORA]),"No registró")</f>
        <v>No registró</v>
      </c>
      <c r="I224" s="359" t="str">
        <f>IFERROR(VLOOKUP([1]!Tabla9[[CEDULA ]],[1]!JUEVES[#Data],5,0),"No Registró")</f>
        <v>No Registró</v>
      </c>
      <c r="J224" s="359" t="str">
        <f>IFERROR(LOOKUP(2,1/([1]!JUEVES[[CEDULA ]]=[1]!Tabla9[[#This Row],[CEDULA ]]),[1]!JUEVES[HORA]),"No registró")</f>
        <v>No registró</v>
      </c>
      <c r="K224" s="359" t="str">
        <f>IFERROR(VLOOKUP([1]!Tabla9[[CEDULA ]],[1]!VIERNES[#Data],5,0),"No registró")</f>
        <v>No registró</v>
      </c>
      <c r="L224" s="359" t="str">
        <f>IFERROR(LOOKUP(2,1/([1]!VIERNES[[CEDULA ]]=[1]!Tabla9[[#This Row],[CEDULA ]]),[1]!VIERNES[HORA]),"No registró")</f>
        <v>No registró</v>
      </c>
      <c r="M224" s="359" t="str">
        <f>IFERROR(VLOOKUP([1]!Tabla9[[CEDULA ]],[1]!SABADO[#Data],5,0),"No registró")</f>
        <v>No registró</v>
      </c>
      <c r="N224" s="359" t="str">
        <f>IFERROR(LOOKUP(2,1/([1]!SABADO[[CEDULA ]]=[1]!Tabla9[[#This Row],[CEDULA ]]),[1]!SABADO[HORA]),"No registró")</f>
        <v>No registró</v>
      </c>
      <c r="O224" s="359" t="str">
        <f>IFERROR(VLOOKUP([1]!Tabla9[[CEDULA ]],[1]!DOMINGO[#Data],5,0),"No registró")</f>
        <v>No registró</v>
      </c>
      <c r="P224" s="359" t="str">
        <f>IFERROR(LOOKUP(2,1/([1]!DOMINGO[[CEDULA ]]=[1]!Tabla9[[#This Row],[CEDULA ]]),[1]!DOMINGO[HORA]),"No registró")</f>
        <v>No registró</v>
      </c>
      <c r="Q224" s="240" t="str">
        <f>IFERROR(VLOOKUP(A224,DATOS[],10,0),"")</f>
        <v>5. GUARENAS</v>
      </c>
    </row>
    <row r="225" spans="1:17" x14ac:dyDescent="0.25">
      <c r="A225" s="239">
        <v>13338711</v>
      </c>
      <c r="B225" s="239" t="s">
        <v>1199</v>
      </c>
      <c r="C225" s="359">
        <f>IFERROR(VLOOKUP([1]!Tabla9[[CEDULA ]],[1]!LUNES[#Data],5,0),"No registró")</f>
        <v>0.29313657407407406</v>
      </c>
      <c r="D225" s="359">
        <f>IFERROR(LOOKUP(2,1/([1]!LUNES[[CEDULA ]]=[1]!Tabla9[[#This Row],[CEDULA ]]),[1]!LUNES[HORA]),"No registró")</f>
        <v>0.63538194444444451</v>
      </c>
      <c r="E225" s="359">
        <f>IFERROR(VLOOKUP([1]!Tabla9[[CEDULA ]],[1]!MARTES[#Data],5,0),"No registró")</f>
        <v>0.28832175925925924</v>
      </c>
      <c r="F225" s="359">
        <f>IFERROR(LOOKUP(2,1/([1]!MARTES[[CEDULA ]]=[1]!Tabla9[[#This Row],[CEDULA ]]),[1]!MARTES[HORA]),"No Registró")</f>
        <v>0.56164351851851857</v>
      </c>
      <c r="G225" s="359" t="str">
        <f>IFERROR(VLOOKUP([1]!Tabla9[[CEDULA ]],[1]!MIERCOLES[#Data],5,0),"No registró")</f>
        <v>No registró</v>
      </c>
      <c r="H225" s="359" t="str">
        <f>IFERROR(LOOKUP(2,1/([1]!MIERCOLES[[CEDULA ]]=[1]!Tabla9[[#This Row],[CEDULA ]]),[1]!MIERCOLES[HORA]),"No registró")</f>
        <v>No registró</v>
      </c>
      <c r="I225" s="359" t="str">
        <f>IFERROR(VLOOKUP([1]!Tabla9[[CEDULA ]],[1]!JUEVES[#Data],5,0),"No Registró")</f>
        <v>No Registró</v>
      </c>
      <c r="J225" s="359" t="str">
        <f>IFERROR(LOOKUP(2,1/([1]!JUEVES[[CEDULA ]]=[1]!Tabla9[[#This Row],[CEDULA ]]),[1]!JUEVES[HORA]),"No registró")</f>
        <v>No registró</v>
      </c>
      <c r="K225" s="359" t="str">
        <f>IFERROR(VLOOKUP([1]!Tabla9[[CEDULA ]],[1]!VIERNES[#Data],5,0),"No registró")</f>
        <v>No registró</v>
      </c>
      <c r="L225" s="359" t="str">
        <f>IFERROR(LOOKUP(2,1/([1]!VIERNES[[CEDULA ]]=[1]!Tabla9[[#This Row],[CEDULA ]]),[1]!VIERNES[HORA]),"No registró")</f>
        <v>No registró</v>
      </c>
      <c r="M225" s="359" t="str">
        <f>IFERROR(VLOOKUP([1]!Tabla9[[CEDULA ]],[1]!SABADO[#Data],5,0),"No registró")</f>
        <v>No registró</v>
      </c>
      <c r="N225" s="359" t="str">
        <f>IFERROR(LOOKUP(2,1/([1]!SABADO[[CEDULA ]]=[1]!Tabla9[[#This Row],[CEDULA ]]),[1]!SABADO[HORA]),"No registró")</f>
        <v>No registró</v>
      </c>
      <c r="O225" s="359" t="str">
        <f>IFERROR(VLOOKUP([1]!Tabla9[[CEDULA ]],[1]!DOMINGO[#Data],5,0),"No registró")</f>
        <v>No registró</v>
      </c>
      <c r="P225" s="359" t="str">
        <f>IFERROR(LOOKUP(2,1/([1]!DOMINGO[[CEDULA ]]=[1]!Tabla9[[#This Row],[CEDULA ]]),[1]!DOMINGO[HORA]),"No registró")</f>
        <v>No registró</v>
      </c>
      <c r="Q225" s="240">
        <f>IFERROR(VLOOKUP(A225,DATOS[],10,0),"")</f>
        <v>0</v>
      </c>
    </row>
    <row r="226" spans="1:17" x14ac:dyDescent="0.25">
      <c r="A226" s="239">
        <v>13374879</v>
      </c>
      <c r="B226" s="239" t="s">
        <v>1200</v>
      </c>
      <c r="C226" s="359">
        <f>IFERROR(VLOOKUP([1]!Tabla9[[CEDULA ]],[1]!LUNES[#Data],5,0),"No registró")</f>
        <v>0.25417824074074075</v>
      </c>
      <c r="D226" s="359">
        <f>IFERROR(LOOKUP(2,1/([1]!LUNES[[CEDULA ]]=[1]!Tabla9[[#This Row],[CEDULA ]]),[1]!LUNES[HORA]),"No registró")</f>
        <v>0.66035879629629635</v>
      </c>
      <c r="E226" s="359">
        <f>IFERROR(VLOOKUP([1]!Tabla9[[CEDULA ]],[1]!MARTES[#Data],5,0),"No registró")</f>
        <v>0.24611111111111109</v>
      </c>
      <c r="F226" s="359">
        <f>IFERROR(LOOKUP(2,1/([1]!MARTES[[CEDULA ]]=[1]!Tabla9[[#This Row],[CEDULA ]]),[1]!MARTES[HORA]),"No Registró")</f>
        <v>0.72715277777777787</v>
      </c>
      <c r="G226" s="359" t="str">
        <f>IFERROR(VLOOKUP([1]!Tabla9[[CEDULA ]],[1]!MIERCOLES[#Data],5,0),"No registró")</f>
        <v>No registró</v>
      </c>
      <c r="H226" s="359" t="str">
        <f>IFERROR(LOOKUP(2,1/([1]!MIERCOLES[[CEDULA ]]=[1]!Tabla9[[#This Row],[CEDULA ]]),[1]!MIERCOLES[HORA]),"No registró")</f>
        <v>No registró</v>
      </c>
      <c r="I226" s="359" t="str">
        <f>IFERROR(VLOOKUP([1]!Tabla9[[CEDULA ]],[1]!JUEVES[#Data],5,0),"No Registró")</f>
        <v>No Registró</v>
      </c>
      <c r="J226" s="359" t="str">
        <f>IFERROR(LOOKUP(2,1/([1]!JUEVES[[CEDULA ]]=[1]!Tabla9[[#This Row],[CEDULA ]]),[1]!JUEVES[HORA]),"No registró")</f>
        <v>No registró</v>
      </c>
      <c r="K226" s="359" t="str">
        <f>IFERROR(VLOOKUP([1]!Tabla9[[CEDULA ]],[1]!VIERNES[#Data],5,0),"No registró")</f>
        <v>No registró</v>
      </c>
      <c r="L226" s="359" t="str">
        <f>IFERROR(LOOKUP(2,1/([1]!VIERNES[[CEDULA ]]=[1]!Tabla9[[#This Row],[CEDULA ]]),[1]!VIERNES[HORA]),"No registró")</f>
        <v>No registró</v>
      </c>
      <c r="M226" s="359" t="str">
        <f>IFERROR(VLOOKUP([1]!Tabla9[[CEDULA ]],[1]!SABADO[#Data],5,0),"No registró")</f>
        <v>No registró</v>
      </c>
      <c r="N226" s="359" t="str">
        <f>IFERROR(LOOKUP(2,1/([1]!SABADO[[CEDULA ]]=[1]!Tabla9[[#This Row],[CEDULA ]]),[1]!SABADO[HORA]),"No registró")</f>
        <v>No registró</v>
      </c>
      <c r="O226" s="359" t="str">
        <f>IFERROR(VLOOKUP([1]!Tabla9[[CEDULA ]],[1]!DOMINGO[#Data],5,0),"No registró")</f>
        <v>No registró</v>
      </c>
      <c r="P226" s="359" t="str">
        <f>IFERROR(LOOKUP(2,1/([1]!DOMINGO[[CEDULA ]]=[1]!Tabla9[[#This Row],[CEDULA ]]),[1]!DOMINGO[HORA]),"No registró")</f>
        <v>No registró</v>
      </c>
      <c r="Q226" s="240" t="str">
        <f>IFERROR(VLOOKUP(A226,DATOS[],10,0),"")</f>
        <v>4. VALLES DEL TUY</v>
      </c>
    </row>
    <row r="227" spans="1:17" x14ac:dyDescent="0.25">
      <c r="A227" s="239">
        <v>13432917</v>
      </c>
      <c r="B227" s="239" t="s">
        <v>1201</v>
      </c>
      <c r="C227" s="359">
        <f>IFERROR(VLOOKUP([1]!Tabla9[[CEDULA ]],[1]!LUNES[#Data],5,0),"No registró")</f>
        <v>0.32771990740740742</v>
      </c>
      <c r="D227" s="359">
        <f>IFERROR(LOOKUP(2,1/([1]!LUNES[[CEDULA ]]=[1]!Tabla9[[#This Row],[CEDULA ]]),[1]!LUNES[HORA]),"No registró")</f>
        <v>0.55182870370370374</v>
      </c>
      <c r="E227" s="359">
        <f>IFERROR(VLOOKUP([1]!Tabla9[[CEDULA ]],[1]!MARTES[#Data],5,0),"No registró")</f>
        <v>0.30807870370370372</v>
      </c>
      <c r="F227" s="359">
        <f>IFERROR(LOOKUP(2,1/([1]!MARTES[[CEDULA ]]=[1]!Tabla9[[#This Row],[CEDULA ]]),[1]!MARTES[HORA]),"No Registró")</f>
        <v>0.55564814814814811</v>
      </c>
      <c r="G227" s="359" t="str">
        <f>IFERROR(VLOOKUP([1]!Tabla9[[CEDULA ]],[1]!MIERCOLES[#Data],5,0),"No registró")</f>
        <v>No registró</v>
      </c>
      <c r="H227" s="359" t="str">
        <f>IFERROR(LOOKUP(2,1/([1]!MIERCOLES[[CEDULA ]]=[1]!Tabla9[[#This Row],[CEDULA ]]),[1]!MIERCOLES[HORA]),"No registró")</f>
        <v>No registró</v>
      </c>
      <c r="I227" s="359" t="str">
        <f>IFERROR(VLOOKUP([1]!Tabla9[[CEDULA ]],[1]!JUEVES[#Data],5,0),"No Registró")</f>
        <v>No Registró</v>
      </c>
      <c r="J227" s="359" t="str">
        <f>IFERROR(LOOKUP(2,1/([1]!JUEVES[[CEDULA ]]=[1]!Tabla9[[#This Row],[CEDULA ]]),[1]!JUEVES[HORA]),"No registró")</f>
        <v>No registró</v>
      </c>
      <c r="K227" s="359" t="str">
        <f>IFERROR(VLOOKUP([1]!Tabla9[[CEDULA ]],[1]!VIERNES[#Data],5,0),"No registró")</f>
        <v>No registró</v>
      </c>
      <c r="L227" s="359" t="str">
        <f>IFERROR(LOOKUP(2,1/([1]!VIERNES[[CEDULA ]]=[1]!Tabla9[[#This Row],[CEDULA ]]),[1]!VIERNES[HORA]),"No registró")</f>
        <v>No registró</v>
      </c>
      <c r="M227" s="359" t="str">
        <f>IFERROR(VLOOKUP([1]!Tabla9[[CEDULA ]],[1]!SABADO[#Data],5,0),"No registró")</f>
        <v>No registró</v>
      </c>
      <c r="N227" s="359" t="str">
        <f>IFERROR(LOOKUP(2,1/([1]!SABADO[[CEDULA ]]=[1]!Tabla9[[#This Row],[CEDULA ]]),[1]!SABADO[HORA]),"No registró")</f>
        <v>No registró</v>
      </c>
      <c r="O227" s="359" t="str">
        <f>IFERROR(VLOOKUP([1]!Tabla9[[CEDULA ]],[1]!DOMINGO[#Data],5,0),"No registró")</f>
        <v>No registró</v>
      </c>
      <c r="P227" s="359" t="str">
        <f>IFERROR(LOOKUP(2,1/([1]!DOMINGO[[CEDULA ]]=[1]!Tabla9[[#This Row],[CEDULA ]]),[1]!DOMINGO[HORA]),"No registró")</f>
        <v>No registró</v>
      </c>
      <c r="Q227" s="240" t="str">
        <f>IFERROR(VLOOKUP(A227,DATOS[],10,0),"")</f>
        <v>3. CARICUAO</v>
      </c>
    </row>
    <row r="228" spans="1:17" x14ac:dyDescent="0.25">
      <c r="A228" s="239">
        <v>13537176</v>
      </c>
      <c r="B228" s="239" t="s">
        <v>1202</v>
      </c>
      <c r="C228" s="359">
        <f>IFERROR(VLOOKUP([1]!Tabla9[[CEDULA ]],[1]!LUNES[#Data],5,0),"No registró")</f>
        <v>0.32180555555555557</v>
      </c>
      <c r="D228" s="360" t="s">
        <v>989</v>
      </c>
      <c r="E228" s="359" t="str">
        <f>IFERROR(VLOOKUP([1]!Tabla9[[CEDULA ]],[1]!MARTES[#Data],5,0),"No registró")</f>
        <v>No registró</v>
      </c>
      <c r="F228" s="359" t="str">
        <f>IFERROR(LOOKUP(2,1/([1]!MARTES[[CEDULA ]]=[1]!Tabla9[[#This Row],[CEDULA ]]),[1]!MARTES[HORA]),"No Registró")</f>
        <v>No Registró</v>
      </c>
      <c r="G228" s="359" t="str">
        <f>IFERROR(VLOOKUP([1]!Tabla9[[CEDULA ]],[1]!MIERCOLES[#Data],5,0),"No registró")</f>
        <v>No registró</v>
      </c>
      <c r="H228" s="359" t="str">
        <f>IFERROR(LOOKUP(2,1/([1]!MIERCOLES[[CEDULA ]]=[1]!Tabla9[[#This Row],[CEDULA ]]),[1]!MIERCOLES[HORA]),"No registró")</f>
        <v>No registró</v>
      </c>
      <c r="I228" s="360" t="s">
        <v>988</v>
      </c>
      <c r="J228" s="359">
        <f>IFERROR(LOOKUP(2,1/([1]!JUEVES[[CEDULA ]]=[1]!Tabla9[[#This Row],[CEDULA ]]),[1]!JUEVES[HORA]),"No registró")</f>
        <v>0.57991898148148147</v>
      </c>
      <c r="K228" s="359">
        <f>IFERROR(VLOOKUP([1]!Tabla9[[CEDULA ]],[1]!VIERNES[#Data],5,0),"No registró")</f>
        <v>0.23979166666666665</v>
      </c>
      <c r="L228" s="360" t="s">
        <v>989</v>
      </c>
      <c r="M228" s="359" t="str">
        <f>IFERROR(VLOOKUP([1]!Tabla9[[CEDULA ]],[1]!SABADO[#Data],5,0),"No registró")</f>
        <v>No registró</v>
      </c>
      <c r="N228" s="359" t="str">
        <f>IFERROR(LOOKUP(2,1/([1]!SABADO[[CEDULA ]]=[1]!Tabla9[[#This Row],[CEDULA ]]),[1]!SABADO[HORA]),"No registró")</f>
        <v>No registró</v>
      </c>
      <c r="O228" s="359" t="str">
        <f>IFERROR(VLOOKUP([1]!Tabla9[[CEDULA ]],[1]!DOMINGO[#Data],5,0),"No registró")</f>
        <v>No registró</v>
      </c>
      <c r="P228" s="359" t="str">
        <f>IFERROR(LOOKUP(2,1/([1]!DOMINGO[[CEDULA ]]=[1]!Tabla9[[#This Row],[CEDULA ]]),[1]!DOMINGO[HORA]),"No registró")</f>
        <v>No registró</v>
      </c>
      <c r="Q228" s="240" t="str">
        <f>IFERROR(VLOOKUP(A228,DATOS[],10,0),"")</f>
        <v>4. VALLES DEL TUY</v>
      </c>
    </row>
    <row r="229" spans="1:17" x14ac:dyDescent="0.25">
      <c r="A229" s="239">
        <v>13615404</v>
      </c>
      <c r="B229" s="239" t="s">
        <v>1203</v>
      </c>
      <c r="C229" s="359">
        <f>IFERROR(VLOOKUP([1]!Tabla9[[CEDULA ]],[1]!LUNES[#Data],5,0),"No registró")</f>
        <v>0.2951273148148148</v>
      </c>
      <c r="D229" s="359">
        <f>IFERROR(LOOKUP(2,1/([1]!LUNES[[CEDULA ]]=[1]!Tabla9[[#This Row],[CEDULA ]]),[1]!LUNES[HORA]),"No registró")</f>
        <v>0.53379629629629632</v>
      </c>
      <c r="E229" s="359">
        <f>IFERROR(VLOOKUP([1]!Tabla9[[CEDULA ]],[1]!MARTES[#Data],5,0),"No registró")</f>
        <v>0.2963425925925926</v>
      </c>
      <c r="F229" s="359">
        <f>IFERROR(LOOKUP(2,1/([1]!MARTES[[CEDULA ]]=[1]!Tabla9[[#This Row],[CEDULA ]]),[1]!MARTES[HORA]),"No Registró")</f>
        <v>0.43922453703703707</v>
      </c>
      <c r="G229" s="359" t="str">
        <f>IFERROR(VLOOKUP([1]!Tabla9[[CEDULA ]],[1]!MIERCOLES[#Data],5,0),"No registró")</f>
        <v>No registró</v>
      </c>
      <c r="H229" s="359" t="str">
        <f>IFERROR(LOOKUP(2,1/([1]!MIERCOLES[[CEDULA ]]=[1]!Tabla9[[#This Row],[CEDULA ]]),[1]!MIERCOLES[HORA]),"No registró")</f>
        <v>No registró</v>
      </c>
      <c r="I229" s="359" t="str">
        <f>IFERROR(VLOOKUP([1]!Tabla9[[CEDULA ]],[1]!JUEVES[#Data],5,0),"No Registró")</f>
        <v>No Registró</v>
      </c>
      <c r="J229" s="359" t="str">
        <f>IFERROR(LOOKUP(2,1/([1]!JUEVES[[CEDULA ]]=[1]!Tabla9[[#This Row],[CEDULA ]]),[1]!JUEVES[HORA]),"No registró")</f>
        <v>No registró</v>
      </c>
      <c r="K229" s="359" t="str">
        <f>IFERROR(VLOOKUP([1]!Tabla9[[CEDULA ]],[1]!VIERNES[#Data],5,0),"No registró")</f>
        <v>No registró</v>
      </c>
      <c r="L229" s="359" t="str">
        <f>IFERROR(LOOKUP(2,1/([1]!VIERNES[[CEDULA ]]=[1]!Tabla9[[#This Row],[CEDULA ]]),[1]!VIERNES[HORA]),"No registró")</f>
        <v>No registró</v>
      </c>
      <c r="M229" s="359">
        <f>IFERROR(VLOOKUP([1]!Tabla9[[CEDULA ]],[1]!SABADO[#Data],5,0),"No registró")</f>
        <v>0.30787037037037041</v>
      </c>
      <c r="N229" s="359">
        <f>IFERROR(LOOKUP(2,1/([1]!SABADO[[CEDULA ]]=[1]!Tabla9[[#This Row],[CEDULA ]]),[1]!SABADO[HORA]),"No registró")</f>
        <v>0.52372685185185186</v>
      </c>
      <c r="O229" s="359" t="str">
        <f>IFERROR(VLOOKUP([1]!Tabla9[[CEDULA ]],[1]!DOMINGO[#Data],5,0),"No registró")</f>
        <v>No registró</v>
      </c>
      <c r="P229" s="359" t="str">
        <f>IFERROR(LOOKUP(2,1/([1]!DOMINGO[[CEDULA ]]=[1]!Tabla9[[#This Row],[CEDULA ]]),[1]!DOMINGO[HORA]),"No registró")</f>
        <v>No registró</v>
      </c>
      <c r="Q229" s="240">
        <f>IFERROR(VLOOKUP(A229,DATOS[],10,0),"")</f>
        <v>0</v>
      </c>
    </row>
    <row r="230" spans="1:17" x14ac:dyDescent="0.25">
      <c r="A230" s="239">
        <v>13625658</v>
      </c>
      <c r="B230" s="239" t="s">
        <v>1204</v>
      </c>
      <c r="C230" s="359">
        <f>IFERROR(VLOOKUP([1]!Tabla9[[CEDULA ]],[1]!LUNES[#Data],5,0),"No registró")</f>
        <v>0.31523148148148145</v>
      </c>
      <c r="D230" s="359">
        <f>IFERROR(LOOKUP(2,1/([1]!LUNES[[CEDULA ]]=[1]!Tabla9[[#This Row],[CEDULA ]]),[1]!LUNES[HORA]),"No registró")</f>
        <v>0.55166666666666664</v>
      </c>
      <c r="E230" s="359">
        <f>IFERROR(VLOOKUP([1]!Tabla9[[CEDULA ]],[1]!MARTES[#Data],5,0),"No registró")</f>
        <v>0.32113425925925926</v>
      </c>
      <c r="F230" s="359">
        <f>IFERROR(LOOKUP(2,1/([1]!MARTES[[CEDULA ]]=[1]!Tabla9[[#This Row],[CEDULA ]]),[1]!MARTES[HORA]),"No Registró")</f>
        <v>0.55437499999999995</v>
      </c>
      <c r="G230" s="359" t="str">
        <f>IFERROR(VLOOKUP([1]!Tabla9[[CEDULA ]],[1]!MIERCOLES[#Data],5,0),"No registró")</f>
        <v>No registró</v>
      </c>
      <c r="H230" s="359" t="str">
        <f>IFERROR(LOOKUP(2,1/([1]!MIERCOLES[[CEDULA ]]=[1]!Tabla9[[#This Row],[CEDULA ]]),[1]!MIERCOLES[HORA]),"No registró")</f>
        <v>No registró</v>
      </c>
      <c r="I230" s="359" t="str">
        <f>IFERROR(VLOOKUP([1]!Tabla9[[CEDULA ]],[1]!JUEVES[#Data],5,0),"No Registró")</f>
        <v>No Registró</v>
      </c>
      <c r="J230" s="359" t="str">
        <f>IFERROR(LOOKUP(2,1/([1]!JUEVES[[CEDULA ]]=[1]!Tabla9[[#This Row],[CEDULA ]]),[1]!JUEVES[HORA]),"No registró")</f>
        <v>No registró</v>
      </c>
      <c r="K230" s="359" t="str">
        <f>IFERROR(VLOOKUP([1]!Tabla9[[CEDULA ]],[1]!VIERNES[#Data],5,0),"No registró")</f>
        <v>No registró</v>
      </c>
      <c r="L230" s="359" t="str">
        <f>IFERROR(LOOKUP(2,1/([1]!VIERNES[[CEDULA ]]=[1]!Tabla9[[#This Row],[CEDULA ]]),[1]!VIERNES[HORA]),"No registró")</f>
        <v>No registró</v>
      </c>
      <c r="M230" s="359" t="str">
        <f>IFERROR(VLOOKUP([1]!Tabla9[[CEDULA ]],[1]!SABADO[#Data],5,0),"No registró")</f>
        <v>No registró</v>
      </c>
      <c r="N230" s="359" t="str">
        <f>IFERROR(LOOKUP(2,1/([1]!SABADO[[CEDULA ]]=[1]!Tabla9[[#This Row],[CEDULA ]]),[1]!SABADO[HORA]),"No registró")</f>
        <v>No registró</v>
      </c>
      <c r="O230" s="359" t="str">
        <f>IFERROR(VLOOKUP([1]!Tabla9[[CEDULA ]],[1]!DOMINGO[#Data],5,0),"No registró")</f>
        <v>No registró</v>
      </c>
      <c r="P230" s="359" t="str">
        <f>IFERROR(LOOKUP(2,1/([1]!DOMINGO[[CEDULA ]]=[1]!Tabla9[[#This Row],[CEDULA ]]),[1]!DOMINGO[HORA]),"No registró")</f>
        <v>No registró</v>
      </c>
      <c r="Q230" s="240">
        <f>IFERROR(VLOOKUP(A230,DATOS[],10,0),"")</f>
        <v>0</v>
      </c>
    </row>
    <row r="231" spans="1:17" x14ac:dyDescent="0.25">
      <c r="A231" s="239">
        <v>13631359</v>
      </c>
      <c r="B231" s="239" t="s">
        <v>1205</v>
      </c>
      <c r="C231" s="359">
        <f>IFERROR(VLOOKUP([1]!Tabla9[[CEDULA ]],[1]!LUNES[#Data],5,0),"No registró")</f>
        <v>0.28365740740740741</v>
      </c>
      <c r="D231" s="359">
        <f>IFERROR(LOOKUP(2,1/([1]!LUNES[[CEDULA ]]=[1]!Tabla9[[#This Row],[CEDULA ]]),[1]!LUNES[HORA]),"No registró")</f>
        <v>0.52734953703703702</v>
      </c>
      <c r="E231" s="359">
        <f>IFERROR(VLOOKUP([1]!Tabla9[[CEDULA ]],[1]!MARTES[#Data],5,0),"No registró")</f>
        <v>0.28793981481481484</v>
      </c>
      <c r="F231" s="359">
        <f>IFERROR(LOOKUP(2,1/([1]!MARTES[[CEDULA ]]=[1]!Tabla9[[#This Row],[CEDULA ]]),[1]!MARTES[HORA]),"No Registró")</f>
        <v>0.45908564814814817</v>
      </c>
      <c r="G231" s="359" t="str">
        <f>IFERROR(VLOOKUP([1]!Tabla9[[CEDULA ]],[1]!MIERCOLES[#Data],5,0),"No registró")</f>
        <v>No registró</v>
      </c>
      <c r="H231" s="359" t="str">
        <f>IFERROR(LOOKUP(2,1/([1]!MIERCOLES[[CEDULA ]]=[1]!Tabla9[[#This Row],[CEDULA ]]),[1]!MIERCOLES[HORA]),"No registró")</f>
        <v>No registró</v>
      </c>
      <c r="I231" s="359" t="str">
        <f>IFERROR(VLOOKUP([1]!Tabla9[[CEDULA ]],[1]!JUEVES[#Data],5,0),"No Registró")</f>
        <v>No Registró</v>
      </c>
      <c r="J231" s="359" t="str">
        <f>IFERROR(LOOKUP(2,1/([1]!JUEVES[[CEDULA ]]=[1]!Tabla9[[#This Row],[CEDULA ]]),[1]!JUEVES[HORA]),"No registró")</f>
        <v>No registró</v>
      </c>
      <c r="K231" s="359" t="str">
        <f>IFERROR(VLOOKUP([1]!Tabla9[[CEDULA ]],[1]!VIERNES[#Data],5,0),"No registró")</f>
        <v>No registró</v>
      </c>
      <c r="L231" s="359" t="str">
        <f>IFERROR(LOOKUP(2,1/([1]!VIERNES[[CEDULA ]]=[1]!Tabla9[[#This Row],[CEDULA ]]),[1]!VIERNES[HORA]),"No registró")</f>
        <v>No registró</v>
      </c>
      <c r="M231" s="359" t="str">
        <f>IFERROR(VLOOKUP([1]!Tabla9[[CEDULA ]],[1]!SABADO[#Data],5,0),"No registró")</f>
        <v>No registró</v>
      </c>
      <c r="N231" s="359" t="str">
        <f>IFERROR(LOOKUP(2,1/([1]!SABADO[[CEDULA ]]=[1]!Tabla9[[#This Row],[CEDULA ]]),[1]!SABADO[HORA]),"No registró")</f>
        <v>No registró</v>
      </c>
      <c r="O231" s="359" t="str">
        <f>IFERROR(VLOOKUP([1]!Tabla9[[CEDULA ]],[1]!DOMINGO[#Data],5,0),"No registró")</f>
        <v>No registró</v>
      </c>
      <c r="P231" s="359" t="str">
        <f>IFERROR(LOOKUP(2,1/([1]!DOMINGO[[CEDULA ]]=[1]!Tabla9[[#This Row],[CEDULA ]]),[1]!DOMINGO[HORA]),"No registró")</f>
        <v>No registró</v>
      </c>
      <c r="Q231" s="240">
        <f>IFERROR(VLOOKUP(A231,DATOS[],10,0),"")</f>
        <v>0</v>
      </c>
    </row>
    <row r="232" spans="1:17" x14ac:dyDescent="0.25">
      <c r="A232" s="239">
        <v>13686358</v>
      </c>
      <c r="B232" s="239" t="s">
        <v>1206</v>
      </c>
      <c r="C232" s="359">
        <f>IFERROR(VLOOKUP([1]!Tabla9[[CEDULA ]],[1]!LUNES[#Data],5,0),"No registró")</f>
        <v>0.36601851851851852</v>
      </c>
      <c r="D232" s="359">
        <f>IFERROR(LOOKUP(2,1/([1]!LUNES[[CEDULA ]]=[1]!Tabla9[[#This Row],[CEDULA ]]),[1]!LUNES[HORA]),"No registró")</f>
        <v>0.43046296296296299</v>
      </c>
      <c r="E232" s="359" t="str">
        <f>IFERROR(VLOOKUP([1]!Tabla9[[CEDULA ]],[1]!MARTES[#Data],5,0),"No registró")</f>
        <v>No registró</v>
      </c>
      <c r="F232" s="359" t="str">
        <f>IFERROR(LOOKUP(2,1/([1]!MARTES[[CEDULA ]]=[1]!Tabla9[[#This Row],[CEDULA ]]),[1]!MARTES[HORA]),"No Registró")</f>
        <v>No Registró</v>
      </c>
      <c r="G232" s="359" t="str">
        <f>IFERROR(VLOOKUP([1]!Tabla9[[CEDULA ]],[1]!MIERCOLES[#Data],5,0),"No registró")</f>
        <v>No registró</v>
      </c>
      <c r="H232" s="359" t="str">
        <f>IFERROR(LOOKUP(2,1/([1]!MIERCOLES[[CEDULA ]]=[1]!Tabla9[[#This Row],[CEDULA ]]),[1]!MIERCOLES[HORA]),"No registró")</f>
        <v>No registró</v>
      </c>
      <c r="I232" s="359" t="str">
        <f>IFERROR(VLOOKUP([1]!Tabla9[[CEDULA ]],[1]!JUEVES[#Data],5,0),"No Registró")</f>
        <v>No Registró</v>
      </c>
      <c r="J232" s="359" t="str">
        <f>IFERROR(LOOKUP(2,1/([1]!JUEVES[[CEDULA ]]=[1]!Tabla9[[#This Row],[CEDULA ]]),[1]!JUEVES[HORA]),"No registró")</f>
        <v>No registró</v>
      </c>
      <c r="K232" s="359" t="str">
        <f>IFERROR(VLOOKUP([1]!Tabla9[[CEDULA ]],[1]!VIERNES[#Data],5,0),"No registró")</f>
        <v>No registró</v>
      </c>
      <c r="L232" s="359" t="str">
        <f>IFERROR(LOOKUP(2,1/([1]!VIERNES[[CEDULA ]]=[1]!Tabla9[[#This Row],[CEDULA ]]),[1]!VIERNES[HORA]),"No registró")</f>
        <v>No registró</v>
      </c>
      <c r="M232" s="359" t="str">
        <f>IFERROR(VLOOKUP([1]!Tabla9[[CEDULA ]],[1]!SABADO[#Data],5,0),"No registró")</f>
        <v>No registró</v>
      </c>
      <c r="N232" s="359" t="str">
        <f>IFERROR(LOOKUP(2,1/([1]!SABADO[[CEDULA ]]=[1]!Tabla9[[#This Row],[CEDULA ]]),[1]!SABADO[HORA]),"No registró")</f>
        <v>No registró</v>
      </c>
      <c r="O232" s="359" t="str">
        <f>IFERROR(VLOOKUP([1]!Tabla9[[CEDULA ]],[1]!DOMINGO[#Data],5,0),"No registró")</f>
        <v>No registró</v>
      </c>
      <c r="P232" s="359" t="str">
        <f>IFERROR(LOOKUP(2,1/([1]!DOMINGO[[CEDULA ]]=[1]!Tabla9[[#This Row],[CEDULA ]]),[1]!DOMINGO[HORA]),"No registró")</f>
        <v>No registró</v>
      </c>
      <c r="Q232" s="240">
        <f>IFERROR(VLOOKUP(A232,DATOS[],10,0),"")</f>
        <v>0</v>
      </c>
    </row>
    <row r="233" spans="1:17" x14ac:dyDescent="0.25">
      <c r="A233" s="239">
        <v>13686565</v>
      </c>
      <c r="B233" s="239" t="s">
        <v>1207</v>
      </c>
      <c r="C233" s="359">
        <f>IFERROR(VLOOKUP([1]!Tabla9[[CEDULA ]],[1]!LUNES[#Data],5,0),"No registró")</f>
        <v>0.31159722222222225</v>
      </c>
      <c r="D233" s="359">
        <f>IFERROR(LOOKUP(2,1/([1]!LUNES[[CEDULA ]]=[1]!Tabla9[[#This Row],[CEDULA ]]),[1]!LUNES[HORA]),"No registró")</f>
        <v>0.55502314814814813</v>
      </c>
      <c r="E233" s="359">
        <f>IFERROR(VLOOKUP([1]!Tabla9[[CEDULA ]],[1]!MARTES[#Data],5,0),"No registró")</f>
        <v>0.31182870370370369</v>
      </c>
      <c r="F233" s="359">
        <f>IFERROR(LOOKUP(2,1/([1]!MARTES[[CEDULA ]]=[1]!Tabla9[[#This Row],[CEDULA ]]),[1]!MARTES[HORA]),"No Registró")</f>
        <v>0.55454861111111109</v>
      </c>
      <c r="G233" s="359" t="str">
        <f>IFERROR(VLOOKUP([1]!Tabla9[[CEDULA ]],[1]!MIERCOLES[#Data],5,0),"No registró")</f>
        <v>No registró</v>
      </c>
      <c r="H233" s="359" t="str">
        <f>IFERROR(LOOKUP(2,1/([1]!MIERCOLES[[CEDULA ]]=[1]!Tabla9[[#This Row],[CEDULA ]]),[1]!MIERCOLES[HORA]),"No registró")</f>
        <v>No registró</v>
      </c>
      <c r="I233" s="359" t="str">
        <f>IFERROR(VLOOKUP([1]!Tabla9[[CEDULA ]],[1]!JUEVES[#Data],5,0),"No Registró")</f>
        <v>No Registró</v>
      </c>
      <c r="J233" s="359" t="str">
        <f>IFERROR(LOOKUP(2,1/([1]!JUEVES[[CEDULA ]]=[1]!Tabla9[[#This Row],[CEDULA ]]),[1]!JUEVES[HORA]),"No registró")</f>
        <v>No registró</v>
      </c>
      <c r="K233" s="359" t="str">
        <f>IFERROR(VLOOKUP([1]!Tabla9[[CEDULA ]],[1]!VIERNES[#Data],5,0),"No registró")</f>
        <v>No registró</v>
      </c>
      <c r="L233" s="359" t="str">
        <f>IFERROR(LOOKUP(2,1/([1]!VIERNES[[CEDULA ]]=[1]!Tabla9[[#This Row],[CEDULA ]]),[1]!VIERNES[HORA]),"No registró")</f>
        <v>No registró</v>
      </c>
      <c r="M233" s="359" t="str">
        <f>IFERROR(VLOOKUP([1]!Tabla9[[CEDULA ]],[1]!SABADO[#Data],5,0),"No registró")</f>
        <v>No registró</v>
      </c>
      <c r="N233" s="359" t="str">
        <f>IFERROR(LOOKUP(2,1/([1]!SABADO[[CEDULA ]]=[1]!Tabla9[[#This Row],[CEDULA ]]),[1]!SABADO[HORA]),"No registró")</f>
        <v>No registró</v>
      </c>
      <c r="O233" s="359" t="str">
        <f>IFERROR(VLOOKUP([1]!Tabla9[[CEDULA ]],[1]!DOMINGO[#Data],5,0),"No registró")</f>
        <v>No registró</v>
      </c>
      <c r="P233" s="359" t="str">
        <f>IFERROR(LOOKUP(2,1/([1]!DOMINGO[[CEDULA ]]=[1]!Tabla9[[#This Row],[CEDULA ]]),[1]!DOMINGO[HORA]),"No registró")</f>
        <v>No registró</v>
      </c>
      <c r="Q233" s="240" t="str">
        <f>IFERROR(VLOOKUP(A233,DATOS[],10,0),"")</f>
        <v>2. CATIA</v>
      </c>
    </row>
    <row r="234" spans="1:17" x14ac:dyDescent="0.25">
      <c r="A234" s="239">
        <v>13717013</v>
      </c>
      <c r="B234" s="239" t="s">
        <v>1208</v>
      </c>
      <c r="C234" s="359">
        <f>IFERROR(VLOOKUP([1]!Tabla9[[CEDULA ]],[1]!LUNES[#Data],5,0),"No registró")</f>
        <v>0.2822337962962963</v>
      </c>
      <c r="D234" s="359">
        <f>IFERROR(LOOKUP(2,1/([1]!LUNES[[CEDULA ]]=[1]!Tabla9[[#This Row],[CEDULA ]]),[1]!LUNES[HORA]),"No registró")</f>
        <v>0.55449074074074078</v>
      </c>
      <c r="E234" s="359">
        <f>IFERROR(VLOOKUP([1]!Tabla9[[CEDULA ]],[1]!MARTES[#Data],5,0),"No registró")</f>
        <v>0.28187499999999999</v>
      </c>
      <c r="F234" s="359">
        <f>IFERROR(LOOKUP(2,1/([1]!MARTES[[CEDULA ]]=[1]!Tabla9[[#This Row],[CEDULA ]]),[1]!MARTES[HORA]),"No Registró")</f>
        <v>0.5540046296296296</v>
      </c>
      <c r="G234" s="359" t="str">
        <f>IFERROR(VLOOKUP([1]!Tabla9[[CEDULA ]],[1]!MIERCOLES[#Data],5,0),"No registró")</f>
        <v>No registró</v>
      </c>
      <c r="H234" s="359" t="str">
        <f>IFERROR(LOOKUP(2,1/([1]!MIERCOLES[[CEDULA ]]=[1]!Tabla9[[#This Row],[CEDULA ]]),[1]!MIERCOLES[HORA]),"No registró")</f>
        <v>No registró</v>
      </c>
      <c r="I234" s="359" t="str">
        <f>IFERROR(VLOOKUP([1]!Tabla9[[CEDULA ]],[1]!JUEVES[#Data],5,0),"No Registró")</f>
        <v>No Registró</v>
      </c>
      <c r="J234" s="359" t="str">
        <f>IFERROR(LOOKUP(2,1/([1]!JUEVES[[CEDULA ]]=[1]!Tabla9[[#This Row],[CEDULA ]]),[1]!JUEVES[HORA]),"No registró")</f>
        <v>No registró</v>
      </c>
      <c r="K234" s="359" t="str">
        <f>IFERROR(VLOOKUP([1]!Tabla9[[CEDULA ]],[1]!VIERNES[#Data],5,0),"No registró")</f>
        <v>No registró</v>
      </c>
      <c r="L234" s="359" t="str">
        <f>IFERROR(LOOKUP(2,1/([1]!VIERNES[[CEDULA ]]=[1]!Tabla9[[#This Row],[CEDULA ]]),[1]!VIERNES[HORA]),"No registró")</f>
        <v>No registró</v>
      </c>
      <c r="M234" s="359">
        <f>IFERROR(VLOOKUP([1]!Tabla9[[CEDULA ]],[1]!SABADO[#Data],5,0),"No registró")</f>
        <v>0.31324074074074076</v>
      </c>
      <c r="N234" s="359">
        <f>IFERROR(LOOKUP(2,1/([1]!SABADO[[CEDULA ]]=[1]!Tabla9[[#This Row],[CEDULA ]]),[1]!SABADO[HORA]),"No registró")</f>
        <v>0.53125</v>
      </c>
      <c r="O234" s="359" t="str">
        <f>IFERROR(VLOOKUP([1]!Tabla9[[CEDULA ]],[1]!DOMINGO[#Data],5,0),"No registró")</f>
        <v>No registró</v>
      </c>
      <c r="P234" s="359" t="str">
        <f>IFERROR(LOOKUP(2,1/([1]!DOMINGO[[CEDULA ]]=[1]!Tabla9[[#This Row],[CEDULA ]]),[1]!DOMINGO[HORA]),"No registró")</f>
        <v>No registró</v>
      </c>
      <c r="Q234" s="240" t="str">
        <f>IFERROR(VLOOKUP(A234,DATOS[],10,0),"")</f>
        <v>3. CARICUAO</v>
      </c>
    </row>
    <row r="235" spans="1:17" x14ac:dyDescent="0.25">
      <c r="A235" s="239">
        <v>13786283</v>
      </c>
      <c r="B235" s="239" t="s">
        <v>1209</v>
      </c>
      <c r="C235" s="359">
        <f>IFERROR(VLOOKUP([1]!Tabla9[[CEDULA ]],[1]!LUNES[#Data],5,0),"No registró")</f>
        <v>0.28435185185185186</v>
      </c>
      <c r="D235" s="359">
        <f>IFERROR(LOOKUP(2,1/([1]!LUNES[[CEDULA ]]=[1]!Tabla9[[#This Row],[CEDULA ]]),[1]!LUNES[HORA]),"No registró")</f>
        <v>0.69148148148148147</v>
      </c>
      <c r="E235" s="359">
        <f>IFERROR(VLOOKUP([1]!Tabla9[[CEDULA ]],[1]!MARTES[#Data],5,0),"No registró")</f>
        <v>0.28464120370370372</v>
      </c>
      <c r="F235" s="359">
        <f>IFERROR(LOOKUP(2,1/([1]!MARTES[[CEDULA ]]=[1]!Tabla9[[#This Row],[CEDULA ]]),[1]!MARTES[HORA]),"No Registró")</f>
        <v>0.6893055555555555</v>
      </c>
      <c r="G235" s="359" t="str">
        <f>IFERROR(VLOOKUP([1]!Tabla9[[CEDULA ]],[1]!MIERCOLES[#Data],5,0),"No registró")</f>
        <v>No registró</v>
      </c>
      <c r="H235" s="359" t="str">
        <f>IFERROR(LOOKUP(2,1/([1]!MIERCOLES[[CEDULA ]]=[1]!Tabla9[[#This Row],[CEDULA ]]),[1]!MIERCOLES[HORA]),"No registró")</f>
        <v>No registró</v>
      </c>
      <c r="I235" s="359">
        <f>IFERROR(VLOOKUP([1]!Tabla9[[CEDULA ]],[1]!JUEVES[#Data],5,0),"No Registró")</f>
        <v>0.33594907407407404</v>
      </c>
      <c r="J235" s="359">
        <f>IFERROR(LOOKUP(2,1/([1]!JUEVES[[CEDULA ]]=[1]!Tabla9[[#This Row],[CEDULA ]]),[1]!JUEVES[HORA]),"No registró")</f>
        <v>0.75548611111111119</v>
      </c>
      <c r="K235" s="359" t="str">
        <f>IFERROR(VLOOKUP([1]!Tabla9[[CEDULA ]],[1]!VIERNES[#Data],5,0),"No registró")</f>
        <v>No registró</v>
      </c>
      <c r="L235" s="359" t="str">
        <f>IFERROR(LOOKUP(2,1/([1]!VIERNES[[CEDULA ]]=[1]!Tabla9[[#This Row],[CEDULA ]]),[1]!VIERNES[HORA]),"No registró")</f>
        <v>No registró</v>
      </c>
      <c r="M235" s="359" t="str">
        <f>IFERROR(VLOOKUP([1]!Tabla9[[CEDULA ]],[1]!SABADO[#Data],5,0),"No registró")</f>
        <v>No registró</v>
      </c>
      <c r="N235" s="359" t="str">
        <f>IFERROR(LOOKUP(2,1/([1]!SABADO[[CEDULA ]]=[1]!Tabla9[[#This Row],[CEDULA ]]),[1]!SABADO[HORA]),"No registró")</f>
        <v>No registró</v>
      </c>
      <c r="O235" s="359">
        <f>IFERROR(VLOOKUP([1]!Tabla9[[CEDULA ]],[1]!DOMINGO[#Data],5,0),"No registró")</f>
        <v>0.37815972222222222</v>
      </c>
      <c r="P235" s="359">
        <f>IFERROR(LOOKUP(2,1/([1]!DOMINGO[[CEDULA ]]=[1]!Tabla9[[#This Row],[CEDULA ]]),[1]!DOMINGO[HORA]),"No registró")</f>
        <v>0.65258101851851846</v>
      </c>
      <c r="Q235" s="240" t="str">
        <f>IFERROR(VLOOKUP(A235,DATOS[],10,0),"")</f>
        <v>3. CARICUAO</v>
      </c>
    </row>
    <row r="236" spans="1:17" x14ac:dyDescent="0.25">
      <c r="A236" s="239">
        <v>13871581</v>
      </c>
      <c r="B236" s="239" t="s">
        <v>1210</v>
      </c>
      <c r="C236" s="359" t="str">
        <f>IFERROR(VLOOKUP([1]!Tabla9[[CEDULA ]],[1]!LUNES[#Data],5,0),"No registró")</f>
        <v>No registró</v>
      </c>
      <c r="D236" s="359" t="str">
        <f>IFERROR(LOOKUP(2,1/([1]!LUNES[[CEDULA ]]=[1]!Tabla9[[#This Row],[CEDULA ]]),[1]!LUNES[HORA]),"No registró")</f>
        <v>No registró</v>
      </c>
      <c r="E236" s="359">
        <f>IFERROR(VLOOKUP([1]!Tabla9[[CEDULA ]],[1]!MARTES[#Data],5,0),"No registró")</f>
        <v>0.359375</v>
      </c>
      <c r="F236" s="360" t="s">
        <v>988</v>
      </c>
      <c r="G236" s="359" t="str">
        <f>IFERROR(VLOOKUP([1]!Tabla9[[CEDULA ]],[1]!MIERCOLES[#Data],5,0),"No registró")</f>
        <v>No registró</v>
      </c>
      <c r="H236" s="359" t="str">
        <f>IFERROR(LOOKUP(2,1/([1]!MIERCOLES[[CEDULA ]]=[1]!Tabla9[[#This Row],[CEDULA ]]),[1]!MIERCOLES[HORA]),"No registró")</f>
        <v>No registró</v>
      </c>
      <c r="I236" s="359" t="str">
        <f>IFERROR(VLOOKUP([1]!Tabla9[[CEDULA ]],[1]!JUEVES[#Data],5,0),"No Registró")</f>
        <v>No Registró</v>
      </c>
      <c r="J236" s="359" t="str">
        <f>IFERROR(LOOKUP(2,1/([1]!JUEVES[[CEDULA ]]=[1]!Tabla9[[#This Row],[CEDULA ]]),[1]!JUEVES[HORA]),"No registró")</f>
        <v>No registró</v>
      </c>
      <c r="K236" s="359" t="str">
        <f>IFERROR(VLOOKUP([1]!Tabla9[[CEDULA ]],[1]!VIERNES[#Data],5,0),"No registró")</f>
        <v>No registró</v>
      </c>
      <c r="L236" s="359" t="str">
        <f>IFERROR(LOOKUP(2,1/([1]!VIERNES[[CEDULA ]]=[1]!Tabla9[[#This Row],[CEDULA ]]),[1]!VIERNES[HORA]),"No registró")</f>
        <v>No registró</v>
      </c>
      <c r="M236" s="359" t="str">
        <f>IFERROR(VLOOKUP([1]!Tabla9[[CEDULA ]],[1]!SABADO[#Data],5,0),"No registró")</f>
        <v>No registró</v>
      </c>
      <c r="N236" s="359" t="str">
        <f>IFERROR(LOOKUP(2,1/([1]!SABADO[[CEDULA ]]=[1]!Tabla9[[#This Row],[CEDULA ]]),[1]!SABADO[HORA]),"No registró")</f>
        <v>No registró</v>
      </c>
      <c r="O236" s="359" t="str">
        <f>IFERROR(VLOOKUP([1]!Tabla9[[CEDULA ]],[1]!DOMINGO[#Data],5,0),"No registró")</f>
        <v>No registró</v>
      </c>
      <c r="P236" s="359" t="str">
        <f>IFERROR(LOOKUP(2,1/([1]!DOMINGO[[CEDULA ]]=[1]!Tabla9[[#This Row],[CEDULA ]]),[1]!DOMINGO[HORA]),"No registró")</f>
        <v>No registró</v>
      </c>
      <c r="Q236" s="240" t="str">
        <f>IFERROR(VLOOKUP(A236,DATOS[],10,0),"")</f>
        <v>4. VALLES DEL TUY</v>
      </c>
    </row>
    <row r="237" spans="1:17" x14ac:dyDescent="0.25">
      <c r="A237" s="239">
        <v>13872339</v>
      </c>
      <c r="B237" s="239" t="s">
        <v>1211</v>
      </c>
      <c r="C237" s="359">
        <f>IFERROR(VLOOKUP([1]!Tabla9[[CEDULA ]],[1]!LUNES[#Data],5,0),"No registró")</f>
        <v>0.29621527777777779</v>
      </c>
      <c r="D237" s="359">
        <f>IFERROR(LOOKUP(2,1/([1]!LUNES[[CEDULA ]]=[1]!Tabla9[[#This Row],[CEDULA ]]),[1]!LUNES[HORA]),"No registró")</f>
        <v>0.56879629629629636</v>
      </c>
      <c r="E237" s="359">
        <f>IFERROR(VLOOKUP([1]!Tabla9[[CEDULA ]],[1]!MARTES[#Data],5,0),"No registró")</f>
        <v>0.29390046296296296</v>
      </c>
      <c r="F237" s="359">
        <f>IFERROR(LOOKUP(2,1/([1]!MARTES[[CEDULA ]]=[1]!Tabla9[[#This Row],[CEDULA ]]),[1]!MARTES[HORA]),"No Registró")</f>
        <v>0.5529398148148148</v>
      </c>
      <c r="G237" s="359" t="str">
        <f>IFERROR(VLOOKUP([1]!Tabla9[[CEDULA ]],[1]!MIERCOLES[#Data],5,0),"No registró")</f>
        <v>No registró</v>
      </c>
      <c r="H237" s="359" t="str">
        <f>IFERROR(LOOKUP(2,1/([1]!MIERCOLES[[CEDULA ]]=[1]!Tabla9[[#This Row],[CEDULA ]]),[1]!MIERCOLES[HORA]),"No registró")</f>
        <v>No registró</v>
      </c>
      <c r="I237" s="359" t="str">
        <f>IFERROR(VLOOKUP([1]!Tabla9[[CEDULA ]],[1]!JUEVES[#Data],5,0),"No Registró")</f>
        <v>No Registró</v>
      </c>
      <c r="J237" s="359" t="str">
        <f>IFERROR(LOOKUP(2,1/([1]!JUEVES[[CEDULA ]]=[1]!Tabla9[[#This Row],[CEDULA ]]),[1]!JUEVES[HORA]),"No registró")</f>
        <v>No registró</v>
      </c>
      <c r="K237" s="359" t="str">
        <f>IFERROR(VLOOKUP([1]!Tabla9[[CEDULA ]],[1]!VIERNES[#Data],5,0),"No registró")</f>
        <v>No registró</v>
      </c>
      <c r="L237" s="359" t="str">
        <f>IFERROR(LOOKUP(2,1/([1]!VIERNES[[CEDULA ]]=[1]!Tabla9[[#This Row],[CEDULA ]]),[1]!VIERNES[HORA]),"No registró")</f>
        <v>No registró</v>
      </c>
      <c r="M237" s="359" t="str">
        <f>IFERROR(VLOOKUP([1]!Tabla9[[CEDULA ]],[1]!SABADO[#Data],5,0),"No registró")</f>
        <v>No registró</v>
      </c>
      <c r="N237" s="359" t="str">
        <f>IFERROR(LOOKUP(2,1/([1]!SABADO[[CEDULA ]]=[1]!Tabla9[[#This Row],[CEDULA ]]),[1]!SABADO[HORA]),"No registró")</f>
        <v>No registró</v>
      </c>
      <c r="O237" s="359" t="str">
        <f>IFERROR(VLOOKUP([1]!Tabla9[[CEDULA ]],[1]!DOMINGO[#Data],5,0),"No registró")</f>
        <v>No registró</v>
      </c>
      <c r="P237" s="359" t="str">
        <f>IFERROR(LOOKUP(2,1/([1]!DOMINGO[[CEDULA ]]=[1]!Tabla9[[#This Row],[CEDULA ]]),[1]!DOMINGO[HORA]),"No registró")</f>
        <v>No registró</v>
      </c>
      <c r="Q237" s="240">
        <f>IFERROR(VLOOKUP(A237,DATOS[],10,0),"")</f>
        <v>0</v>
      </c>
    </row>
    <row r="238" spans="1:17" x14ac:dyDescent="0.25">
      <c r="A238" s="239">
        <v>13873369</v>
      </c>
      <c r="B238" s="239" t="s">
        <v>1212</v>
      </c>
      <c r="C238" s="359">
        <f>IFERROR(VLOOKUP([1]!Tabla9[[CEDULA ]],[1]!LUNES[#Data],5,0),"No registró")</f>
        <v>0.34120370370370368</v>
      </c>
      <c r="D238" s="359">
        <f>IFERROR(LOOKUP(2,1/([1]!LUNES[[CEDULA ]]=[1]!Tabla9[[#This Row],[CEDULA ]]),[1]!LUNES[HORA]),"No registró")</f>
        <v>0.54728009259259258</v>
      </c>
      <c r="E238" s="359">
        <f>IFERROR(VLOOKUP([1]!Tabla9[[CEDULA ]],[1]!MARTES[#Data],5,0),"No registró")</f>
        <v>0.27765046296296297</v>
      </c>
      <c r="F238" s="359">
        <f>IFERROR(LOOKUP(2,1/([1]!MARTES[[CEDULA ]]=[1]!Tabla9[[#This Row],[CEDULA ]]),[1]!MARTES[HORA]),"No Registró")</f>
        <v>0.54538194444444443</v>
      </c>
      <c r="G238" s="359" t="str">
        <f>IFERROR(VLOOKUP([1]!Tabla9[[CEDULA ]],[1]!MIERCOLES[#Data],5,0),"No registró")</f>
        <v>No registró</v>
      </c>
      <c r="H238" s="359" t="str">
        <f>IFERROR(LOOKUP(2,1/([1]!MIERCOLES[[CEDULA ]]=[1]!Tabla9[[#This Row],[CEDULA ]]),[1]!MIERCOLES[HORA]),"No registró")</f>
        <v>No registró</v>
      </c>
      <c r="I238" s="359" t="str">
        <f>IFERROR(VLOOKUP([1]!Tabla9[[CEDULA ]],[1]!JUEVES[#Data],5,0),"No Registró")</f>
        <v>No Registró</v>
      </c>
      <c r="J238" s="359" t="str">
        <f>IFERROR(LOOKUP(2,1/([1]!JUEVES[[CEDULA ]]=[1]!Tabla9[[#This Row],[CEDULA ]]),[1]!JUEVES[HORA]),"No registró")</f>
        <v>No registró</v>
      </c>
      <c r="K238" s="359" t="str">
        <f>IFERROR(VLOOKUP([1]!Tabla9[[CEDULA ]],[1]!VIERNES[#Data],5,0),"No registró")</f>
        <v>No registró</v>
      </c>
      <c r="L238" s="359" t="str">
        <f>IFERROR(LOOKUP(2,1/([1]!VIERNES[[CEDULA ]]=[1]!Tabla9[[#This Row],[CEDULA ]]),[1]!VIERNES[HORA]),"No registró")</f>
        <v>No registró</v>
      </c>
      <c r="M238" s="359" t="str">
        <f>IFERROR(VLOOKUP([1]!Tabla9[[CEDULA ]],[1]!SABADO[#Data],5,0),"No registró")</f>
        <v>No registró</v>
      </c>
      <c r="N238" s="359" t="str">
        <f>IFERROR(LOOKUP(2,1/([1]!SABADO[[CEDULA ]]=[1]!Tabla9[[#This Row],[CEDULA ]]),[1]!SABADO[HORA]),"No registró")</f>
        <v>No registró</v>
      </c>
      <c r="O238" s="359" t="str">
        <f>IFERROR(VLOOKUP([1]!Tabla9[[CEDULA ]],[1]!DOMINGO[#Data],5,0),"No registró")</f>
        <v>No registró</v>
      </c>
      <c r="P238" s="359" t="str">
        <f>IFERROR(LOOKUP(2,1/([1]!DOMINGO[[CEDULA ]]=[1]!Tabla9[[#This Row],[CEDULA ]]),[1]!DOMINGO[HORA]),"No registró")</f>
        <v>No registró</v>
      </c>
      <c r="Q238" s="240" t="str">
        <f>IFERROR(VLOOKUP(A238,DATOS[],10,0),"")</f>
        <v>1. COCHE</v>
      </c>
    </row>
    <row r="239" spans="1:17" x14ac:dyDescent="0.25">
      <c r="A239" s="239">
        <v>13944994</v>
      </c>
      <c r="B239" s="239" t="s">
        <v>1213</v>
      </c>
      <c r="C239" s="359">
        <f>IFERROR(VLOOKUP([1]!Tabla9[[CEDULA ]],[1]!LUNES[#Data],5,0),"No registró")</f>
        <v>0.29240740740740739</v>
      </c>
      <c r="D239" s="359">
        <f>IFERROR(LOOKUP(2,1/([1]!LUNES[[CEDULA ]]=[1]!Tabla9[[#This Row],[CEDULA ]]),[1]!LUNES[HORA]),"No registró")</f>
        <v>0.5540046296296296</v>
      </c>
      <c r="E239" s="359">
        <f>IFERROR(VLOOKUP([1]!Tabla9[[CEDULA ]],[1]!MARTES[#Data],5,0),"No registró")</f>
        <v>0.32123842592592594</v>
      </c>
      <c r="F239" s="359">
        <f>IFERROR(LOOKUP(2,1/([1]!MARTES[[CEDULA ]]=[1]!Tabla9[[#This Row],[CEDULA ]]),[1]!MARTES[HORA]),"No Registró")</f>
        <v>0.55604166666666666</v>
      </c>
      <c r="G239" s="359" t="str">
        <f>IFERROR(VLOOKUP([1]!Tabla9[[CEDULA ]],[1]!MIERCOLES[#Data],5,0),"No registró")</f>
        <v>No registró</v>
      </c>
      <c r="H239" s="359" t="str">
        <f>IFERROR(LOOKUP(2,1/([1]!MIERCOLES[[CEDULA ]]=[1]!Tabla9[[#This Row],[CEDULA ]]),[1]!MIERCOLES[HORA]),"No registró")</f>
        <v>No registró</v>
      </c>
      <c r="I239" s="359" t="str">
        <f>IFERROR(VLOOKUP([1]!Tabla9[[CEDULA ]],[1]!JUEVES[#Data],5,0),"No Registró")</f>
        <v>No Registró</v>
      </c>
      <c r="J239" s="359" t="str">
        <f>IFERROR(LOOKUP(2,1/([1]!JUEVES[[CEDULA ]]=[1]!Tabla9[[#This Row],[CEDULA ]]),[1]!JUEVES[HORA]),"No registró")</f>
        <v>No registró</v>
      </c>
      <c r="K239" s="359" t="str">
        <f>IFERROR(VLOOKUP([1]!Tabla9[[CEDULA ]],[1]!VIERNES[#Data],5,0),"No registró")</f>
        <v>No registró</v>
      </c>
      <c r="L239" s="359" t="str">
        <f>IFERROR(LOOKUP(2,1/([1]!VIERNES[[CEDULA ]]=[1]!Tabla9[[#This Row],[CEDULA ]]),[1]!VIERNES[HORA]),"No registró")</f>
        <v>No registró</v>
      </c>
      <c r="M239" s="359" t="str">
        <f>IFERROR(VLOOKUP([1]!Tabla9[[CEDULA ]],[1]!SABADO[#Data],5,0),"No registró")</f>
        <v>No registró</v>
      </c>
      <c r="N239" s="359" t="str">
        <f>IFERROR(LOOKUP(2,1/([1]!SABADO[[CEDULA ]]=[1]!Tabla9[[#This Row],[CEDULA ]]),[1]!SABADO[HORA]),"No registró")</f>
        <v>No registró</v>
      </c>
      <c r="O239" s="359" t="str">
        <f>IFERROR(VLOOKUP([1]!Tabla9[[CEDULA ]],[1]!DOMINGO[#Data],5,0),"No registró")</f>
        <v>No registró</v>
      </c>
      <c r="P239" s="359" t="str">
        <f>IFERROR(LOOKUP(2,1/([1]!DOMINGO[[CEDULA ]]=[1]!Tabla9[[#This Row],[CEDULA ]]),[1]!DOMINGO[HORA]),"No registró")</f>
        <v>No registró</v>
      </c>
      <c r="Q239" s="240">
        <f>IFERROR(VLOOKUP(A239,DATOS[],10,0),"")</f>
        <v>0</v>
      </c>
    </row>
    <row r="240" spans="1:17" x14ac:dyDescent="0.25">
      <c r="A240" s="239">
        <v>13945368</v>
      </c>
      <c r="B240" s="239" t="s">
        <v>1214</v>
      </c>
      <c r="C240" s="359" t="str">
        <f>IFERROR(VLOOKUP([1]!Tabla9[[CEDULA ]],[1]!LUNES[#Data],5,0),"No registró")</f>
        <v>No registró</v>
      </c>
      <c r="D240" s="359" t="str">
        <f>IFERROR(LOOKUP(2,1/([1]!LUNES[[CEDULA ]]=[1]!Tabla9[[#This Row],[CEDULA ]]),[1]!LUNES[HORA]),"No registró")</f>
        <v>No registró</v>
      </c>
      <c r="E240" s="359">
        <f>IFERROR(VLOOKUP([1]!Tabla9[[CEDULA ]],[1]!MARTES[#Data],5,0),"No registró")</f>
        <v>0.28695601851851854</v>
      </c>
      <c r="F240" s="359">
        <f>IFERROR(LOOKUP(2,1/([1]!MARTES[[CEDULA ]]=[1]!Tabla9[[#This Row],[CEDULA ]]),[1]!MARTES[HORA]),"No Registró")</f>
        <v>0.55295138888888895</v>
      </c>
      <c r="G240" s="359" t="str">
        <f>IFERROR(VLOOKUP([1]!Tabla9[[CEDULA ]],[1]!MIERCOLES[#Data],5,0),"No registró")</f>
        <v>No registró</v>
      </c>
      <c r="H240" s="359" t="str">
        <f>IFERROR(LOOKUP(2,1/([1]!MIERCOLES[[CEDULA ]]=[1]!Tabla9[[#This Row],[CEDULA ]]),[1]!MIERCOLES[HORA]),"No registró")</f>
        <v>No registró</v>
      </c>
      <c r="I240" s="359" t="str">
        <f>IFERROR(VLOOKUP([1]!Tabla9[[CEDULA ]],[1]!JUEVES[#Data],5,0),"No Registró")</f>
        <v>No Registró</v>
      </c>
      <c r="J240" s="359" t="str">
        <f>IFERROR(LOOKUP(2,1/([1]!JUEVES[[CEDULA ]]=[1]!Tabla9[[#This Row],[CEDULA ]]),[1]!JUEVES[HORA]),"No registró")</f>
        <v>No registró</v>
      </c>
      <c r="K240" s="359" t="str">
        <f>IFERROR(VLOOKUP([1]!Tabla9[[CEDULA ]],[1]!VIERNES[#Data],5,0),"No registró")</f>
        <v>No registró</v>
      </c>
      <c r="L240" s="359" t="str">
        <f>IFERROR(LOOKUP(2,1/([1]!VIERNES[[CEDULA ]]=[1]!Tabla9[[#This Row],[CEDULA ]]),[1]!VIERNES[HORA]),"No registró")</f>
        <v>No registró</v>
      </c>
      <c r="M240" s="359" t="str">
        <f>IFERROR(VLOOKUP([1]!Tabla9[[CEDULA ]],[1]!SABADO[#Data],5,0),"No registró")</f>
        <v>No registró</v>
      </c>
      <c r="N240" s="359" t="str">
        <f>IFERROR(LOOKUP(2,1/([1]!SABADO[[CEDULA ]]=[1]!Tabla9[[#This Row],[CEDULA ]]),[1]!SABADO[HORA]),"No registró")</f>
        <v>No registró</v>
      </c>
      <c r="O240" s="359" t="str">
        <f>IFERROR(VLOOKUP([1]!Tabla9[[CEDULA ]],[1]!DOMINGO[#Data],5,0),"No registró")</f>
        <v>No registró</v>
      </c>
      <c r="P240" s="359" t="str">
        <f>IFERROR(LOOKUP(2,1/([1]!DOMINGO[[CEDULA ]]=[1]!Tabla9[[#This Row],[CEDULA ]]),[1]!DOMINGO[HORA]),"No registró")</f>
        <v>No registró</v>
      </c>
      <c r="Q240" s="240" t="str">
        <f>IFERROR(VLOOKUP(A240,DATOS[],10,0),"")</f>
        <v>2. CATIA</v>
      </c>
    </row>
    <row r="241" spans="1:17" x14ac:dyDescent="0.25">
      <c r="A241" s="239">
        <v>14129191</v>
      </c>
      <c r="B241" s="239" t="s">
        <v>1215</v>
      </c>
      <c r="C241" s="359">
        <f>IFERROR(VLOOKUP([1]!Tabla9[[CEDULA ]],[1]!LUNES[#Data],5,0),"No registró")</f>
        <v>0.36162037037037037</v>
      </c>
      <c r="D241" s="359">
        <f>IFERROR(LOOKUP(2,1/([1]!LUNES[[CEDULA ]]=[1]!Tabla9[[#This Row],[CEDULA ]]),[1]!LUNES[HORA]),"No registró")</f>
        <v>0.53050925925925929</v>
      </c>
      <c r="E241" s="359">
        <f>IFERROR(VLOOKUP([1]!Tabla9[[CEDULA ]],[1]!MARTES[#Data],5,0),"No registró")</f>
        <v>0.47452546296296294</v>
      </c>
      <c r="F241" s="359">
        <f>IFERROR(LOOKUP(2,1/([1]!MARTES[[CEDULA ]]=[1]!Tabla9[[#This Row],[CEDULA ]]),[1]!MARTES[HORA]),"No Registró")</f>
        <v>0.65679398148148149</v>
      </c>
      <c r="G241" s="359" t="str">
        <f>IFERROR(VLOOKUP([1]!Tabla9[[CEDULA ]],[1]!MIERCOLES[#Data],5,0),"No registró")</f>
        <v>No registró</v>
      </c>
      <c r="H241" s="359" t="str">
        <f>IFERROR(LOOKUP(2,1/([1]!MIERCOLES[[CEDULA ]]=[1]!Tabla9[[#This Row],[CEDULA ]]),[1]!MIERCOLES[HORA]),"No registró")</f>
        <v>No registró</v>
      </c>
      <c r="I241" s="359" t="str">
        <f>IFERROR(VLOOKUP([1]!Tabla9[[CEDULA ]],[1]!JUEVES[#Data],5,0),"No Registró")</f>
        <v>No Registró</v>
      </c>
      <c r="J241" s="359" t="str">
        <f>IFERROR(LOOKUP(2,1/([1]!JUEVES[[CEDULA ]]=[1]!Tabla9[[#This Row],[CEDULA ]]),[1]!JUEVES[HORA]),"No registró")</f>
        <v>No registró</v>
      </c>
      <c r="K241" s="359" t="str">
        <f>IFERROR(VLOOKUP([1]!Tabla9[[CEDULA ]],[1]!VIERNES[#Data],5,0),"No registró")</f>
        <v>No registró</v>
      </c>
      <c r="L241" s="359" t="str">
        <f>IFERROR(LOOKUP(2,1/([1]!VIERNES[[CEDULA ]]=[1]!Tabla9[[#This Row],[CEDULA ]]),[1]!VIERNES[HORA]),"No registró")</f>
        <v>No registró</v>
      </c>
      <c r="M241" s="359" t="str">
        <f>IFERROR(VLOOKUP([1]!Tabla9[[CEDULA ]],[1]!SABADO[#Data],5,0),"No registró")</f>
        <v>No registró</v>
      </c>
      <c r="N241" s="359" t="str">
        <f>IFERROR(LOOKUP(2,1/([1]!SABADO[[CEDULA ]]=[1]!Tabla9[[#This Row],[CEDULA ]]),[1]!SABADO[HORA]),"No registró")</f>
        <v>No registró</v>
      </c>
      <c r="O241" s="359" t="str">
        <f>IFERROR(VLOOKUP([1]!Tabla9[[CEDULA ]],[1]!DOMINGO[#Data],5,0),"No registró")</f>
        <v>No registró</v>
      </c>
      <c r="P241" s="359" t="str">
        <f>IFERROR(LOOKUP(2,1/([1]!DOMINGO[[CEDULA ]]=[1]!Tabla9[[#This Row],[CEDULA ]]),[1]!DOMINGO[HORA]),"No registró")</f>
        <v>No registró</v>
      </c>
      <c r="Q241" s="240">
        <f>IFERROR(VLOOKUP(A241,DATOS[],10,0),"")</f>
        <v>0</v>
      </c>
    </row>
    <row r="242" spans="1:17" x14ac:dyDescent="0.25">
      <c r="A242" s="239">
        <v>14163587</v>
      </c>
      <c r="B242" s="239" t="s">
        <v>1216</v>
      </c>
      <c r="C242" s="359">
        <f>IFERROR(VLOOKUP([1]!Tabla9[[CEDULA ]],[1]!LUNES[#Data],5,0),"No registró")</f>
        <v>0.33825231481481483</v>
      </c>
      <c r="D242" s="359">
        <f>IFERROR(LOOKUP(2,1/([1]!LUNES[[CEDULA ]]=[1]!Tabla9[[#This Row],[CEDULA ]]),[1]!LUNES[HORA]),"No registró")</f>
        <v>0.55825231481481474</v>
      </c>
      <c r="E242" s="359">
        <f>IFERROR(VLOOKUP([1]!Tabla9[[CEDULA ]],[1]!MARTES[#Data],5,0),"No registró")</f>
        <v>0.32946759259259256</v>
      </c>
      <c r="F242" s="359">
        <f>IFERROR(LOOKUP(2,1/([1]!MARTES[[CEDULA ]]=[1]!Tabla9[[#This Row],[CEDULA ]]),[1]!MARTES[HORA]),"No Registró")</f>
        <v>0.55915509259259266</v>
      </c>
      <c r="G242" s="359" t="str">
        <f>IFERROR(VLOOKUP([1]!Tabla9[[CEDULA ]],[1]!MIERCOLES[#Data],5,0),"No registró")</f>
        <v>No registró</v>
      </c>
      <c r="H242" s="359" t="str">
        <f>IFERROR(LOOKUP(2,1/([1]!MIERCOLES[[CEDULA ]]=[1]!Tabla9[[#This Row],[CEDULA ]]),[1]!MIERCOLES[HORA]),"No registró")</f>
        <v>No registró</v>
      </c>
      <c r="I242" s="359" t="str">
        <f>IFERROR(VLOOKUP([1]!Tabla9[[CEDULA ]],[1]!JUEVES[#Data],5,0),"No Registró")</f>
        <v>No Registró</v>
      </c>
      <c r="J242" s="359" t="str">
        <f>IFERROR(LOOKUP(2,1/([1]!JUEVES[[CEDULA ]]=[1]!Tabla9[[#This Row],[CEDULA ]]),[1]!JUEVES[HORA]),"No registró")</f>
        <v>No registró</v>
      </c>
      <c r="K242" s="359" t="str">
        <f>IFERROR(VLOOKUP([1]!Tabla9[[CEDULA ]],[1]!VIERNES[#Data],5,0),"No registró")</f>
        <v>No registró</v>
      </c>
      <c r="L242" s="359" t="str">
        <f>IFERROR(LOOKUP(2,1/([1]!VIERNES[[CEDULA ]]=[1]!Tabla9[[#This Row],[CEDULA ]]),[1]!VIERNES[HORA]),"No registró")</f>
        <v>No registró</v>
      </c>
      <c r="M242" s="359" t="str">
        <f>IFERROR(VLOOKUP([1]!Tabla9[[CEDULA ]],[1]!SABADO[#Data],5,0),"No registró")</f>
        <v>No registró</v>
      </c>
      <c r="N242" s="359" t="str">
        <f>IFERROR(LOOKUP(2,1/([1]!SABADO[[CEDULA ]]=[1]!Tabla9[[#This Row],[CEDULA ]]),[1]!SABADO[HORA]),"No registró")</f>
        <v>No registró</v>
      </c>
      <c r="O242" s="359" t="str">
        <f>IFERROR(VLOOKUP([1]!Tabla9[[CEDULA ]],[1]!DOMINGO[#Data],5,0),"No registró")</f>
        <v>No registró</v>
      </c>
      <c r="P242" s="359" t="str">
        <f>IFERROR(LOOKUP(2,1/([1]!DOMINGO[[CEDULA ]]=[1]!Tabla9[[#This Row],[CEDULA ]]),[1]!DOMINGO[HORA]),"No registró")</f>
        <v>No registró</v>
      </c>
      <c r="Q242" s="240">
        <f>IFERROR(VLOOKUP(A242,DATOS[],10,0),"")</f>
        <v>0</v>
      </c>
    </row>
    <row r="243" spans="1:17" x14ac:dyDescent="0.25">
      <c r="A243" s="239">
        <v>14196977</v>
      </c>
      <c r="B243" s="239" t="s">
        <v>1217</v>
      </c>
      <c r="C243" s="359">
        <f>IFERROR(VLOOKUP([1]!Tabla9[[CEDULA ]],[1]!LUNES[#Data],5,0),"No registró")</f>
        <v>0.28177083333333336</v>
      </c>
      <c r="D243" s="359">
        <f>IFERROR(LOOKUP(2,1/([1]!LUNES[[CEDULA ]]=[1]!Tabla9[[#This Row],[CEDULA ]]),[1]!LUNES[HORA]),"No registró")</f>
        <v>0.55258101851851849</v>
      </c>
      <c r="E243" s="359">
        <f>IFERROR(VLOOKUP([1]!Tabla9[[CEDULA ]],[1]!MARTES[#Data],5,0),"No registró")</f>
        <v>0.28175925925925926</v>
      </c>
      <c r="F243" s="359">
        <f>IFERROR(LOOKUP(2,1/([1]!MARTES[[CEDULA ]]=[1]!Tabla9[[#This Row],[CEDULA ]]),[1]!MARTES[HORA]),"No Registró")</f>
        <v>0.55483796296296295</v>
      </c>
      <c r="G243" s="359" t="str">
        <f>IFERROR(VLOOKUP([1]!Tabla9[[CEDULA ]],[1]!MIERCOLES[#Data],5,0),"No registró")</f>
        <v>No registró</v>
      </c>
      <c r="H243" s="359" t="str">
        <f>IFERROR(LOOKUP(2,1/([1]!MIERCOLES[[CEDULA ]]=[1]!Tabla9[[#This Row],[CEDULA ]]),[1]!MIERCOLES[HORA]),"No registró")</f>
        <v>No registró</v>
      </c>
      <c r="I243" s="359" t="str">
        <f>IFERROR(VLOOKUP([1]!Tabla9[[CEDULA ]],[1]!JUEVES[#Data],5,0),"No Registró")</f>
        <v>No Registró</v>
      </c>
      <c r="J243" s="359" t="str">
        <f>IFERROR(LOOKUP(2,1/([1]!JUEVES[[CEDULA ]]=[1]!Tabla9[[#This Row],[CEDULA ]]),[1]!JUEVES[HORA]),"No registró")</f>
        <v>No registró</v>
      </c>
      <c r="K243" s="359" t="str">
        <f>IFERROR(VLOOKUP([1]!Tabla9[[CEDULA ]],[1]!VIERNES[#Data],5,0),"No registró")</f>
        <v>No registró</v>
      </c>
      <c r="L243" s="359" t="str">
        <f>IFERROR(LOOKUP(2,1/([1]!VIERNES[[CEDULA ]]=[1]!Tabla9[[#This Row],[CEDULA ]]),[1]!VIERNES[HORA]),"No registró")</f>
        <v>No registró</v>
      </c>
      <c r="M243" s="359" t="str">
        <f>IFERROR(VLOOKUP([1]!Tabla9[[CEDULA ]],[1]!SABADO[#Data],5,0),"No registró")</f>
        <v>No registró</v>
      </c>
      <c r="N243" s="359" t="str">
        <f>IFERROR(LOOKUP(2,1/([1]!SABADO[[CEDULA ]]=[1]!Tabla9[[#This Row],[CEDULA ]]),[1]!SABADO[HORA]),"No registró")</f>
        <v>No registró</v>
      </c>
      <c r="O243" s="359" t="str">
        <f>IFERROR(VLOOKUP([1]!Tabla9[[CEDULA ]],[1]!DOMINGO[#Data],5,0),"No registró")</f>
        <v>No registró</v>
      </c>
      <c r="P243" s="359" t="str">
        <f>IFERROR(LOOKUP(2,1/([1]!DOMINGO[[CEDULA ]]=[1]!Tabla9[[#This Row],[CEDULA ]]),[1]!DOMINGO[HORA]),"No registró")</f>
        <v>No registró</v>
      </c>
      <c r="Q243" s="240" t="str">
        <f>IFERROR(VLOOKUP(A243,DATOS[],10,0),"")</f>
        <v>3. CARICUAO</v>
      </c>
    </row>
    <row r="244" spans="1:17" x14ac:dyDescent="0.25">
      <c r="A244" s="239">
        <v>14202223</v>
      </c>
      <c r="B244" s="239" t="s">
        <v>1218</v>
      </c>
      <c r="C244" s="359">
        <f>IFERROR(VLOOKUP([1]!Tabla9[[CEDULA ]],[1]!LUNES[#Data],5,0),"No registró")</f>
        <v>0.29200231481481481</v>
      </c>
      <c r="D244" s="359">
        <f>IFERROR(LOOKUP(2,1/([1]!LUNES[[CEDULA ]]=[1]!Tabla9[[#This Row],[CEDULA ]]),[1]!LUNES[HORA]),"No registró")</f>
        <v>0.59241898148148142</v>
      </c>
      <c r="E244" s="359">
        <f>IFERROR(VLOOKUP([1]!Tabla9[[CEDULA ]],[1]!MARTES[#Data],5,0),"No registró")</f>
        <v>0.30607638888888888</v>
      </c>
      <c r="F244" s="359">
        <f>IFERROR(LOOKUP(2,1/([1]!MARTES[[CEDULA ]]=[1]!Tabla9[[#This Row],[CEDULA ]]),[1]!MARTES[HORA]),"No Registró")</f>
        <v>0.74569444444444455</v>
      </c>
      <c r="G244" s="359" t="str">
        <f>IFERROR(VLOOKUP([1]!Tabla9[[CEDULA ]],[1]!MIERCOLES[#Data],5,0),"No registró")</f>
        <v>No registró</v>
      </c>
      <c r="H244" s="359" t="str">
        <f>IFERROR(LOOKUP(2,1/([1]!MIERCOLES[[CEDULA ]]=[1]!Tabla9[[#This Row],[CEDULA ]]),[1]!MIERCOLES[HORA]),"No registró")</f>
        <v>No registró</v>
      </c>
      <c r="I244" s="359" t="str">
        <f>IFERROR(VLOOKUP([1]!Tabla9[[CEDULA ]],[1]!JUEVES[#Data],5,0),"No Registró")</f>
        <v>No Registró</v>
      </c>
      <c r="J244" s="359" t="str">
        <f>IFERROR(LOOKUP(2,1/([1]!JUEVES[[CEDULA ]]=[1]!Tabla9[[#This Row],[CEDULA ]]),[1]!JUEVES[HORA]),"No registró")</f>
        <v>No registró</v>
      </c>
      <c r="K244" s="359" t="str">
        <f>IFERROR(VLOOKUP([1]!Tabla9[[CEDULA ]],[1]!VIERNES[#Data],5,0),"No registró")</f>
        <v>No registró</v>
      </c>
      <c r="L244" s="359" t="str">
        <f>IFERROR(LOOKUP(2,1/([1]!VIERNES[[CEDULA ]]=[1]!Tabla9[[#This Row],[CEDULA ]]),[1]!VIERNES[HORA]),"No registró")</f>
        <v>No registró</v>
      </c>
      <c r="M244" s="359" t="str">
        <f>IFERROR(VLOOKUP([1]!Tabla9[[CEDULA ]],[1]!SABADO[#Data],5,0),"No registró")</f>
        <v>No registró</v>
      </c>
      <c r="N244" s="359" t="str">
        <f>IFERROR(LOOKUP(2,1/([1]!SABADO[[CEDULA ]]=[1]!Tabla9[[#This Row],[CEDULA ]]),[1]!SABADO[HORA]),"No registró")</f>
        <v>No registró</v>
      </c>
      <c r="O244" s="359" t="str">
        <f>IFERROR(VLOOKUP([1]!Tabla9[[CEDULA ]],[1]!DOMINGO[#Data],5,0),"No registró")</f>
        <v>No registró</v>
      </c>
      <c r="P244" s="359" t="str">
        <f>IFERROR(LOOKUP(2,1/([1]!DOMINGO[[CEDULA ]]=[1]!Tabla9[[#This Row],[CEDULA ]]),[1]!DOMINGO[HORA]),"No registró")</f>
        <v>No registró</v>
      </c>
      <c r="Q244" s="240">
        <f>IFERROR(VLOOKUP(A244,DATOS[],10,0),"")</f>
        <v>0</v>
      </c>
    </row>
    <row r="245" spans="1:17" x14ac:dyDescent="0.25">
      <c r="A245" s="239">
        <v>14275509</v>
      </c>
      <c r="B245" s="239" t="s">
        <v>1219</v>
      </c>
      <c r="C245" s="359">
        <f>IFERROR(VLOOKUP([1]!Tabla9[[CEDULA ]],[1]!LUNES[#Data],5,0),"No registró")</f>
        <v>0.31395833333333334</v>
      </c>
      <c r="D245" s="359">
        <f>IFERROR(LOOKUP(2,1/([1]!LUNES[[CEDULA ]]=[1]!Tabla9[[#This Row],[CEDULA ]]),[1]!LUNES[HORA]),"No registró")</f>
        <v>0.57277777777777772</v>
      </c>
      <c r="E245" s="359">
        <f>IFERROR(VLOOKUP([1]!Tabla9[[CEDULA ]],[1]!MARTES[#Data],5,0),"No registró")</f>
        <v>0.29206018518518517</v>
      </c>
      <c r="F245" s="359">
        <f>IFERROR(LOOKUP(2,1/([1]!MARTES[[CEDULA ]]=[1]!Tabla9[[#This Row],[CEDULA ]]),[1]!MARTES[HORA]),"No Registró")</f>
        <v>0.56189814814814809</v>
      </c>
      <c r="G245" s="359" t="str">
        <f>IFERROR(VLOOKUP([1]!Tabla9[[CEDULA ]],[1]!MIERCOLES[#Data],5,0),"No registró")</f>
        <v>No registró</v>
      </c>
      <c r="H245" s="359" t="str">
        <f>IFERROR(LOOKUP(2,1/([1]!MIERCOLES[[CEDULA ]]=[1]!Tabla9[[#This Row],[CEDULA ]]),[1]!MIERCOLES[HORA]),"No registró")</f>
        <v>No registró</v>
      </c>
      <c r="I245" s="359" t="str">
        <f>IFERROR(VLOOKUP([1]!Tabla9[[CEDULA ]],[1]!JUEVES[#Data],5,0),"No Registró")</f>
        <v>No Registró</v>
      </c>
      <c r="J245" s="359" t="str">
        <f>IFERROR(LOOKUP(2,1/([1]!JUEVES[[CEDULA ]]=[1]!Tabla9[[#This Row],[CEDULA ]]),[1]!JUEVES[HORA]),"No registró")</f>
        <v>No registró</v>
      </c>
      <c r="K245" s="359" t="str">
        <f>IFERROR(VLOOKUP([1]!Tabla9[[CEDULA ]],[1]!VIERNES[#Data],5,0),"No registró")</f>
        <v>No registró</v>
      </c>
      <c r="L245" s="359" t="str">
        <f>IFERROR(LOOKUP(2,1/([1]!VIERNES[[CEDULA ]]=[1]!Tabla9[[#This Row],[CEDULA ]]),[1]!VIERNES[HORA]),"No registró")</f>
        <v>No registró</v>
      </c>
      <c r="M245" s="359" t="str">
        <f>IFERROR(VLOOKUP([1]!Tabla9[[CEDULA ]],[1]!SABADO[#Data],5,0),"No registró")</f>
        <v>No registró</v>
      </c>
      <c r="N245" s="359" t="str">
        <f>IFERROR(LOOKUP(2,1/([1]!SABADO[[CEDULA ]]=[1]!Tabla9[[#This Row],[CEDULA ]]),[1]!SABADO[HORA]),"No registró")</f>
        <v>No registró</v>
      </c>
      <c r="O245" s="359" t="str">
        <f>IFERROR(VLOOKUP([1]!Tabla9[[CEDULA ]],[1]!DOMINGO[#Data],5,0),"No registró")</f>
        <v>No registró</v>
      </c>
      <c r="P245" s="359" t="str">
        <f>IFERROR(LOOKUP(2,1/([1]!DOMINGO[[CEDULA ]]=[1]!Tabla9[[#This Row],[CEDULA ]]),[1]!DOMINGO[HORA]),"No registró")</f>
        <v>No registró</v>
      </c>
      <c r="Q245" s="240">
        <f>IFERROR(VLOOKUP(A245,DATOS[],10,0),"")</f>
        <v>0</v>
      </c>
    </row>
    <row r="246" spans="1:17" x14ac:dyDescent="0.25">
      <c r="A246" s="239">
        <v>14346582</v>
      </c>
      <c r="B246" s="239" t="s">
        <v>1220</v>
      </c>
      <c r="C246" s="359">
        <f>IFERROR(VLOOKUP([1]!Tabla9[[CEDULA ]],[1]!LUNES[#Data],5,0),"No registró")</f>
        <v>0.26925925925925925</v>
      </c>
      <c r="D246" s="359">
        <f>IFERROR(LOOKUP(2,1/([1]!LUNES[[CEDULA ]]=[1]!Tabla9[[#This Row],[CEDULA ]]),[1]!LUNES[HORA]),"No registró")</f>
        <v>0.47638888888888892</v>
      </c>
      <c r="E246" s="359">
        <f>IFERROR(VLOOKUP([1]!Tabla9[[CEDULA ]],[1]!MARTES[#Data],5,0),"No registró")</f>
        <v>0.26092592592592595</v>
      </c>
      <c r="F246" s="359">
        <f>IFERROR(LOOKUP(2,1/([1]!MARTES[[CEDULA ]]=[1]!Tabla9[[#This Row],[CEDULA ]]),[1]!MARTES[HORA]),"No Registró")</f>
        <v>0.44196759259259261</v>
      </c>
      <c r="G246" s="359">
        <f>IFERROR(VLOOKUP([1]!Tabla9[[CEDULA ]],[1]!MIERCOLES[#Data],5,0),"No registró")</f>
        <v>0.31778935185185186</v>
      </c>
      <c r="H246" s="360" t="s">
        <v>989</v>
      </c>
      <c r="I246" s="359" t="str">
        <f>IFERROR(VLOOKUP([1]!Tabla9[[CEDULA ]],[1]!JUEVES[#Data],5,0),"No Registró")</f>
        <v>No Registró</v>
      </c>
      <c r="J246" s="359" t="str">
        <f>IFERROR(LOOKUP(2,1/([1]!JUEVES[[CEDULA ]]=[1]!Tabla9[[#This Row],[CEDULA ]]),[1]!JUEVES[HORA]),"No registró")</f>
        <v>No registró</v>
      </c>
      <c r="K246" s="359" t="str">
        <f>IFERROR(VLOOKUP([1]!Tabla9[[CEDULA ]],[1]!VIERNES[#Data],5,0),"No registró")</f>
        <v>No registró</v>
      </c>
      <c r="L246" s="359" t="str">
        <f>IFERROR(LOOKUP(2,1/([1]!VIERNES[[CEDULA ]]=[1]!Tabla9[[#This Row],[CEDULA ]]),[1]!VIERNES[HORA]),"No registró")</f>
        <v>No registró</v>
      </c>
      <c r="M246" s="359" t="str">
        <f>IFERROR(VLOOKUP([1]!Tabla9[[CEDULA ]],[1]!SABADO[#Data],5,0),"No registró")</f>
        <v>No registró</v>
      </c>
      <c r="N246" s="359" t="str">
        <f>IFERROR(LOOKUP(2,1/([1]!SABADO[[CEDULA ]]=[1]!Tabla9[[#This Row],[CEDULA ]]),[1]!SABADO[HORA]),"No registró")</f>
        <v>No registró</v>
      </c>
      <c r="O246" s="359" t="str">
        <f>IFERROR(VLOOKUP([1]!Tabla9[[CEDULA ]],[1]!DOMINGO[#Data],5,0),"No registró")</f>
        <v>No registró</v>
      </c>
      <c r="P246" s="359" t="str">
        <f>IFERROR(LOOKUP(2,1/([1]!DOMINGO[[CEDULA ]]=[1]!Tabla9[[#This Row],[CEDULA ]]),[1]!DOMINGO[HORA]),"No registró")</f>
        <v>No registró</v>
      </c>
      <c r="Q246" s="240">
        <f>IFERROR(VLOOKUP(A246,DATOS[],10,0),"")</f>
        <v>0</v>
      </c>
    </row>
    <row r="247" spans="1:17" x14ac:dyDescent="0.25">
      <c r="A247" s="239">
        <v>14351631</v>
      </c>
      <c r="B247" s="239" t="s">
        <v>1221</v>
      </c>
      <c r="C247" s="359">
        <f>IFERROR(VLOOKUP([1]!Tabla9[[CEDULA ]],[1]!LUNES[#Data],5,0),"No registró")</f>
        <v>0.3168287037037037</v>
      </c>
      <c r="D247" s="359">
        <f>IFERROR(LOOKUP(2,1/([1]!LUNES[[CEDULA ]]=[1]!Tabla9[[#This Row],[CEDULA ]]),[1]!LUNES[HORA]),"No registró")</f>
        <v>0.55341435185185184</v>
      </c>
      <c r="E247" s="359">
        <f>IFERROR(VLOOKUP([1]!Tabla9[[CEDULA ]],[1]!MARTES[#Data],5,0),"No registró")</f>
        <v>0.3033912037037037</v>
      </c>
      <c r="F247" s="359">
        <f>IFERROR(LOOKUP(2,1/([1]!MARTES[[CEDULA ]]=[1]!Tabla9[[#This Row],[CEDULA ]]),[1]!MARTES[HORA]),"No Registró")</f>
        <v>0.5554513888888889</v>
      </c>
      <c r="G247" s="359" t="str">
        <f>IFERROR(VLOOKUP([1]!Tabla9[[CEDULA ]],[1]!MIERCOLES[#Data],5,0),"No registró")</f>
        <v>No registró</v>
      </c>
      <c r="H247" s="359" t="str">
        <f>IFERROR(LOOKUP(2,1/([1]!MIERCOLES[[CEDULA ]]=[1]!Tabla9[[#This Row],[CEDULA ]]),[1]!MIERCOLES[HORA]),"No registró")</f>
        <v>No registró</v>
      </c>
      <c r="I247" s="359" t="str">
        <f>IFERROR(VLOOKUP([1]!Tabla9[[CEDULA ]],[1]!JUEVES[#Data],5,0),"No Registró")</f>
        <v>No Registró</v>
      </c>
      <c r="J247" s="359" t="str">
        <f>IFERROR(LOOKUP(2,1/([1]!JUEVES[[CEDULA ]]=[1]!Tabla9[[#This Row],[CEDULA ]]),[1]!JUEVES[HORA]),"No registró")</f>
        <v>No registró</v>
      </c>
      <c r="K247" s="359" t="str">
        <f>IFERROR(VLOOKUP([1]!Tabla9[[CEDULA ]],[1]!VIERNES[#Data],5,0),"No registró")</f>
        <v>No registró</v>
      </c>
      <c r="L247" s="359" t="str">
        <f>IFERROR(LOOKUP(2,1/([1]!VIERNES[[CEDULA ]]=[1]!Tabla9[[#This Row],[CEDULA ]]),[1]!VIERNES[HORA]),"No registró")</f>
        <v>No registró</v>
      </c>
      <c r="M247" s="359" t="str">
        <f>IFERROR(VLOOKUP([1]!Tabla9[[CEDULA ]],[1]!SABADO[#Data],5,0),"No registró")</f>
        <v>No registró</v>
      </c>
      <c r="N247" s="359" t="str">
        <f>IFERROR(LOOKUP(2,1/([1]!SABADO[[CEDULA ]]=[1]!Tabla9[[#This Row],[CEDULA ]]),[1]!SABADO[HORA]),"No registró")</f>
        <v>No registró</v>
      </c>
      <c r="O247" s="359" t="str">
        <f>IFERROR(VLOOKUP([1]!Tabla9[[CEDULA ]],[1]!DOMINGO[#Data],5,0),"No registró")</f>
        <v>No registró</v>
      </c>
      <c r="P247" s="359" t="str">
        <f>IFERROR(LOOKUP(2,1/([1]!DOMINGO[[CEDULA ]]=[1]!Tabla9[[#This Row],[CEDULA ]]),[1]!DOMINGO[HORA]),"No registró")</f>
        <v>No registró</v>
      </c>
      <c r="Q247" s="240">
        <f>IFERROR(VLOOKUP(A247,DATOS[],10,0),"")</f>
        <v>0</v>
      </c>
    </row>
    <row r="248" spans="1:17" x14ac:dyDescent="0.25">
      <c r="A248" s="239">
        <v>14382027</v>
      </c>
      <c r="B248" s="239" t="s">
        <v>1222</v>
      </c>
      <c r="C248" s="359">
        <f>IFERROR(VLOOKUP([1]!Tabla9[[CEDULA ]],[1]!LUNES[#Data],5,0),"No registró")</f>
        <v>0.28062500000000001</v>
      </c>
      <c r="D248" s="359">
        <f>IFERROR(LOOKUP(2,1/([1]!LUNES[[CEDULA ]]=[1]!Tabla9[[#This Row],[CEDULA ]]),[1]!LUNES[HORA]),"No registró")</f>
        <v>0.55322916666666666</v>
      </c>
      <c r="E248" s="359">
        <f>IFERROR(VLOOKUP([1]!Tabla9[[CEDULA ]],[1]!MARTES[#Data],5,0),"No registró")</f>
        <v>0.28663194444444445</v>
      </c>
      <c r="F248" s="359">
        <f>IFERROR(LOOKUP(2,1/([1]!MARTES[[CEDULA ]]=[1]!Tabla9[[#This Row],[CEDULA ]]),[1]!MARTES[HORA]),"No Registró")</f>
        <v>0.55268518518518517</v>
      </c>
      <c r="G248" s="359" t="str">
        <f>IFERROR(VLOOKUP([1]!Tabla9[[CEDULA ]],[1]!MIERCOLES[#Data],5,0),"No registró")</f>
        <v>No registró</v>
      </c>
      <c r="H248" s="359" t="str">
        <f>IFERROR(LOOKUP(2,1/([1]!MIERCOLES[[CEDULA ]]=[1]!Tabla9[[#This Row],[CEDULA ]]),[1]!MIERCOLES[HORA]),"No registró")</f>
        <v>No registró</v>
      </c>
      <c r="I248" s="359" t="str">
        <f>IFERROR(VLOOKUP([1]!Tabla9[[CEDULA ]],[1]!JUEVES[#Data],5,0),"No Registró")</f>
        <v>No Registró</v>
      </c>
      <c r="J248" s="359" t="str">
        <f>IFERROR(LOOKUP(2,1/([1]!JUEVES[[CEDULA ]]=[1]!Tabla9[[#This Row],[CEDULA ]]),[1]!JUEVES[HORA]),"No registró")</f>
        <v>No registró</v>
      </c>
      <c r="K248" s="359" t="str">
        <f>IFERROR(VLOOKUP([1]!Tabla9[[CEDULA ]],[1]!VIERNES[#Data],5,0),"No registró")</f>
        <v>No registró</v>
      </c>
      <c r="L248" s="359" t="str">
        <f>IFERROR(LOOKUP(2,1/([1]!VIERNES[[CEDULA ]]=[1]!Tabla9[[#This Row],[CEDULA ]]),[1]!VIERNES[HORA]),"No registró")</f>
        <v>No registró</v>
      </c>
      <c r="M248" s="359" t="str">
        <f>IFERROR(VLOOKUP([1]!Tabla9[[CEDULA ]],[1]!SABADO[#Data],5,0),"No registró")</f>
        <v>No registró</v>
      </c>
      <c r="N248" s="359" t="str">
        <f>IFERROR(LOOKUP(2,1/([1]!SABADO[[CEDULA ]]=[1]!Tabla9[[#This Row],[CEDULA ]]),[1]!SABADO[HORA]),"No registró")</f>
        <v>No registró</v>
      </c>
      <c r="O248" s="359" t="str">
        <f>IFERROR(VLOOKUP([1]!Tabla9[[CEDULA ]],[1]!DOMINGO[#Data],5,0),"No registró")</f>
        <v>No registró</v>
      </c>
      <c r="P248" s="359" t="str">
        <f>IFERROR(LOOKUP(2,1/([1]!DOMINGO[[CEDULA ]]=[1]!Tabla9[[#This Row],[CEDULA ]]),[1]!DOMINGO[HORA]),"No registró")</f>
        <v>No registró</v>
      </c>
      <c r="Q248" s="240" t="str">
        <f>IFERROR(VLOOKUP(A248,DATOS[],10,0),"")</f>
        <v>2. CATIA</v>
      </c>
    </row>
    <row r="249" spans="1:17" x14ac:dyDescent="0.25">
      <c r="A249" s="239">
        <v>14387454</v>
      </c>
      <c r="B249" s="239" t="s">
        <v>1223</v>
      </c>
      <c r="C249" s="359">
        <f>IFERROR(VLOOKUP([1]!Tabla9[[CEDULA ]],[1]!LUNES[#Data],5,0),"No registró")</f>
        <v>0.29552083333333334</v>
      </c>
      <c r="D249" s="359">
        <f>IFERROR(LOOKUP(2,1/([1]!LUNES[[CEDULA ]]=[1]!Tabla9[[#This Row],[CEDULA ]]),[1]!LUNES[HORA]),"No registró")</f>
        <v>0.55347222222222225</v>
      </c>
      <c r="E249" s="359">
        <f>IFERROR(VLOOKUP([1]!Tabla9[[CEDULA ]],[1]!MARTES[#Data],5,0),"No registró")</f>
        <v>0.28980324074074076</v>
      </c>
      <c r="F249" s="359">
        <f>IFERROR(LOOKUP(2,1/([1]!MARTES[[CEDULA ]]=[1]!Tabla9[[#This Row],[CEDULA ]]),[1]!MARTES[HORA]),"No Registró")</f>
        <v>0.55253472222222222</v>
      </c>
      <c r="G249" s="359" t="str">
        <f>IFERROR(VLOOKUP([1]!Tabla9[[CEDULA ]],[1]!MIERCOLES[#Data],5,0),"No registró")</f>
        <v>No registró</v>
      </c>
      <c r="H249" s="359" t="str">
        <f>IFERROR(LOOKUP(2,1/([1]!MIERCOLES[[CEDULA ]]=[1]!Tabla9[[#This Row],[CEDULA ]]),[1]!MIERCOLES[HORA]),"No registró")</f>
        <v>No registró</v>
      </c>
      <c r="I249" s="359" t="str">
        <f>IFERROR(VLOOKUP([1]!Tabla9[[CEDULA ]],[1]!JUEVES[#Data],5,0),"No Registró")</f>
        <v>No Registró</v>
      </c>
      <c r="J249" s="359" t="str">
        <f>IFERROR(LOOKUP(2,1/([1]!JUEVES[[CEDULA ]]=[1]!Tabla9[[#This Row],[CEDULA ]]),[1]!JUEVES[HORA]),"No registró")</f>
        <v>No registró</v>
      </c>
      <c r="K249" s="359" t="str">
        <f>IFERROR(VLOOKUP([1]!Tabla9[[CEDULA ]],[1]!VIERNES[#Data],5,0),"No registró")</f>
        <v>No registró</v>
      </c>
      <c r="L249" s="359" t="str">
        <f>IFERROR(LOOKUP(2,1/([1]!VIERNES[[CEDULA ]]=[1]!Tabla9[[#This Row],[CEDULA ]]),[1]!VIERNES[HORA]),"No registró")</f>
        <v>No registró</v>
      </c>
      <c r="M249" s="359" t="str">
        <f>IFERROR(VLOOKUP([1]!Tabla9[[CEDULA ]],[1]!SABADO[#Data],5,0),"No registró")</f>
        <v>No registró</v>
      </c>
      <c r="N249" s="359" t="str">
        <f>IFERROR(LOOKUP(2,1/([1]!SABADO[[CEDULA ]]=[1]!Tabla9[[#This Row],[CEDULA ]]),[1]!SABADO[HORA]),"No registró")</f>
        <v>No registró</v>
      </c>
      <c r="O249" s="359" t="str">
        <f>IFERROR(VLOOKUP([1]!Tabla9[[CEDULA ]],[1]!DOMINGO[#Data],5,0),"No registró")</f>
        <v>No registró</v>
      </c>
      <c r="P249" s="359" t="str">
        <f>IFERROR(LOOKUP(2,1/([1]!DOMINGO[[CEDULA ]]=[1]!Tabla9[[#This Row],[CEDULA ]]),[1]!DOMINGO[HORA]),"No registró")</f>
        <v>No registró</v>
      </c>
      <c r="Q249" s="240" t="str">
        <f>IFERROR(VLOOKUP(A249,DATOS[],10,0),"")</f>
        <v>4. VALLES DEL TUY</v>
      </c>
    </row>
    <row r="250" spans="1:17" x14ac:dyDescent="0.25">
      <c r="A250" s="239">
        <v>14444039</v>
      </c>
      <c r="B250" s="239" t="s">
        <v>1224</v>
      </c>
      <c r="C250" s="359">
        <f>IFERROR(VLOOKUP([1]!Tabla9[[CEDULA ]],[1]!LUNES[#Data],5,0),"No registró")</f>
        <v>0.33275462962962959</v>
      </c>
      <c r="D250" s="359">
        <f>IFERROR(LOOKUP(2,1/([1]!LUNES[[CEDULA ]]=[1]!Tabla9[[#This Row],[CEDULA ]]),[1]!LUNES[HORA]),"No registró")</f>
        <v>0.5557523148148148</v>
      </c>
      <c r="E250" s="359">
        <f>IFERROR(VLOOKUP([1]!Tabla9[[CEDULA ]],[1]!MARTES[#Data],5,0),"No registró")</f>
        <v>0.32957175925925924</v>
      </c>
      <c r="F250" s="359">
        <f>IFERROR(LOOKUP(2,1/([1]!MARTES[[CEDULA ]]=[1]!Tabla9[[#This Row],[CEDULA ]]),[1]!MARTES[HORA]),"No Registró")</f>
        <v>0.56172453703703706</v>
      </c>
      <c r="G250" s="359" t="str">
        <f>IFERROR(VLOOKUP([1]!Tabla9[[CEDULA ]],[1]!MIERCOLES[#Data],5,0),"No registró")</f>
        <v>No registró</v>
      </c>
      <c r="H250" s="359" t="str">
        <f>IFERROR(LOOKUP(2,1/([1]!MIERCOLES[[CEDULA ]]=[1]!Tabla9[[#This Row],[CEDULA ]]),[1]!MIERCOLES[HORA]),"No registró")</f>
        <v>No registró</v>
      </c>
      <c r="I250" s="359" t="str">
        <f>IFERROR(VLOOKUP([1]!Tabla9[[CEDULA ]],[1]!JUEVES[#Data],5,0),"No Registró")</f>
        <v>No Registró</v>
      </c>
      <c r="J250" s="359" t="str">
        <f>IFERROR(LOOKUP(2,1/([1]!JUEVES[[CEDULA ]]=[1]!Tabla9[[#This Row],[CEDULA ]]),[1]!JUEVES[HORA]),"No registró")</f>
        <v>No registró</v>
      </c>
      <c r="K250" s="359" t="str">
        <f>IFERROR(VLOOKUP([1]!Tabla9[[CEDULA ]],[1]!VIERNES[#Data],5,0),"No registró")</f>
        <v>No registró</v>
      </c>
      <c r="L250" s="359" t="str">
        <f>IFERROR(LOOKUP(2,1/([1]!VIERNES[[CEDULA ]]=[1]!Tabla9[[#This Row],[CEDULA ]]),[1]!VIERNES[HORA]),"No registró")</f>
        <v>No registró</v>
      </c>
      <c r="M250" s="359" t="str">
        <f>IFERROR(VLOOKUP([1]!Tabla9[[CEDULA ]],[1]!SABADO[#Data],5,0),"No registró")</f>
        <v>No registró</v>
      </c>
      <c r="N250" s="359" t="str">
        <f>IFERROR(LOOKUP(2,1/([1]!SABADO[[CEDULA ]]=[1]!Tabla9[[#This Row],[CEDULA ]]),[1]!SABADO[HORA]),"No registró")</f>
        <v>No registró</v>
      </c>
      <c r="O250" s="359" t="str">
        <f>IFERROR(VLOOKUP([1]!Tabla9[[CEDULA ]],[1]!DOMINGO[#Data],5,0),"No registró")</f>
        <v>No registró</v>
      </c>
      <c r="P250" s="359" t="str">
        <f>IFERROR(LOOKUP(2,1/([1]!DOMINGO[[CEDULA ]]=[1]!Tabla9[[#This Row],[CEDULA ]]),[1]!DOMINGO[HORA]),"No registró")</f>
        <v>No registró</v>
      </c>
      <c r="Q250" s="240">
        <f>IFERROR(VLOOKUP(A250,DATOS[],10,0),"")</f>
        <v>0</v>
      </c>
    </row>
    <row r="251" spans="1:17" x14ac:dyDescent="0.25">
      <c r="A251" s="239">
        <v>14472161</v>
      </c>
      <c r="B251" s="239" t="s">
        <v>1225</v>
      </c>
      <c r="C251" s="359">
        <f>IFERROR(VLOOKUP([1]!Tabla9[[CEDULA ]],[1]!LUNES[#Data],5,0),"No registró")</f>
        <v>0.28269675925925924</v>
      </c>
      <c r="D251" s="359">
        <f>IFERROR(LOOKUP(2,1/([1]!LUNES[[CEDULA ]]=[1]!Tabla9[[#This Row],[CEDULA ]]),[1]!LUNES[HORA]),"No registró")</f>
        <v>0.551875</v>
      </c>
      <c r="E251" s="359">
        <f>IFERROR(VLOOKUP([1]!Tabla9[[CEDULA ]],[1]!MARTES[#Data],5,0),"No registró")</f>
        <v>0.28212962962962962</v>
      </c>
      <c r="F251" s="359">
        <f>IFERROR(LOOKUP(2,1/([1]!MARTES[[CEDULA ]]=[1]!Tabla9[[#This Row],[CEDULA ]]),[1]!MARTES[HORA]),"No Registró")</f>
        <v>0.55221064814814813</v>
      </c>
      <c r="G251" s="359" t="str">
        <f>IFERROR(VLOOKUP([1]!Tabla9[[CEDULA ]],[1]!MIERCOLES[#Data],5,0),"No registró")</f>
        <v>No registró</v>
      </c>
      <c r="H251" s="359" t="str">
        <f>IFERROR(LOOKUP(2,1/([1]!MIERCOLES[[CEDULA ]]=[1]!Tabla9[[#This Row],[CEDULA ]]),[1]!MIERCOLES[HORA]),"No registró")</f>
        <v>No registró</v>
      </c>
      <c r="I251" s="359" t="str">
        <f>IFERROR(VLOOKUP([1]!Tabla9[[CEDULA ]],[1]!JUEVES[#Data],5,0),"No Registró")</f>
        <v>No Registró</v>
      </c>
      <c r="J251" s="359" t="str">
        <f>IFERROR(LOOKUP(2,1/([1]!JUEVES[[CEDULA ]]=[1]!Tabla9[[#This Row],[CEDULA ]]),[1]!JUEVES[HORA]),"No registró")</f>
        <v>No registró</v>
      </c>
      <c r="K251" s="359" t="str">
        <f>IFERROR(VLOOKUP([1]!Tabla9[[CEDULA ]],[1]!VIERNES[#Data],5,0),"No registró")</f>
        <v>No registró</v>
      </c>
      <c r="L251" s="359" t="str">
        <f>IFERROR(LOOKUP(2,1/([1]!VIERNES[[CEDULA ]]=[1]!Tabla9[[#This Row],[CEDULA ]]),[1]!VIERNES[HORA]),"No registró")</f>
        <v>No registró</v>
      </c>
      <c r="M251" s="359" t="str">
        <f>IFERROR(VLOOKUP([1]!Tabla9[[CEDULA ]],[1]!SABADO[#Data],5,0),"No registró")</f>
        <v>No registró</v>
      </c>
      <c r="N251" s="359" t="str">
        <f>IFERROR(LOOKUP(2,1/([1]!SABADO[[CEDULA ]]=[1]!Tabla9[[#This Row],[CEDULA ]]),[1]!SABADO[HORA]),"No registró")</f>
        <v>No registró</v>
      </c>
      <c r="O251" s="359" t="str">
        <f>IFERROR(VLOOKUP([1]!Tabla9[[CEDULA ]],[1]!DOMINGO[#Data],5,0),"No registró")</f>
        <v>No registró</v>
      </c>
      <c r="P251" s="359" t="str">
        <f>IFERROR(LOOKUP(2,1/([1]!DOMINGO[[CEDULA ]]=[1]!Tabla9[[#This Row],[CEDULA ]]),[1]!DOMINGO[HORA]),"No registró")</f>
        <v>No registró</v>
      </c>
      <c r="Q251" s="240" t="str">
        <f>IFERROR(VLOOKUP(A251,DATOS[],10,0),"")</f>
        <v>3. CARICUAO</v>
      </c>
    </row>
    <row r="252" spans="1:17" x14ac:dyDescent="0.25">
      <c r="A252" s="239">
        <v>14500900</v>
      </c>
      <c r="B252" s="239" t="s">
        <v>1226</v>
      </c>
      <c r="C252" s="359">
        <f>IFERROR(VLOOKUP([1]!Tabla9[[CEDULA ]],[1]!LUNES[#Data],5,0),"No registró")</f>
        <v>0.30662037037037038</v>
      </c>
      <c r="D252" s="359">
        <f>IFERROR(LOOKUP(2,1/([1]!LUNES[[CEDULA ]]=[1]!Tabla9[[#This Row],[CEDULA ]]),[1]!LUNES[HORA]),"No registró")</f>
        <v>0.73234953703703709</v>
      </c>
      <c r="E252" s="359">
        <f>IFERROR(VLOOKUP([1]!Tabla9[[CEDULA ]],[1]!MARTES[#Data],5,0),"No registró")</f>
        <v>0.3119675925925926</v>
      </c>
      <c r="F252" s="359">
        <f>IFERROR(LOOKUP(2,1/([1]!MARTES[[CEDULA ]]=[1]!Tabla9[[#This Row],[CEDULA ]]),[1]!MARTES[HORA]),"No Registró")</f>
        <v>0.73141203703703705</v>
      </c>
      <c r="G252" s="359" t="str">
        <f>IFERROR(VLOOKUP([1]!Tabla9[[CEDULA ]],[1]!MIERCOLES[#Data],5,0),"No registró")</f>
        <v>No registró</v>
      </c>
      <c r="H252" s="359" t="str">
        <f>IFERROR(LOOKUP(2,1/([1]!MIERCOLES[[CEDULA ]]=[1]!Tabla9[[#This Row],[CEDULA ]]),[1]!MIERCOLES[HORA]),"No registró")</f>
        <v>No registró</v>
      </c>
      <c r="I252" s="359" t="str">
        <f>IFERROR(VLOOKUP([1]!Tabla9[[CEDULA ]],[1]!JUEVES[#Data],5,0),"No Registró")</f>
        <v>No Registró</v>
      </c>
      <c r="J252" s="359" t="str">
        <f>IFERROR(LOOKUP(2,1/([1]!JUEVES[[CEDULA ]]=[1]!Tabla9[[#This Row],[CEDULA ]]),[1]!JUEVES[HORA]),"No registró")</f>
        <v>No registró</v>
      </c>
      <c r="K252" s="359" t="str">
        <f>IFERROR(VLOOKUP([1]!Tabla9[[CEDULA ]],[1]!VIERNES[#Data],5,0),"No registró")</f>
        <v>No registró</v>
      </c>
      <c r="L252" s="359" t="str">
        <f>IFERROR(LOOKUP(2,1/([1]!VIERNES[[CEDULA ]]=[1]!Tabla9[[#This Row],[CEDULA ]]),[1]!VIERNES[HORA]),"No registró")</f>
        <v>No registró</v>
      </c>
      <c r="M252" s="359" t="str">
        <f>IFERROR(VLOOKUP([1]!Tabla9[[CEDULA ]],[1]!SABADO[#Data],5,0),"No registró")</f>
        <v>No registró</v>
      </c>
      <c r="N252" s="359" t="str">
        <f>IFERROR(LOOKUP(2,1/([1]!SABADO[[CEDULA ]]=[1]!Tabla9[[#This Row],[CEDULA ]]),[1]!SABADO[HORA]),"No registró")</f>
        <v>No registró</v>
      </c>
      <c r="O252" s="359" t="str">
        <f>IFERROR(VLOOKUP([1]!Tabla9[[CEDULA ]],[1]!DOMINGO[#Data],5,0),"No registró")</f>
        <v>No registró</v>
      </c>
      <c r="P252" s="359" t="str">
        <f>IFERROR(LOOKUP(2,1/([1]!DOMINGO[[CEDULA ]]=[1]!Tabla9[[#This Row],[CEDULA ]]),[1]!DOMINGO[HORA]),"No registró")</f>
        <v>No registró</v>
      </c>
      <c r="Q252" s="240">
        <f>IFERROR(VLOOKUP(A252,DATOS[],10,0),"")</f>
        <v>0</v>
      </c>
    </row>
    <row r="253" spans="1:17" x14ac:dyDescent="0.25">
      <c r="A253" s="239">
        <v>14534489</v>
      </c>
      <c r="B253" s="239" t="s">
        <v>1227</v>
      </c>
      <c r="C253" s="359">
        <f>IFERROR(VLOOKUP([1]!Tabla9[[CEDULA ]],[1]!LUNES[#Data],5,0),"No registró")</f>
        <v>0.28061342592592592</v>
      </c>
      <c r="D253" s="359">
        <f>IFERROR(LOOKUP(2,1/([1]!LUNES[[CEDULA ]]=[1]!Tabla9[[#This Row],[CEDULA ]]),[1]!LUNES[HORA]),"No registró")</f>
        <v>0.55336805555555557</v>
      </c>
      <c r="E253" s="359">
        <f>IFERROR(VLOOKUP([1]!Tabla9[[CEDULA ]],[1]!MARTES[#Data],5,0),"No registró")</f>
        <v>0.28662037037037036</v>
      </c>
      <c r="F253" s="359">
        <f>IFERROR(LOOKUP(2,1/([1]!MARTES[[CEDULA ]]=[1]!Tabla9[[#This Row],[CEDULA ]]),[1]!MARTES[HORA]),"No Registró")</f>
        <v>0.55248842592592595</v>
      </c>
      <c r="G253" s="359" t="str">
        <f>IFERROR(VLOOKUP([1]!Tabla9[[CEDULA ]],[1]!MIERCOLES[#Data],5,0),"No registró")</f>
        <v>No registró</v>
      </c>
      <c r="H253" s="359" t="str">
        <f>IFERROR(LOOKUP(2,1/([1]!MIERCOLES[[CEDULA ]]=[1]!Tabla9[[#This Row],[CEDULA ]]),[1]!MIERCOLES[HORA]),"No registró")</f>
        <v>No registró</v>
      </c>
      <c r="I253" s="359" t="str">
        <f>IFERROR(VLOOKUP([1]!Tabla9[[CEDULA ]],[1]!JUEVES[#Data],5,0),"No Registró")</f>
        <v>No Registró</v>
      </c>
      <c r="J253" s="359" t="str">
        <f>IFERROR(LOOKUP(2,1/([1]!JUEVES[[CEDULA ]]=[1]!Tabla9[[#This Row],[CEDULA ]]),[1]!JUEVES[HORA]),"No registró")</f>
        <v>No registró</v>
      </c>
      <c r="K253" s="359" t="str">
        <f>IFERROR(VLOOKUP([1]!Tabla9[[CEDULA ]],[1]!VIERNES[#Data],5,0),"No registró")</f>
        <v>No registró</v>
      </c>
      <c r="L253" s="359" t="str">
        <f>IFERROR(LOOKUP(2,1/([1]!VIERNES[[CEDULA ]]=[1]!Tabla9[[#This Row],[CEDULA ]]),[1]!VIERNES[HORA]),"No registró")</f>
        <v>No registró</v>
      </c>
      <c r="M253" s="359" t="str">
        <f>IFERROR(VLOOKUP([1]!Tabla9[[CEDULA ]],[1]!SABADO[#Data],5,0),"No registró")</f>
        <v>No registró</v>
      </c>
      <c r="N253" s="359" t="str">
        <f>IFERROR(LOOKUP(2,1/([1]!SABADO[[CEDULA ]]=[1]!Tabla9[[#This Row],[CEDULA ]]),[1]!SABADO[HORA]),"No registró")</f>
        <v>No registró</v>
      </c>
      <c r="O253" s="359" t="str">
        <f>IFERROR(VLOOKUP([1]!Tabla9[[CEDULA ]],[1]!DOMINGO[#Data],5,0),"No registró")</f>
        <v>No registró</v>
      </c>
      <c r="P253" s="359" t="str">
        <f>IFERROR(LOOKUP(2,1/([1]!DOMINGO[[CEDULA ]]=[1]!Tabla9[[#This Row],[CEDULA ]]),[1]!DOMINGO[HORA]),"No registró")</f>
        <v>No registró</v>
      </c>
      <c r="Q253" s="240" t="str">
        <f>IFERROR(VLOOKUP(A253,DATOS[],10,0),"")</f>
        <v>2. CATIA</v>
      </c>
    </row>
    <row r="254" spans="1:17" x14ac:dyDescent="0.25">
      <c r="A254" s="239">
        <v>14574510</v>
      </c>
      <c r="B254" s="239" t="s">
        <v>1228</v>
      </c>
      <c r="C254" s="359">
        <f>IFERROR(VLOOKUP([1]!Tabla9[[CEDULA ]],[1]!LUNES[#Data],5,0),"No registró")</f>
        <v>0.29833333333333334</v>
      </c>
      <c r="D254" s="359">
        <f>IFERROR(LOOKUP(2,1/([1]!LUNES[[CEDULA ]]=[1]!Tabla9[[#This Row],[CEDULA ]]),[1]!LUNES[HORA]),"No registró")</f>
        <v>0.55590277777777775</v>
      </c>
      <c r="E254" s="359" t="str">
        <f>IFERROR(VLOOKUP([1]!Tabla9[[CEDULA ]],[1]!MARTES[#Data],5,0),"No registró")</f>
        <v>No registró</v>
      </c>
      <c r="F254" s="359" t="str">
        <f>IFERROR(LOOKUP(2,1/([1]!MARTES[[CEDULA ]]=[1]!Tabla9[[#This Row],[CEDULA ]]),[1]!MARTES[HORA]),"No Registró")</f>
        <v>No Registró</v>
      </c>
      <c r="G254" s="359" t="str">
        <f>IFERROR(VLOOKUP([1]!Tabla9[[CEDULA ]],[1]!MIERCOLES[#Data],5,0),"No registró")</f>
        <v>No registró</v>
      </c>
      <c r="H254" s="359" t="str">
        <f>IFERROR(LOOKUP(2,1/([1]!MIERCOLES[[CEDULA ]]=[1]!Tabla9[[#This Row],[CEDULA ]]),[1]!MIERCOLES[HORA]),"No registró")</f>
        <v>No registró</v>
      </c>
      <c r="I254" s="359" t="str">
        <f>IFERROR(VLOOKUP([1]!Tabla9[[CEDULA ]],[1]!JUEVES[#Data],5,0),"No Registró")</f>
        <v>No Registró</v>
      </c>
      <c r="J254" s="359" t="str">
        <f>IFERROR(LOOKUP(2,1/([1]!JUEVES[[CEDULA ]]=[1]!Tabla9[[#This Row],[CEDULA ]]),[1]!JUEVES[HORA]),"No registró")</f>
        <v>No registró</v>
      </c>
      <c r="K254" s="359" t="str">
        <f>IFERROR(VLOOKUP([1]!Tabla9[[CEDULA ]],[1]!VIERNES[#Data],5,0),"No registró")</f>
        <v>No registró</v>
      </c>
      <c r="L254" s="359" t="str">
        <f>IFERROR(LOOKUP(2,1/([1]!VIERNES[[CEDULA ]]=[1]!Tabla9[[#This Row],[CEDULA ]]),[1]!VIERNES[HORA]),"No registró")</f>
        <v>No registró</v>
      </c>
      <c r="M254" s="359" t="str">
        <f>IFERROR(VLOOKUP([1]!Tabla9[[CEDULA ]],[1]!SABADO[#Data],5,0),"No registró")</f>
        <v>No registró</v>
      </c>
      <c r="N254" s="359" t="str">
        <f>IFERROR(LOOKUP(2,1/([1]!SABADO[[CEDULA ]]=[1]!Tabla9[[#This Row],[CEDULA ]]),[1]!SABADO[HORA]),"No registró")</f>
        <v>No registró</v>
      </c>
      <c r="O254" s="359" t="str">
        <f>IFERROR(VLOOKUP([1]!Tabla9[[CEDULA ]],[1]!DOMINGO[#Data],5,0),"No registró")</f>
        <v>No registró</v>
      </c>
      <c r="P254" s="359" t="str">
        <f>IFERROR(LOOKUP(2,1/([1]!DOMINGO[[CEDULA ]]=[1]!Tabla9[[#This Row],[CEDULA ]]),[1]!DOMINGO[HORA]),"No registró")</f>
        <v>No registró</v>
      </c>
      <c r="Q254" s="240" t="str">
        <f>IFERROR(VLOOKUP(A254,DATOS[],10,0),"")</f>
        <v>2. CATIA</v>
      </c>
    </row>
    <row r="255" spans="1:17" x14ac:dyDescent="0.25">
      <c r="A255" s="239">
        <v>14575995</v>
      </c>
      <c r="B255" s="239" t="s">
        <v>1229</v>
      </c>
      <c r="C255" s="359">
        <f>IFERROR(VLOOKUP([1]!Tabla9[[CEDULA ]],[1]!LUNES[#Data],5,0),"No registró")</f>
        <v>0.33766203703703707</v>
      </c>
      <c r="D255" s="359">
        <f>IFERROR(LOOKUP(2,1/([1]!LUNES[[CEDULA ]]=[1]!Tabla9[[#This Row],[CEDULA ]]),[1]!LUNES[HORA]),"No registró")</f>
        <v>0.58813657407407405</v>
      </c>
      <c r="E255" s="359">
        <f>IFERROR(VLOOKUP([1]!Tabla9[[CEDULA ]],[1]!MARTES[#Data],5,0),"No registró")</f>
        <v>0.3197800925925926</v>
      </c>
      <c r="F255" s="359">
        <f>IFERROR(LOOKUP(2,1/([1]!MARTES[[CEDULA ]]=[1]!Tabla9[[#This Row],[CEDULA ]]),[1]!MARTES[HORA]),"No Registró")</f>
        <v>0.57719907407407411</v>
      </c>
      <c r="G255" s="359" t="str">
        <f>IFERROR(VLOOKUP([1]!Tabla9[[CEDULA ]],[1]!MIERCOLES[#Data],5,0),"No registró")</f>
        <v>No registró</v>
      </c>
      <c r="H255" s="359" t="str">
        <f>IFERROR(LOOKUP(2,1/([1]!MIERCOLES[[CEDULA ]]=[1]!Tabla9[[#This Row],[CEDULA ]]),[1]!MIERCOLES[HORA]),"No registró")</f>
        <v>No registró</v>
      </c>
      <c r="I255" s="359" t="str">
        <f>IFERROR(VLOOKUP([1]!Tabla9[[CEDULA ]],[1]!JUEVES[#Data],5,0),"No Registró")</f>
        <v>No Registró</v>
      </c>
      <c r="J255" s="359" t="str">
        <f>IFERROR(LOOKUP(2,1/([1]!JUEVES[[CEDULA ]]=[1]!Tabla9[[#This Row],[CEDULA ]]),[1]!JUEVES[HORA]),"No registró")</f>
        <v>No registró</v>
      </c>
      <c r="K255" s="359" t="str">
        <f>IFERROR(VLOOKUP([1]!Tabla9[[CEDULA ]],[1]!VIERNES[#Data],5,0),"No registró")</f>
        <v>No registró</v>
      </c>
      <c r="L255" s="359" t="str">
        <f>IFERROR(LOOKUP(2,1/([1]!VIERNES[[CEDULA ]]=[1]!Tabla9[[#This Row],[CEDULA ]]),[1]!VIERNES[HORA]),"No registró")</f>
        <v>No registró</v>
      </c>
      <c r="M255" s="359" t="str">
        <f>IFERROR(VLOOKUP([1]!Tabla9[[CEDULA ]],[1]!SABADO[#Data],5,0),"No registró")</f>
        <v>No registró</v>
      </c>
      <c r="N255" s="359" t="str">
        <f>IFERROR(LOOKUP(2,1/([1]!SABADO[[CEDULA ]]=[1]!Tabla9[[#This Row],[CEDULA ]]),[1]!SABADO[HORA]),"No registró")</f>
        <v>No registró</v>
      </c>
      <c r="O255" s="359" t="str">
        <f>IFERROR(VLOOKUP([1]!Tabla9[[CEDULA ]],[1]!DOMINGO[#Data],5,0),"No registró")</f>
        <v>No registró</v>
      </c>
      <c r="P255" s="359" t="str">
        <f>IFERROR(LOOKUP(2,1/([1]!DOMINGO[[CEDULA ]]=[1]!Tabla9[[#This Row],[CEDULA ]]),[1]!DOMINGO[HORA]),"No registró")</f>
        <v>No registró</v>
      </c>
      <c r="Q255" s="240">
        <f>IFERROR(VLOOKUP(A255,DATOS[],10,0),"")</f>
        <v>0</v>
      </c>
    </row>
    <row r="256" spans="1:17" x14ac:dyDescent="0.25">
      <c r="A256" s="239">
        <v>14589143</v>
      </c>
      <c r="B256" s="239" t="s">
        <v>1230</v>
      </c>
      <c r="C256" s="359">
        <f>IFERROR(VLOOKUP([1]!Tabla9[[CEDULA ]],[1]!LUNES[#Data],5,0),"No registró")</f>
        <v>0.31115740740740744</v>
      </c>
      <c r="D256" s="359">
        <f>IFERROR(LOOKUP(2,1/([1]!LUNES[[CEDULA ]]=[1]!Tabla9[[#This Row],[CEDULA ]]),[1]!LUNES[HORA]),"No registró")</f>
        <v>0.55390046296296302</v>
      </c>
      <c r="E256" s="359">
        <f>IFERROR(VLOOKUP([1]!Tabla9[[CEDULA ]],[1]!MARTES[#Data],5,0),"No registró")</f>
        <v>0.30143518518518519</v>
      </c>
      <c r="F256" s="359">
        <f>IFERROR(LOOKUP(2,1/([1]!MARTES[[CEDULA ]]=[1]!Tabla9[[#This Row],[CEDULA ]]),[1]!MARTES[HORA]),"No Registró")</f>
        <v>0.55687500000000001</v>
      </c>
      <c r="G256" s="359" t="str">
        <f>IFERROR(VLOOKUP([1]!Tabla9[[CEDULA ]],[1]!MIERCOLES[#Data],5,0),"No registró")</f>
        <v>No registró</v>
      </c>
      <c r="H256" s="359" t="str">
        <f>IFERROR(LOOKUP(2,1/([1]!MIERCOLES[[CEDULA ]]=[1]!Tabla9[[#This Row],[CEDULA ]]),[1]!MIERCOLES[HORA]),"No registró")</f>
        <v>No registró</v>
      </c>
      <c r="I256" s="359" t="str">
        <f>IFERROR(VLOOKUP([1]!Tabla9[[CEDULA ]],[1]!JUEVES[#Data],5,0),"No Registró")</f>
        <v>No Registró</v>
      </c>
      <c r="J256" s="359" t="str">
        <f>IFERROR(LOOKUP(2,1/([1]!JUEVES[[CEDULA ]]=[1]!Tabla9[[#This Row],[CEDULA ]]),[1]!JUEVES[HORA]),"No registró")</f>
        <v>No registró</v>
      </c>
      <c r="K256" s="359" t="str">
        <f>IFERROR(VLOOKUP([1]!Tabla9[[CEDULA ]],[1]!VIERNES[#Data],5,0),"No registró")</f>
        <v>No registró</v>
      </c>
      <c r="L256" s="359" t="str">
        <f>IFERROR(LOOKUP(2,1/([1]!VIERNES[[CEDULA ]]=[1]!Tabla9[[#This Row],[CEDULA ]]),[1]!VIERNES[HORA]),"No registró")</f>
        <v>No registró</v>
      </c>
      <c r="M256" s="359" t="str">
        <f>IFERROR(VLOOKUP([1]!Tabla9[[CEDULA ]],[1]!SABADO[#Data],5,0),"No registró")</f>
        <v>No registró</v>
      </c>
      <c r="N256" s="359" t="str">
        <f>IFERROR(LOOKUP(2,1/([1]!SABADO[[CEDULA ]]=[1]!Tabla9[[#This Row],[CEDULA ]]),[1]!SABADO[HORA]),"No registró")</f>
        <v>No registró</v>
      </c>
      <c r="O256" s="359" t="str">
        <f>IFERROR(VLOOKUP([1]!Tabla9[[CEDULA ]],[1]!DOMINGO[#Data],5,0),"No registró")</f>
        <v>No registró</v>
      </c>
      <c r="P256" s="359" t="str">
        <f>IFERROR(LOOKUP(2,1/([1]!DOMINGO[[CEDULA ]]=[1]!Tabla9[[#This Row],[CEDULA ]]),[1]!DOMINGO[HORA]),"No registró")</f>
        <v>No registró</v>
      </c>
      <c r="Q256" s="240">
        <f>IFERROR(VLOOKUP(A256,DATOS[],10,0),"")</f>
        <v>0</v>
      </c>
    </row>
    <row r="257" spans="1:17" x14ac:dyDescent="0.25">
      <c r="A257" s="239">
        <v>14678294</v>
      </c>
      <c r="B257" s="239" t="s">
        <v>1231</v>
      </c>
      <c r="C257" s="359">
        <f>IFERROR(VLOOKUP([1]!Tabla9[[CEDULA ]],[1]!LUNES[#Data],5,0),"No registró")</f>
        <v>0.28122685185185187</v>
      </c>
      <c r="D257" s="359">
        <f>IFERROR(LOOKUP(2,1/([1]!LUNES[[CEDULA ]]=[1]!Tabla9[[#This Row],[CEDULA ]]),[1]!LUNES[HORA]),"No registró")</f>
        <v>0.55158564814814814</v>
      </c>
      <c r="E257" s="359">
        <f>IFERROR(VLOOKUP([1]!Tabla9[[CEDULA ]],[1]!MARTES[#Data],5,0),"No registró")</f>
        <v>0.28725694444444444</v>
      </c>
      <c r="F257" s="359">
        <f>IFERROR(LOOKUP(2,1/([1]!MARTES[[CEDULA ]]=[1]!Tabla9[[#This Row],[CEDULA ]]),[1]!MARTES[HORA]),"No Registró")</f>
        <v>0.55053240740740739</v>
      </c>
      <c r="G257" s="359" t="str">
        <f>IFERROR(VLOOKUP([1]!Tabla9[[CEDULA ]],[1]!MIERCOLES[#Data],5,0),"No registró")</f>
        <v>No registró</v>
      </c>
      <c r="H257" s="359" t="str">
        <f>IFERROR(LOOKUP(2,1/([1]!MIERCOLES[[CEDULA ]]=[1]!Tabla9[[#This Row],[CEDULA ]]),[1]!MIERCOLES[HORA]),"No registró")</f>
        <v>No registró</v>
      </c>
      <c r="I257" s="359" t="str">
        <f>IFERROR(VLOOKUP([1]!Tabla9[[CEDULA ]],[1]!JUEVES[#Data],5,0),"No Registró")</f>
        <v>No Registró</v>
      </c>
      <c r="J257" s="359" t="str">
        <f>IFERROR(LOOKUP(2,1/([1]!JUEVES[[CEDULA ]]=[1]!Tabla9[[#This Row],[CEDULA ]]),[1]!JUEVES[HORA]),"No registró")</f>
        <v>No registró</v>
      </c>
      <c r="K257" s="359" t="str">
        <f>IFERROR(VLOOKUP([1]!Tabla9[[CEDULA ]],[1]!VIERNES[#Data],5,0),"No registró")</f>
        <v>No registró</v>
      </c>
      <c r="L257" s="359" t="str">
        <f>IFERROR(LOOKUP(2,1/([1]!VIERNES[[CEDULA ]]=[1]!Tabla9[[#This Row],[CEDULA ]]),[1]!VIERNES[HORA]),"No registró")</f>
        <v>No registró</v>
      </c>
      <c r="M257" s="359" t="str">
        <f>IFERROR(VLOOKUP([1]!Tabla9[[CEDULA ]],[1]!SABADO[#Data],5,0),"No registró")</f>
        <v>No registró</v>
      </c>
      <c r="N257" s="359" t="str">
        <f>IFERROR(LOOKUP(2,1/([1]!SABADO[[CEDULA ]]=[1]!Tabla9[[#This Row],[CEDULA ]]),[1]!SABADO[HORA]),"No registró")</f>
        <v>No registró</v>
      </c>
      <c r="O257" s="359" t="str">
        <f>IFERROR(VLOOKUP([1]!Tabla9[[CEDULA ]],[1]!DOMINGO[#Data],5,0),"No registró")</f>
        <v>No registró</v>
      </c>
      <c r="P257" s="359" t="str">
        <f>IFERROR(LOOKUP(2,1/([1]!DOMINGO[[CEDULA ]]=[1]!Tabla9[[#This Row],[CEDULA ]]),[1]!DOMINGO[HORA]),"No registró")</f>
        <v>No registró</v>
      </c>
      <c r="Q257" s="240" t="str">
        <f>IFERROR(VLOOKUP(A257,DATOS[],10,0),"")</f>
        <v>2. CATIA</v>
      </c>
    </row>
    <row r="258" spans="1:17" x14ac:dyDescent="0.25">
      <c r="A258" s="239">
        <v>14678944</v>
      </c>
      <c r="B258" s="239" t="s">
        <v>1232</v>
      </c>
      <c r="C258" s="359">
        <f>IFERROR(VLOOKUP([1]!Tabla9[[CEDULA ]],[1]!LUNES[#Data],5,0),"No registró")</f>
        <v>0.30900462962962966</v>
      </c>
      <c r="D258" s="359">
        <f>IFERROR(LOOKUP(2,1/([1]!LUNES[[CEDULA ]]=[1]!Tabla9[[#This Row],[CEDULA ]]),[1]!LUNES[HORA]),"No registró")</f>
        <v>0.55178240740740747</v>
      </c>
      <c r="E258" s="359">
        <f>IFERROR(VLOOKUP([1]!Tabla9[[CEDULA ]],[1]!MARTES[#Data],5,0),"No registró")</f>
        <v>0.33787037037037032</v>
      </c>
      <c r="F258" s="359">
        <f>IFERROR(LOOKUP(2,1/([1]!MARTES[[CEDULA ]]=[1]!Tabla9[[#This Row],[CEDULA ]]),[1]!MARTES[HORA]),"No Registró")</f>
        <v>0.55060185185185184</v>
      </c>
      <c r="G258" s="359" t="str">
        <f>IFERROR(VLOOKUP([1]!Tabla9[[CEDULA ]],[1]!MIERCOLES[#Data],5,0),"No registró")</f>
        <v>No registró</v>
      </c>
      <c r="H258" s="359" t="str">
        <f>IFERROR(LOOKUP(2,1/([1]!MIERCOLES[[CEDULA ]]=[1]!Tabla9[[#This Row],[CEDULA ]]),[1]!MIERCOLES[HORA]),"No registró")</f>
        <v>No registró</v>
      </c>
      <c r="I258" s="359" t="str">
        <f>IFERROR(VLOOKUP([1]!Tabla9[[CEDULA ]],[1]!JUEVES[#Data],5,0),"No Registró")</f>
        <v>No Registró</v>
      </c>
      <c r="J258" s="359" t="str">
        <f>IFERROR(LOOKUP(2,1/([1]!JUEVES[[CEDULA ]]=[1]!Tabla9[[#This Row],[CEDULA ]]),[1]!JUEVES[HORA]),"No registró")</f>
        <v>No registró</v>
      </c>
      <c r="K258" s="359" t="str">
        <f>IFERROR(VLOOKUP([1]!Tabla9[[CEDULA ]],[1]!VIERNES[#Data],5,0),"No registró")</f>
        <v>No registró</v>
      </c>
      <c r="L258" s="359" t="str">
        <f>IFERROR(LOOKUP(2,1/([1]!VIERNES[[CEDULA ]]=[1]!Tabla9[[#This Row],[CEDULA ]]),[1]!VIERNES[HORA]),"No registró")</f>
        <v>No registró</v>
      </c>
      <c r="M258" s="359" t="str">
        <f>IFERROR(VLOOKUP([1]!Tabla9[[CEDULA ]],[1]!SABADO[#Data],5,0),"No registró")</f>
        <v>No registró</v>
      </c>
      <c r="N258" s="359" t="str">
        <f>IFERROR(LOOKUP(2,1/([1]!SABADO[[CEDULA ]]=[1]!Tabla9[[#This Row],[CEDULA ]]),[1]!SABADO[HORA]),"No registró")</f>
        <v>No registró</v>
      </c>
      <c r="O258" s="359" t="str">
        <f>IFERROR(VLOOKUP([1]!Tabla9[[CEDULA ]],[1]!DOMINGO[#Data],5,0),"No registró")</f>
        <v>No registró</v>
      </c>
      <c r="P258" s="359" t="str">
        <f>IFERROR(LOOKUP(2,1/([1]!DOMINGO[[CEDULA ]]=[1]!Tabla9[[#This Row],[CEDULA ]]),[1]!DOMINGO[HORA]),"No registró")</f>
        <v>No registró</v>
      </c>
      <c r="Q258" s="240" t="str">
        <f>IFERROR(VLOOKUP(A258,DATOS[],10,0),"")</f>
        <v>4. VALLES DEL TUY</v>
      </c>
    </row>
    <row r="259" spans="1:17" x14ac:dyDescent="0.25">
      <c r="A259" s="239">
        <v>14683421</v>
      </c>
      <c r="B259" s="239" t="s">
        <v>1233</v>
      </c>
      <c r="C259" s="359">
        <f>IFERROR(VLOOKUP([1]!Tabla9[[CEDULA ]],[1]!LUNES[#Data],5,0),"No registró")</f>
        <v>0.2786689814814815</v>
      </c>
      <c r="D259" s="359">
        <f>IFERROR(LOOKUP(2,1/([1]!LUNES[[CEDULA ]]=[1]!Tabla9[[#This Row],[CEDULA ]]),[1]!LUNES[HORA]),"No registró")</f>
        <v>0.2840625</v>
      </c>
      <c r="E259" s="359">
        <f>IFERROR(VLOOKUP([1]!Tabla9[[CEDULA ]],[1]!MARTES[#Data],5,0),"No registró")</f>
        <v>0.27835648148148145</v>
      </c>
      <c r="F259" s="360" t="s">
        <v>988</v>
      </c>
      <c r="G259" s="359" t="str">
        <f>IFERROR(VLOOKUP([1]!Tabla9[[CEDULA ]],[1]!MIERCOLES[#Data],5,0),"No registró")</f>
        <v>No registró</v>
      </c>
      <c r="H259" s="359" t="str">
        <f>IFERROR(LOOKUP(2,1/([1]!MIERCOLES[[CEDULA ]]=[1]!Tabla9[[#This Row],[CEDULA ]]),[1]!MIERCOLES[HORA]),"No registró")</f>
        <v>No registró</v>
      </c>
      <c r="I259" s="359" t="str">
        <f>IFERROR(VLOOKUP([1]!Tabla9[[CEDULA ]],[1]!JUEVES[#Data],5,0),"No Registró")</f>
        <v>No Registró</v>
      </c>
      <c r="J259" s="359" t="str">
        <f>IFERROR(LOOKUP(2,1/([1]!JUEVES[[CEDULA ]]=[1]!Tabla9[[#This Row],[CEDULA ]]),[1]!JUEVES[HORA]),"No registró")</f>
        <v>No registró</v>
      </c>
      <c r="K259" s="359" t="str">
        <f>IFERROR(VLOOKUP([1]!Tabla9[[CEDULA ]],[1]!VIERNES[#Data],5,0),"No registró")</f>
        <v>No registró</v>
      </c>
      <c r="L259" s="359" t="str">
        <f>IFERROR(LOOKUP(2,1/([1]!VIERNES[[CEDULA ]]=[1]!Tabla9[[#This Row],[CEDULA ]]),[1]!VIERNES[HORA]),"No registró")</f>
        <v>No registró</v>
      </c>
      <c r="M259" s="359" t="str">
        <f>IFERROR(VLOOKUP([1]!Tabla9[[CEDULA ]],[1]!SABADO[#Data],5,0),"No registró")</f>
        <v>No registró</v>
      </c>
      <c r="N259" s="359" t="str">
        <f>IFERROR(LOOKUP(2,1/([1]!SABADO[[CEDULA ]]=[1]!Tabla9[[#This Row],[CEDULA ]]),[1]!SABADO[HORA]),"No registró")</f>
        <v>No registró</v>
      </c>
      <c r="O259" s="359" t="str">
        <f>IFERROR(VLOOKUP([1]!Tabla9[[CEDULA ]],[1]!DOMINGO[#Data],5,0),"No registró")</f>
        <v>No registró</v>
      </c>
      <c r="P259" s="359" t="str">
        <f>IFERROR(LOOKUP(2,1/([1]!DOMINGO[[CEDULA ]]=[1]!Tabla9[[#This Row],[CEDULA ]]),[1]!DOMINGO[HORA]),"No registró")</f>
        <v>No registró</v>
      </c>
      <c r="Q259" s="240" t="str">
        <f>IFERROR(VLOOKUP(A259,DATOS[],10,0),"")</f>
        <v>1. COCHE</v>
      </c>
    </row>
    <row r="260" spans="1:17" x14ac:dyDescent="0.25">
      <c r="A260" s="239">
        <v>14688130</v>
      </c>
      <c r="B260" s="239" t="s">
        <v>1234</v>
      </c>
      <c r="C260" s="359">
        <f>IFERROR(VLOOKUP([1]!Tabla9[[CEDULA ]],[1]!LUNES[#Data],5,0),"No registró")</f>
        <v>0.2883101851851852</v>
      </c>
      <c r="D260" s="359">
        <f>IFERROR(LOOKUP(2,1/([1]!LUNES[[CEDULA ]]=[1]!Tabla9[[#This Row],[CEDULA ]]),[1]!LUNES[HORA]),"No registró")</f>
        <v>0.55320601851851847</v>
      </c>
      <c r="E260" s="359" t="str">
        <f>IFERROR(VLOOKUP([1]!Tabla9[[CEDULA ]],[1]!MARTES[#Data],5,0),"No registró")</f>
        <v>No registró</v>
      </c>
      <c r="F260" s="359" t="str">
        <f>IFERROR(LOOKUP(2,1/([1]!MARTES[[CEDULA ]]=[1]!Tabla9[[#This Row],[CEDULA ]]),[1]!MARTES[HORA]),"No Registró")</f>
        <v>No Registró</v>
      </c>
      <c r="G260" s="359" t="str">
        <f>IFERROR(VLOOKUP([1]!Tabla9[[CEDULA ]],[1]!MIERCOLES[#Data],5,0),"No registró")</f>
        <v>No registró</v>
      </c>
      <c r="H260" s="359" t="str">
        <f>IFERROR(LOOKUP(2,1/([1]!MIERCOLES[[CEDULA ]]=[1]!Tabla9[[#This Row],[CEDULA ]]),[1]!MIERCOLES[HORA]),"No registró")</f>
        <v>No registró</v>
      </c>
      <c r="I260" s="359" t="str">
        <f>IFERROR(VLOOKUP([1]!Tabla9[[CEDULA ]],[1]!JUEVES[#Data],5,0),"No Registró")</f>
        <v>No Registró</v>
      </c>
      <c r="J260" s="359" t="str">
        <f>IFERROR(LOOKUP(2,1/([1]!JUEVES[[CEDULA ]]=[1]!Tabla9[[#This Row],[CEDULA ]]),[1]!JUEVES[HORA]),"No registró")</f>
        <v>No registró</v>
      </c>
      <c r="K260" s="359" t="str">
        <f>IFERROR(VLOOKUP([1]!Tabla9[[CEDULA ]],[1]!VIERNES[#Data],5,0),"No registró")</f>
        <v>No registró</v>
      </c>
      <c r="L260" s="359" t="str">
        <f>IFERROR(LOOKUP(2,1/([1]!VIERNES[[CEDULA ]]=[1]!Tabla9[[#This Row],[CEDULA ]]),[1]!VIERNES[HORA]),"No registró")</f>
        <v>No registró</v>
      </c>
      <c r="M260" s="359" t="str">
        <f>IFERROR(VLOOKUP([1]!Tabla9[[CEDULA ]],[1]!SABADO[#Data],5,0),"No registró")</f>
        <v>No registró</v>
      </c>
      <c r="N260" s="359" t="str">
        <f>IFERROR(LOOKUP(2,1/([1]!SABADO[[CEDULA ]]=[1]!Tabla9[[#This Row],[CEDULA ]]),[1]!SABADO[HORA]),"No registró")</f>
        <v>No registró</v>
      </c>
      <c r="O260" s="359" t="str">
        <f>IFERROR(VLOOKUP([1]!Tabla9[[CEDULA ]],[1]!DOMINGO[#Data],5,0),"No registró")</f>
        <v>No registró</v>
      </c>
      <c r="P260" s="359" t="str">
        <f>IFERROR(LOOKUP(2,1/([1]!DOMINGO[[CEDULA ]]=[1]!Tabla9[[#This Row],[CEDULA ]]),[1]!DOMINGO[HORA]),"No registró")</f>
        <v>No registró</v>
      </c>
      <c r="Q260" s="240" t="str">
        <f>IFERROR(VLOOKUP(A260,DATOS[],10,0),"")</f>
        <v>5. GUARENAS</v>
      </c>
    </row>
    <row r="261" spans="1:17" x14ac:dyDescent="0.25">
      <c r="A261" s="239">
        <v>14744096</v>
      </c>
      <c r="B261" s="239" t="s">
        <v>1235</v>
      </c>
      <c r="C261" s="359">
        <f>IFERROR(VLOOKUP([1]!Tabla9[[CEDULA ]],[1]!LUNES[#Data],5,0),"No registró")</f>
        <v>0.30902777777777779</v>
      </c>
      <c r="D261" s="359">
        <f>IFERROR(LOOKUP(2,1/([1]!LUNES[[CEDULA ]]=[1]!Tabla9[[#This Row],[CEDULA ]]),[1]!LUNES[HORA]),"No registró")</f>
        <v>0.53068287037037043</v>
      </c>
      <c r="E261" s="359">
        <f>IFERROR(VLOOKUP([1]!Tabla9[[CEDULA ]],[1]!MARTES[#Data],5,0),"No registró")</f>
        <v>0.33755787037037038</v>
      </c>
      <c r="F261" s="359">
        <f>IFERROR(LOOKUP(2,1/([1]!MARTES[[CEDULA ]]=[1]!Tabla9[[#This Row],[CEDULA ]]),[1]!MARTES[HORA]),"No Registró")</f>
        <v>0.45552083333333332</v>
      </c>
      <c r="G261" s="359" t="str">
        <f>IFERROR(VLOOKUP([1]!Tabla9[[CEDULA ]],[1]!MIERCOLES[#Data],5,0),"No registró")</f>
        <v>No registró</v>
      </c>
      <c r="H261" s="359" t="str">
        <f>IFERROR(LOOKUP(2,1/([1]!MIERCOLES[[CEDULA ]]=[1]!Tabla9[[#This Row],[CEDULA ]]),[1]!MIERCOLES[HORA]),"No registró")</f>
        <v>No registró</v>
      </c>
      <c r="I261" s="359" t="str">
        <f>IFERROR(VLOOKUP([1]!Tabla9[[CEDULA ]],[1]!JUEVES[#Data],5,0),"No Registró")</f>
        <v>No Registró</v>
      </c>
      <c r="J261" s="359" t="str">
        <f>IFERROR(LOOKUP(2,1/([1]!JUEVES[[CEDULA ]]=[1]!Tabla9[[#This Row],[CEDULA ]]),[1]!JUEVES[HORA]),"No registró")</f>
        <v>No registró</v>
      </c>
      <c r="K261" s="359" t="str">
        <f>IFERROR(VLOOKUP([1]!Tabla9[[CEDULA ]],[1]!VIERNES[#Data],5,0),"No registró")</f>
        <v>No registró</v>
      </c>
      <c r="L261" s="359" t="str">
        <f>IFERROR(LOOKUP(2,1/([1]!VIERNES[[CEDULA ]]=[1]!Tabla9[[#This Row],[CEDULA ]]),[1]!VIERNES[HORA]),"No registró")</f>
        <v>No registró</v>
      </c>
      <c r="M261" s="359" t="str">
        <f>IFERROR(VLOOKUP([1]!Tabla9[[CEDULA ]],[1]!SABADO[#Data],5,0),"No registró")</f>
        <v>No registró</v>
      </c>
      <c r="N261" s="359" t="str">
        <f>IFERROR(LOOKUP(2,1/([1]!SABADO[[CEDULA ]]=[1]!Tabla9[[#This Row],[CEDULA ]]),[1]!SABADO[HORA]),"No registró")</f>
        <v>No registró</v>
      </c>
      <c r="O261" s="359" t="str">
        <f>IFERROR(VLOOKUP([1]!Tabla9[[CEDULA ]],[1]!DOMINGO[#Data],5,0),"No registró")</f>
        <v>No registró</v>
      </c>
      <c r="P261" s="359" t="str">
        <f>IFERROR(LOOKUP(2,1/([1]!DOMINGO[[CEDULA ]]=[1]!Tabla9[[#This Row],[CEDULA ]]),[1]!DOMINGO[HORA]),"No registró")</f>
        <v>No registró</v>
      </c>
      <c r="Q261" s="240" t="str">
        <f>IFERROR(VLOOKUP(A261,DATOS[],10,0),"")</f>
        <v>1. COCHE</v>
      </c>
    </row>
    <row r="262" spans="1:17" x14ac:dyDescent="0.25">
      <c r="A262" s="239">
        <v>14788705</v>
      </c>
      <c r="B262" s="239" t="s">
        <v>1236</v>
      </c>
      <c r="C262" s="359">
        <f>IFERROR(VLOOKUP([1]!Tabla9[[CEDULA ]],[1]!LUNES[#Data],5,0),"No registró")</f>
        <v>0.27841435185185187</v>
      </c>
      <c r="D262" s="359">
        <f>IFERROR(LOOKUP(2,1/([1]!LUNES[[CEDULA ]]=[1]!Tabla9[[#This Row],[CEDULA ]]),[1]!LUNES[HORA]),"No registró")</f>
        <v>0.55427083333333338</v>
      </c>
      <c r="E262" s="359">
        <f>IFERROR(VLOOKUP([1]!Tabla9[[CEDULA ]],[1]!MARTES[#Data],5,0),"No registró")</f>
        <v>0.33748842592592593</v>
      </c>
      <c r="F262" s="359">
        <f>IFERROR(LOOKUP(2,1/([1]!MARTES[[CEDULA ]]=[1]!Tabla9[[#This Row],[CEDULA ]]),[1]!MARTES[HORA]),"No Registró")</f>
        <v>0.55556712962962962</v>
      </c>
      <c r="G262" s="359" t="str">
        <f>IFERROR(VLOOKUP([1]!Tabla9[[CEDULA ]],[1]!MIERCOLES[#Data],5,0),"No registró")</f>
        <v>No registró</v>
      </c>
      <c r="H262" s="359" t="str">
        <f>IFERROR(LOOKUP(2,1/([1]!MIERCOLES[[CEDULA ]]=[1]!Tabla9[[#This Row],[CEDULA ]]),[1]!MIERCOLES[HORA]),"No registró")</f>
        <v>No registró</v>
      </c>
      <c r="I262" s="359" t="str">
        <f>IFERROR(VLOOKUP([1]!Tabla9[[CEDULA ]],[1]!JUEVES[#Data],5,0),"No Registró")</f>
        <v>No Registró</v>
      </c>
      <c r="J262" s="359" t="str">
        <f>IFERROR(LOOKUP(2,1/([1]!JUEVES[[CEDULA ]]=[1]!Tabla9[[#This Row],[CEDULA ]]),[1]!JUEVES[HORA]),"No registró")</f>
        <v>No registró</v>
      </c>
      <c r="K262" s="359" t="str">
        <f>IFERROR(VLOOKUP([1]!Tabla9[[CEDULA ]],[1]!VIERNES[#Data],5,0),"No registró")</f>
        <v>No registró</v>
      </c>
      <c r="L262" s="359" t="str">
        <f>IFERROR(LOOKUP(2,1/([1]!VIERNES[[CEDULA ]]=[1]!Tabla9[[#This Row],[CEDULA ]]),[1]!VIERNES[HORA]),"No registró")</f>
        <v>No registró</v>
      </c>
      <c r="M262" s="359" t="str">
        <f>IFERROR(VLOOKUP([1]!Tabla9[[CEDULA ]],[1]!SABADO[#Data],5,0),"No registró")</f>
        <v>No registró</v>
      </c>
      <c r="N262" s="359" t="str">
        <f>IFERROR(LOOKUP(2,1/([1]!SABADO[[CEDULA ]]=[1]!Tabla9[[#This Row],[CEDULA ]]),[1]!SABADO[HORA]),"No registró")</f>
        <v>No registró</v>
      </c>
      <c r="O262" s="359" t="str">
        <f>IFERROR(VLOOKUP([1]!Tabla9[[CEDULA ]],[1]!DOMINGO[#Data],5,0),"No registró")</f>
        <v>No registró</v>
      </c>
      <c r="P262" s="359" t="str">
        <f>IFERROR(LOOKUP(2,1/([1]!DOMINGO[[CEDULA ]]=[1]!Tabla9[[#This Row],[CEDULA ]]),[1]!DOMINGO[HORA]),"No registró")</f>
        <v>No registró</v>
      </c>
      <c r="Q262" s="240" t="str">
        <f>IFERROR(VLOOKUP(A262,DATOS[],10,0),"")</f>
        <v>1. COCHE</v>
      </c>
    </row>
    <row r="263" spans="1:17" x14ac:dyDescent="0.25">
      <c r="A263" s="239">
        <v>14789345</v>
      </c>
      <c r="B263" s="239" t="s">
        <v>1237</v>
      </c>
      <c r="C263" s="359">
        <f>IFERROR(VLOOKUP([1]!Tabla9[[CEDULA ]],[1]!LUNES[#Data],5,0),"No registró")</f>
        <v>0.31799768518518517</v>
      </c>
      <c r="D263" s="359">
        <f>IFERROR(LOOKUP(2,1/([1]!LUNES[[CEDULA ]]=[1]!Tabla9[[#This Row],[CEDULA ]]),[1]!LUNES[HORA]),"No registró")</f>
        <v>0.5646296296296297</v>
      </c>
      <c r="E263" s="359">
        <f>IFERROR(VLOOKUP([1]!Tabla9[[CEDULA ]],[1]!MARTES[#Data],5,0),"No registró")</f>
        <v>0.32184027777777779</v>
      </c>
      <c r="F263" s="359">
        <f>IFERROR(LOOKUP(2,1/([1]!MARTES[[CEDULA ]]=[1]!Tabla9[[#This Row],[CEDULA ]]),[1]!MARTES[HORA]),"No Registró")</f>
        <v>0.51452546296296298</v>
      </c>
      <c r="G263" s="359" t="str">
        <f>IFERROR(VLOOKUP([1]!Tabla9[[CEDULA ]],[1]!MIERCOLES[#Data],5,0),"No registró")</f>
        <v>No registró</v>
      </c>
      <c r="H263" s="359" t="str">
        <f>IFERROR(LOOKUP(2,1/([1]!MIERCOLES[[CEDULA ]]=[1]!Tabla9[[#This Row],[CEDULA ]]),[1]!MIERCOLES[HORA]),"No registró")</f>
        <v>No registró</v>
      </c>
      <c r="I263" s="359" t="str">
        <f>IFERROR(VLOOKUP([1]!Tabla9[[CEDULA ]],[1]!JUEVES[#Data],5,0),"No Registró")</f>
        <v>No Registró</v>
      </c>
      <c r="J263" s="359" t="str">
        <f>IFERROR(LOOKUP(2,1/([1]!JUEVES[[CEDULA ]]=[1]!Tabla9[[#This Row],[CEDULA ]]),[1]!JUEVES[HORA]),"No registró")</f>
        <v>No registró</v>
      </c>
      <c r="K263" s="359" t="str">
        <f>IFERROR(VLOOKUP([1]!Tabla9[[CEDULA ]],[1]!VIERNES[#Data],5,0),"No registró")</f>
        <v>No registró</v>
      </c>
      <c r="L263" s="359" t="str">
        <f>IFERROR(LOOKUP(2,1/([1]!VIERNES[[CEDULA ]]=[1]!Tabla9[[#This Row],[CEDULA ]]),[1]!VIERNES[HORA]),"No registró")</f>
        <v>No registró</v>
      </c>
      <c r="M263" s="359" t="str">
        <f>IFERROR(VLOOKUP([1]!Tabla9[[CEDULA ]],[1]!SABADO[#Data],5,0),"No registró")</f>
        <v>No registró</v>
      </c>
      <c r="N263" s="359" t="str">
        <f>IFERROR(LOOKUP(2,1/([1]!SABADO[[CEDULA ]]=[1]!Tabla9[[#This Row],[CEDULA ]]),[1]!SABADO[HORA]),"No registró")</f>
        <v>No registró</v>
      </c>
      <c r="O263" s="359" t="str">
        <f>IFERROR(VLOOKUP([1]!Tabla9[[CEDULA ]],[1]!DOMINGO[#Data],5,0),"No registró")</f>
        <v>No registró</v>
      </c>
      <c r="P263" s="359" t="str">
        <f>IFERROR(LOOKUP(2,1/([1]!DOMINGO[[CEDULA ]]=[1]!Tabla9[[#This Row],[CEDULA ]]),[1]!DOMINGO[HORA]),"No registró")</f>
        <v>No registró</v>
      </c>
      <c r="Q263" s="240">
        <f>IFERROR(VLOOKUP(A263,DATOS[],10,0),"")</f>
        <v>0</v>
      </c>
    </row>
    <row r="264" spans="1:17" x14ac:dyDescent="0.25">
      <c r="A264" s="239">
        <v>14789781</v>
      </c>
      <c r="B264" s="239" t="s">
        <v>1238</v>
      </c>
      <c r="C264" s="359">
        <f>IFERROR(VLOOKUP([1]!Tabla9[[CEDULA ]],[1]!LUNES[#Data],5,0),"No registró")</f>
        <v>0.27888888888888891</v>
      </c>
      <c r="D264" s="359">
        <f>IFERROR(LOOKUP(2,1/([1]!LUNES[[CEDULA ]]=[1]!Tabla9[[#This Row],[CEDULA ]]),[1]!LUNES[HORA]),"No registró")</f>
        <v>0.54631944444444447</v>
      </c>
      <c r="E264" s="359">
        <f>IFERROR(VLOOKUP([1]!Tabla9[[CEDULA ]],[1]!MARTES[#Data],5,0),"No registró")</f>
        <v>0.27829861111111115</v>
      </c>
      <c r="F264" s="359">
        <f>IFERROR(LOOKUP(2,1/([1]!MARTES[[CEDULA ]]=[1]!Tabla9[[#This Row],[CEDULA ]]),[1]!MARTES[HORA]),"No Registró")</f>
        <v>0.54910879629629628</v>
      </c>
      <c r="G264" s="359" t="str">
        <f>IFERROR(VLOOKUP([1]!Tabla9[[CEDULA ]],[1]!MIERCOLES[#Data],5,0),"No registró")</f>
        <v>No registró</v>
      </c>
      <c r="H264" s="359" t="str">
        <f>IFERROR(LOOKUP(2,1/([1]!MIERCOLES[[CEDULA ]]=[1]!Tabla9[[#This Row],[CEDULA ]]),[1]!MIERCOLES[HORA]),"No registró")</f>
        <v>No registró</v>
      </c>
      <c r="I264" s="359" t="str">
        <f>IFERROR(VLOOKUP([1]!Tabla9[[CEDULA ]],[1]!JUEVES[#Data],5,0),"No Registró")</f>
        <v>No Registró</v>
      </c>
      <c r="J264" s="359" t="str">
        <f>IFERROR(LOOKUP(2,1/([1]!JUEVES[[CEDULA ]]=[1]!Tabla9[[#This Row],[CEDULA ]]),[1]!JUEVES[HORA]),"No registró")</f>
        <v>No registró</v>
      </c>
      <c r="K264" s="359" t="str">
        <f>IFERROR(VLOOKUP([1]!Tabla9[[CEDULA ]],[1]!VIERNES[#Data],5,0),"No registró")</f>
        <v>No registró</v>
      </c>
      <c r="L264" s="359" t="str">
        <f>IFERROR(LOOKUP(2,1/([1]!VIERNES[[CEDULA ]]=[1]!Tabla9[[#This Row],[CEDULA ]]),[1]!VIERNES[HORA]),"No registró")</f>
        <v>No registró</v>
      </c>
      <c r="M264" s="359" t="str">
        <f>IFERROR(VLOOKUP([1]!Tabla9[[CEDULA ]],[1]!SABADO[#Data],5,0),"No registró")</f>
        <v>No registró</v>
      </c>
      <c r="N264" s="359" t="str">
        <f>IFERROR(LOOKUP(2,1/([1]!SABADO[[CEDULA ]]=[1]!Tabla9[[#This Row],[CEDULA ]]),[1]!SABADO[HORA]),"No registró")</f>
        <v>No registró</v>
      </c>
      <c r="O264" s="359" t="str">
        <f>IFERROR(VLOOKUP([1]!Tabla9[[CEDULA ]],[1]!DOMINGO[#Data],5,0),"No registró")</f>
        <v>No registró</v>
      </c>
      <c r="P264" s="359" t="str">
        <f>IFERROR(LOOKUP(2,1/([1]!DOMINGO[[CEDULA ]]=[1]!Tabla9[[#This Row],[CEDULA ]]),[1]!DOMINGO[HORA]),"No registró")</f>
        <v>No registró</v>
      </c>
      <c r="Q264" s="240" t="str">
        <f>IFERROR(VLOOKUP(A264,DATOS[],10,0),"")</f>
        <v>1. COCHE</v>
      </c>
    </row>
    <row r="265" spans="1:17" x14ac:dyDescent="0.25">
      <c r="A265" s="239">
        <v>14789951</v>
      </c>
      <c r="B265" s="239" t="s">
        <v>1239</v>
      </c>
      <c r="C265" s="359">
        <f>IFERROR(VLOOKUP([1]!Tabla9[[CEDULA ]],[1]!LUNES[#Data],5,0),"No registró")</f>
        <v>0.28184027777777776</v>
      </c>
      <c r="D265" s="359">
        <f>IFERROR(LOOKUP(2,1/([1]!LUNES[[CEDULA ]]=[1]!Tabla9[[#This Row],[CEDULA ]]),[1]!LUNES[HORA]),"No registró")</f>
        <v>0.69643518518518521</v>
      </c>
      <c r="E265" s="359">
        <f>IFERROR(VLOOKUP([1]!Tabla9[[CEDULA ]],[1]!MARTES[#Data],5,0),"No registró")</f>
        <v>0.31256944444444446</v>
      </c>
      <c r="F265" s="359">
        <f>IFERROR(LOOKUP(2,1/([1]!MARTES[[CEDULA ]]=[1]!Tabla9[[#This Row],[CEDULA ]]),[1]!MARTES[HORA]),"No Registró")</f>
        <v>0.58613425925925922</v>
      </c>
      <c r="G265" s="359" t="str">
        <f>IFERROR(VLOOKUP([1]!Tabla9[[CEDULA ]],[1]!MIERCOLES[#Data],5,0),"No registró")</f>
        <v>No registró</v>
      </c>
      <c r="H265" s="359" t="str">
        <f>IFERROR(LOOKUP(2,1/([1]!MIERCOLES[[CEDULA ]]=[1]!Tabla9[[#This Row],[CEDULA ]]),[1]!MIERCOLES[HORA]),"No registró")</f>
        <v>No registró</v>
      </c>
      <c r="I265" s="359" t="str">
        <f>IFERROR(VLOOKUP([1]!Tabla9[[CEDULA ]],[1]!JUEVES[#Data],5,0),"No Registró")</f>
        <v>No Registró</v>
      </c>
      <c r="J265" s="359" t="str">
        <f>IFERROR(LOOKUP(2,1/([1]!JUEVES[[CEDULA ]]=[1]!Tabla9[[#This Row],[CEDULA ]]),[1]!JUEVES[HORA]),"No registró")</f>
        <v>No registró</v>
      </c>
      <c r="K265" s="359" t="str">
        <f>IFERROR(VLOOKUP([1]!Tabla9[[CEDULA ]],[1]!VIERNES[#Data],5,0),"No registró")</f>
        <v>No registró</v>
      </c>
      <c r="L265" s="359" t="str">
        <f>IFERROR(LOOKUP(2,1/([1]!VIERNES[[CEDULA ]]=[1]!Tabla9[[#This Row],[CEDULA ]]),[1]!VIERNES[HORA]),"No registró")</f>
        <v>No registró</v>
      </c>
      <c r="M265" s="359" t="str">
        <f>IFERROR(VLOOKUP([1]!Tabla9[[CEDULA ]],[1]!SABADO[#Data],5,0),"No registró")</f>
        <v>No registró</v>
      </c>
      <c r="N265" s="359" t="str">
        <f>IFERROR(LOOKUP(2,1/([1]!SABADO[[CEDULA ]]=[1]!Tabla9[[#This Row],[CEDULA ]]),[1]!SABADO[HORA]),"No registró")</f>
        <v>No registró</v>
      </c>
      <c r="O265" s="359" t="str">
        <f>IFERROR(VLOOKUP([1]!Tabla9[[CEDULA ]],[1]!DOMINGO[#Data],5,0),"No registró")</f>
        <v>No registró</v>
      </c>
      <c r="P265" s="359" t="str">
        <f>IFERROR(LOOKUP(2,1/([1]!DOMINGO[[CEDULA ]]=[1]!Tabla9[[#This Row],[CEDULA ]]),[1]!DOMINGO[HORA]),"No registró")</f>
        <v>No registró</v>
      </c>
      <c r="Q265" s="240">
        <f>IFERROR(VLOOKUP(A265,DATOS[],10,0),"")</f>
        <v>0</v>
      </c>
    </row>
    <row r="266" spans="1:17" x14ac:dyDescent="0.25">
      <c r="A266" s="239">
        <v>14908050</v>
      </c>
      <c r="B266" s="239" t="s">
        <v>1240</v>
      </c>
      <c r="C266" s="359">
        <f>IFERROR(VLOOKUP([1]!Tabla9[[CEDULA ]],[1]!LUNES[#Data],5,0),"No registró")</f>
        <v>0.2949074074074074</v>
      </c>
      <c r="D266" s="359">
        <f>IFERROR(LOOKUP(2,1/([1]!LUNES[[CEDULA ]]=[1]!Tabla9[[#This Row],[CEDULA ]]),[1]!LUNES[HORA]),"No registró")</f>
        <v>0.5223726851851852</v>
      </c>
      <c r="E266" s="359">
        <f>IFERROR(VLOOKUP([1]!Tabla9[[CEDULA ]],[1]!MARTES[#Data],5,0),"No registró")</f>
        <v>0.30873842592592593</v>
      </c>
      <c r="F266" s="359">
        <f>IFERROR(LOOKUP(2,1/([1]!MARTES[[CEDULA ]]=[1]!Tabla9[[#This Row],[CEDULA ]]),[1]!MARTES[HORA]),"No Registró")</f>
        <v>0.54662037037037037</v>
      </c>
      <c r="G266" s="359" t="str">
        <f>IFERROR(VLOOKUP([1]!Tabla9[[CEDULA ]],[1]!MIERCOLES[#Data],5,0),"No registró")</f>
        <v>No registró</v>
      </c>
      <c r="H266" s="359" t="str">
        <f>IFERROR(LOOKUP(2,1/([1]!MIERCOLES[[CEDULA ]]=[1]!Tabla9[[#This Row],[CEDULA ]]),[1]!MIERCOLES[HORA]),"No registró")</f>
        <v>No registró</v>
      </c>
      <c r="I266" s="359" t="str">
        <f>IFERROR(VLOOKUP([1]!Tabla9[[CEDULA ]],[1]!JUEVES[#Data],5,0),"No Registró")</f>
        <v>No Registró</v>
      </c>
      <c r="J266" s="359" t="str">
        <f>IFERROR(LOOKUP(2,1/([1]!JUEVES[[CEDULA ]]=[1]!Tabla9[[#This Row],[CEDULA ]]),[1]!JUEVES[HORA]),"No registró")</f>
        <v>No registró</v>
      </c>
      <c r="K266" s="359" t="str">
        <f>IFERROR(VLOOKUP([1]!Tabla9[[CEDULA ]],[1]!VIERNES[#Data],5,0),"No registró")</f>
        <v>No registró</v>
      </c>
      <c r="L266" s="359" t="str">
        <f>IFERROR(LOOKUP(2,1/([1]!VIERNES[[CEDULA ]]=[1]!Tabla9[[#This Row],[CEDULA ]]),[1]!VIERNES[HORA]),"No registró")</f>
        <v>No registró</v>
      </c>
      <c r="M266" s="359" t="str">
        <f>IFERROR(VLOOKUP([1]!Tabla9[[CEDULA ]],[1]!SABADO[#Data],5,0),"No registró")</f>
        <v>No registró</v>
      </c>
      <c r="N266" s="359" t="str">
        <f>IFERROR(LOOKUP(2,1/([1]!SABADO[[CEDULA ]]=[1]!Tabla9[[#This Row],[CEDULA ]]),[1]!SABADO[HORA]),"No registró")</f>
        <v>No registró</v>
      </c>
      <c r="O266" s="359" t="str">
        <f>IFERROR(VLOOKUP([1]!Tabla9[[CEDULA ]],[1]!DOMINGO[#Data],5,0),"No registró")</f>
        <v>No registró</v>
      </c>
      <c r="P266" s="359" t="str">
        <f>IFERROR(LOOKUP(2,1/([1]!DOMINGO[[CEDULA ]]=[1]!Tabla9[[#This Row],[CEDULA ]]),[1]!DOMINGO[HORA]),"No registró")</f>
        <v>No registró</v>
      </c>
      <c r="Q266" s="240">
        <f>IFERROR(VLOOKUP(A266,DATOS[],10,0),"")</f>
        <v>0</v>
      </c>
    </row>
    <row r="267" spans="1:17" x14ac:dyDescent="0.25">
      <c r="A267" s="239">
        <v>14908165</v>
      </c>
      <c r="B267" s="239" t="s">
        <v>1241</v>
      </c>
      <c r="C267" s="359">
        <f>IFERROR(VLOOKUP([1]!Tabla9[[CEDULA ]],[1]!LUNES[#Data],5,0),"No registró")</f>
        <v>0.28777777777777774</v>
      </c>
      <c r="D267" s="359">
        <f>IFERROR(LOOKUP(2,1/([1]!LUNES[[CEDULA ]]=[1]!Tabla9[[#This Row],[CEDULA ]]),[1]!LUNES[HORA]),"No registró")</f>
        <v>0.54773148148148143</v>
      </c>
      <c r="E267" s="359">
        <f>IFERROR(VLOOKUP([1]!Tabla9[[CEDULA ]],[1]!MARTES[#Data],5,0),"No registró")</f>
        <v>0.28262731481481479</v>
      </c>
      <c r="F267" s="359">
        <f>IFERROR(LOOKUP(2,1/([1]!MARTES[[CEDULA ]]=[1]!Tabla9[[#This Row],[CEDULA ]]),[1]!MARTES[HORA]),"No Registró")</f>
        <v>0.54643518518518519</v>
      </c>
      <c r="G267" s="359" t="str">
        <f>IFERROR(VLOOKUP([1]!Tabla9[[CEDULA ]],[1]!MIERCOLES[#Data],5,0),"No registró")</f>
        <v>No registró</v>
      </c>
      <c r="H267" s="359" t="str">
        <f>IFERROR(LOOKUP(2,1/([1]!MIERCOLES[[CEDULA ]]=[1]!Tabla9[[#This Row],[CEDULA ]]),[1]!MIERCOLES[HORA]),"No registró")</f>
        <v>No registró</v>
      </c>
      <c r="I267" s="359" t="str">
        <f>IFERROR(VLOOKUP([1]!Tabla9[[CEDULA ]],[1]!JUEVES[#Data],5,0),"No Registró")</f>
        <v>No Registró</v>
      </c>
      <c r="J267" s="359" t="str">
        <f>IFERROR(LOOKUP(2,1/([1]!JUEVES[[CEDULA ]]=[1]!Tabla9[[#This Row],[CEDULA ]]),[1]!JUEVES[HORA]),"No registró")</f>
        <v>No registró</v>
      </c>
      <c r="K267" s="359" t="str">
        <f>IFERROR(VLOOKUP([1]!Tabla9[[CEDULA ]],[1]!VIERNES[#Data],5,0),"No registró")</f>
        <v>No registró</v>
      </c>
      <c r="L267" s="359" t="str">
        <f>IFERROR(LOOKUP(2,1/([1]!VIERNES[[CEDULA ]]=[1]!Tabla9[[#This Row],[CEDULA ]]),[1]!VIERNES[HORA]),"No registró")</f>
        <v>No registró</v>
      </c>
      <c r="M267" s="359" t="str">
        <f>IFERROR(VLOOKUP([1]!Tabla9[[CEDULA ]],[1]!SABADO[#Data],5,0),"No registró")</f>
        <v>No registró</v>
      </c>
      <c r="N267" s="359" t="str">
        <f>IFERROR(LOOKUP(2,1/([1]!SABADO[[CEDULA ]]=[1]!Tabla9[[#This Row],[CEDULA ]]),[1]!SABADO[HORA]),"No registró")</f>
        <v>No registró</v>
      </c>
      <c r="O267" s="359" t="str">
        <f>IFERROR(VLOOKUP([1]!Tabla9[[CEDULA ]],[1]!DOMINGO[#Data],5,0),"No registró")</f>
        <v>No registró</v>
      </c>
      <c r="P267" s="359" t="str">
        <f>IFERROR(LOOKUP(2,1/([1]!DOMINGO[[CEDULA ]]=[1]!Tabla9[[#This Row],[CEDULA ]]),[1]!DOMINGO[HORA]),"No registró")</f>
        <v>No registró</v>
      </c>
      <c r="Q267" s="240" t="str">
        <f>IFERROR(VLOOKUP(A267,DATOS[],10,0),"")</f>
        <v>4. SANTA TERESA DEL TUY</v>
      </c>
    </row>
    <row r="268" spans="1:17" x14ac:dyDescent="0.25">
      <c r="A268" s="239">
        <v>14955496</v>
      </c>
      <c r="B268" s="239" t="s">
        <v>1242</v>
      </c>
      <c r="C268" s="359">
        <f>IFERROR(VLOOKUP([1]!Tabla9[[CEDULA ]],[1]!LUNES[#Data],5,0),"No registró")</f>
        <v>0.27835648148148145</v>
      </c>
      <c r="D268" s="359">
        <f>IFERROR(LOOKUP(2,1/([1]!LUNES[[CEDULA ]]=[1]!Tabla9[[#This Row],[CEDULA ]]),[1]!LUNES[HORA]),"No registró")</f>
        <v>0.55488425925925922</v>
      </c>
      <c r="E268" s="359">
        <f>IFERROR(VLOOKUP([1]!Tabla9[[CEDULA ]],[1]!MARTES[#Data],5,0),"No registró")</f>
        <v>0.27820601851851851</v>
      </c>
      <c r="F268" s="359">
        <f>IFERROR(LOOKUP(2,1/([1]!MARTES[[CEDULA ]]=[1]!Tabla9[[#This Row],[CEDULA ]]),[1]!MARTES[HORA]),"No Registró")</f>
        <v>0.55478009259259264</v>
      </c>
      <c r="G268" s="359" t="str">
        <f>IFERROR(VLOOKUP([1]!Tabla9[[CEDULA ]],[1]!MIERCOLES[#Data],5,0),"No registró")</f>
        <v>No registró</v>
      </c>
      <c r="H268" s="359" t="str">
        <f>IFERROR(LOOKUP(2,1/([1]!MIERCOLES[[CEDULA ]]=[1]!Tabla9[[#This Row],[CEDULA ]]),[1]!MIERCOLES[HORA]),"No registró")</f>
        <v>No registró</v>
      </c>
      <c r="I268" s="359" t="str">
        <f>IFERROR(VLOOKUP([1]!Tabla9[[CEDULA ]],[1]!JUEVES[#Data],5,0),"No Registró")</f>
        <v>No Registró</v>
      </c>
      <c r="J268" s="359" t="str">
        <f>IFERROR(LOOKUP(2,1/([1]!JUEVES[[CEDULA ]]=[1]!Tabla9[[#This Row],[CEDULA ]]),[1]!JUEVES[HORA]),"No registró")</f>
        <v>No registró</v>
      </c>
      <c r="K268" s="359" t="str">
        <f>IFERROR(VLOOKUP([1]!Tabla9[[CEDULA ]],[1]!VIERNES[#Data],5,0),"No registró")</f>
        <v>No registró</v>
      </c>
      <c r="L268" s="359" t="str">
        <f>IFERROR(LOOKUP(2,1/([1]!VIERNES[[CEDULA ]]=[1]!Tabla9[[#This Row],[CEDULA ]]),[1]!VIERNES[HORA]),"No registró")</f>
        <v>No registró</v>
      </c>
      <c r="M268" s="359" t="str">
        <f>IFERROR(VLOOKUP([1]!Tabla9[[CEDULA ]],[1]!SABADO[#Data],5,0),"No registró")</f>
        <v>No registró</v>
      </c>
      <c r="N268" s="359" t="str">
        <f>IFERROR(LOOKUP(2,1/([1]!SABADO[[CEDULA ]]=[1]!Tabla9[[#This Row],[CEDULA ]]),[1]!SABADO[HORA]),"No registró")</f>
        <v>No registró</v>
      </c>
      <c r="O268" s="359" t="str">
        <f>IFERROR(VLOOKUP([1]!Tabla9[[CEDULA ]],[1]!DOMINGO[#Data],5,0),"No registró")</f>
        <v>No registró</v>
      </c>
      <c r="P268" s="359" t="str">
        <f>IFERROR(LOOKUP(2,1/([1]!DOMINGO[[CEDULA ]]=[1]!Tabla9[[#This Row],[CEDULA ]]),[1]!DOMINGO[HORA]),"No registró")</f>
        <v>No registró</v>
      </c>
      <c r="Q268" s="240" t="str">
        <f>IFERROR(VLOOKUP(A268,DATOS[],10,0),"")</f>
        <v>1. COCHE</v>
      </c>
    </row>
    <row r="269" spans="1:17" x14ac:dyDescent="0.25">
      <c r="A269" s="239">
        <v>14955826</v>
      </c>
      <c r="B269" s="239" t="s">
        <v>1243</v>
      </c>
      <c r="C269" s="359">
        <f>IFERROR(VLOOKUP([1]!Tabla9[[CEDULA ]],[1]!LUNES[#Data],5,0),"No registró")</f>
        <v>0.27813657407407405</v>
      </c>
      <c r="D269" s="359">
        <f>IFERROR(LOOKUP(2,1/([1]!LUNES[[CEDULA ]]=[1]!Tabla9[[#This Row],[CEDULA ]]),[1]!LUNES[HORA]),"No registró")</f>
        <v>0.55223379629629632</v>
      </c>
      <c r="E269" s="359">
        <f>IFERROR(VLOOKUP([1]!Tabla9[[CEDULA ]],[1]!MARTES[#Data],5,0),"No registró")</f>
        <v>0.27777777777777779</v>
      </c>
      <c r="F269" s="359">
        <f>IFERROR(LOOKUP(2,1/([1]!MARTES[[CEDULA ]]=[1]!Tabla9[[#This Row],[CEDULA ]]),[1]!MARTES[HORA]),"No Registró")</f>
        <v>0.40340277777777778</v>
      </c>
      <c r="G269" s="359" t="str">
        <f>IFERROR(VLOOKUP([1]!Tabla9[[CEDULA ]],[1]!MIERCOLES[#Data],5,0),"No registró")</f>
        <v>No registró</v>
      </c>
      <c r="H269" s="359" t="str">
        <f>IFERROR(LOOKUP(2,1/([1]!MIERCOLES[[CEDULA ]]=[1]!Tabla9[[#This Row],[CEDULA ]]),[1]!MIERCOLES[HORA]),"No registró")</f>
        <v>No registró</v>
      </c>
      <c r="I269" s="359" t="str">
        <f>IFERROR(VLOOKUP([1]!Tabla9[[CEDULA ]],[1]!JUEVES[#Data],5,0),"No Registró")</f>
        <v>No Registró</v>
      </c>
      <c r="J269" s="359" t="str">
        <f>IFERROR(LOOKUP(2,1/([1]!JUEVES[[CEDULA ]]=[1]!Tabla9[[#This Row],[CEDULA ]]),[1]!JUEVES[HORA]),"No registró")</f>
        <v>No registró</v>
      </c>
      <c r="K269" s="359" t="str">
        <f>IFERROR(VLOOKUP([1]!Tabla9[[CEDULA ]],[1]!VIERNES[#Data],5,0),"No registró")</f>
        <v>No registró</v>
      </c>
      <c r="L269" s="359" t="str">
        <f>IFERROR(LOOKUP(2,1/([1]!VIERNES[[CEDULA ]]=[1]!Tabla9[[#This Row],[CEDULA ]]),[1]!VIERNES[HORA]),"No registró")</f>
        <v>No registró</v>
      </c>
      <c r="M269" s="359" t="str">
        <f>IFERROR(VLOOKUP([1]!Tabla9[[CEDULA ]],[1]!SABADO[#Data],5,0),"No registró")</f>
        <v>No registró</v>
      </c>
      <c r="N269" s="359" t="str">
        <f>IFERROR(LOOKUP(2,1/([1]!SABADO[[CEDULA ]]=[1]!Tabla9[[#This Row],[CEDULA ]]),[1]!SABADO[HORA]),"No registró")</f>
        <v>No registró</v>
      </c>
      <c r="O269" s="359" t="str">
        <f>IFERROR(VLOOKUP([1]!Tabla9[[CEDULA ]],[1]!DOMINGO[#Data],5,0),"No registró")</f>
        <v>No registró</v>
      </c>
      <c r="P269" s="359" t="str">
        <f>IFERROR(LOOKUP(2,1/([1]!DOMINGO[[CEDULA ]]=[1]!Tabla9[[#This Row],[CEDULA ]]),[1]!DOMINGO[HORA]),"No registró")</f>
        <v>No registró</v>
      </c>
      <c r="Q269" s="240" t="str">
        <f>IFERROR(VLOOKUP(A269,DATOS[],10,0),"")</f>
        <v>1. COCHE</v>
      </c>
    </row>
    <row r="270" spans="1:17" x14ac:dyDescent="0.25">
      <c r="A270" s="239">
        <v>14988295</v>
      </c>
      <c r="B270" s="239" t="s">
        <v>1244</v>
      </c>
      <c r="C270" s="359">
        <f>IFERROR(VLOOKUP([1]!Tabla9[[CEDULA ]],[1]!LUNES[#Data],5,0),"No registró")</f>
        <v>0.27978009259259257</v>
      </c>
      <c r="D270" s="359">
        <f>IFERROR(LOOKUP(2,1/([1]!LUNES[[CEDULA ]]=[1]!Tabla9[[#This Row],[CEDULA ]]),[1]!LUNES[HORA]),"No registró")</f>
        <v>0.55579861111111117</v>
      </c>
      <c r="E270" s="359">
        <f>IFERROR(VLOOKUP([1]!Tabla9[[CEDULA ]],[1]!MARTES[#Data],5,0),"No registró")</f>
        <v>0.28144675925925927</v>
      </c>
      <c r="F270" s="359">
        <f>IFERROR(LOOKUP(2,1/([1]!MARTES[[CEDULA ]]=[1]!Tabla9[[#This Row],[CEDULA ]]),[1]!MARTES[HORA]),"No Registró")</f>
        <v>0.55833333333333335</v>
      </c>
      <c r="G270" s="359" t="str">
        <f>IFERROR(VLOOKUP([1]!Tabla9[[CEDULA ]],[1]!MIERCOLES[#Data],5,0),"No registró")</f>
        <v>No registró</v>
      </c>
      <c r="H270" s="359" t="str">
        <f>IFERROR(LOOKUP(2,1/([1]!MIERCOLES[[CEDULA ]]=[1]!Tabla9[[#This Row],[CEDULA ]]),[1]!MIERCOLES[HORA]),"No registró")</f>
        <v>No registró</v>
      </c>
      <c r="I270" s="359" t="str">
        <f>IFERROR(VLOOKUP([1]!Tabla9[[CEDULA ]],[1]!JUEVES[#Data],5,0),"No Registró")</f>
        <v>No Registró</v>
      </c>
      <c r="J270" s="359" t="str">
        <f>IFERROR(LOOKUP(2,1/([1]!JUEVES[[CEDULA ]]=[1]!Tabla9[[#This Row],[CEDULA ]]),[1]!JUEVES[HORA]),"No registró")</f>
        <v>No registró</v>
      </c>
      <c r="K270" s="359" t="str">
        <f>IFERROR(VLOOKUP([1]!Tabla9[[CEDULA ]],[1]!VIERNES[#Data],5,0),"No registró")</f>
        <v>No registró</v>
      </c>
      <c r="L270" s="359" t="str">
        <f>IFERROR(LOOKUP(2,1/([1]!VIERNES[[CEDULA ]]=[1]!Tabla9[[#This Row],[CEDULA ]]),[1]!VIERNES[HORA]),"No registró")</f>
        <v>No registró</v>
      </c>
      <c r="M270" s="359" t="str">
        <f>IFERROR(VLOOKUP([1]!Tabla9[[CEDULA ]],[1]!SABADO[#Data],5,0),"No registró")</f>
        <v>No registró</v>
      </c>
      <c r="N270" s="359" t="str">
        <f>IFERROR(LOOKUP(2,1/([1]!SABADO[[CEDULA ]]=[1]!Tabla9[[#This Row],[CEDULA ]]),[1]!SABADO[HORA]),"No registró")</f>
        <v>No registró</v>
      </c>
      <c r="O270" s="359" t="str">
        <f>IFERROR(VLOOKUP([1]!Tabla9[[CEDULA ]],[1]!DOMINGO[#Data],5,0),"No registró")</f>
        <v>No registró</v>
      </c>
      <c r="P270" s="359" t="str">
        <f>IFERROR(LOOKUP(2,1/([1]!DOMINGO[[CEDULA ]]=[1]!Tabla9[[#This Row],[CEDULA ]]),[1]!DOMINGO[HORA]),"No registró")</f>
        <v>No registró</v>
      </c>
      <c r="Q270" s="240" t="str">
        <f>IFERROR(VLOOKUP(A270,DATOS[],10,0),"")</f>
        <v>3. CARICUAO</v>
      </c>
    </row>
    <row r="271" spans="1:17" x14ac:dyDescent="0.25">
      <c r="A271" s="239">
        <v>14992400</v>
      </c>
      <c r="B271" s="239" t="s">
        <v>1415</v>
      </c>
      <c r="C271" s="359">
        <f>IFERROR(VLOOKUP([1]!Tabla9[[CEDULA ]],[1]!LUNES[#Data],5,0),"No registró")</f>
        <v>0.28195601851851854</v>
      </c>
      <c r="D271" s="359">
        <f>IFERROR(LOOKUP(2,1/([1]!LUNES[[CEDULA ]]=[1]!Tabla9[[#This Row],[CEDULA ]]),[1]!LUNES[HORA]),"No registró")</f>
        <v>0.5529398148148148</v>
      </c>
      <c r="E271" s="359">
        <f>IFERROR(VLOOKUP([1]!Tabla9[[CEDULA ]],[1]!MARTES[#Data],5,0),"No registró")</f>
        <v>0.31263888888888886</v>
      </c>
      <c r="F271" s="359">
        <f>IFERROR(LOOKUP(2,1/([1]!MARTES[[CEDULA ]]=[1]!Tabla9[[#This Row],[CEDULA ]]),[1]!MARTES[HORA]),"No Registró")</f>
        <v>0.5549074074074074</v>
      </c>
      <c r="G271" s="359" t="str">
        <f>IFERROR(VLOOKUP([1]!Tabla9[[CEDULA ]],[1]!MIERCOLES[#Data],5,0),"No registró")</f>
        <v>No registró</v>
      </c>
      <c r="H271" s="359" t="str">
        <f>IFERROR(LOOKUP(2,1/([1]!MIERCOLES[[CEDULA ]]=[1]!Tabla9[[#This Row],[CEDULA ]]),[1]!MIERCOLES[HORA]),"No registró")</f>
        <v>No registró</v>
      </c>
      <c r="I271" s="359" t="str">
        <f>IFERROR(VLOOKUP([1]!Tabla9[[CEDULA ]],[1]!JUEVES[#Data],5,0),"No Registró")</f>
        <v>No Registró</v>
      </c>
      <c r="J271" s="359" t="str">
        <f>IFERROR(LOOKUP(2,1/([1]!JUEVES[[CEDULA ]]=[1]!Tabla9[[#This Row],[CEDULA ]]),[1]!JUEVES[HORA]),"No registró")</f>
        <v>No registró</v>
      </c>
      <c r="K271" s="359" t="str">
        <f>IFERROR(VLOOKUP([1]!Tabla9[[CEDULA ]],[1]!VIERNES[#Data],5,0),"No registró")</f>
        <v>No registró</v>
      </c>
      <c r="L271" s="359" t="str">
        <f>IFERROR(LOOKUP(2,1/([1]!VIERNES[[CEDULA ]]=[1]!Tabla9[[#This Row],[CEDULA ]]),[1]!VIERNES[HORA]),"No registró")</f>
        <v>No registró</v>
      </c>
      <c r="M271" s="359" t="str">
        <f>IFERROR(VLOOKUP([1]!Tabla9[[CEDULA ]],[1]!SABADO[#Data],5,0),"No registró")</f>
        <v>No registró</v>
      </c>
      <c r="N271" s="359" t="str">
        <f>IFERROR(LOOKUP(2,1/([1]!SABADO[[CEDULA ]]=[1]!Tabla9[[#This Row],[CEDULA ]]),[1]!SABADO[HORA]),"No registró")</f>
        <v>No registró</v>
      </c>
      <c r="O271" s="359" t="str">
        <f>IFERROR(VLOOKUP([1]!Tabla9[[CEDULA ]],[1]!DOMINGO[#Data],5,0),"No registró")</f>
        <v>No registró</v>
      </c>
      <c r="P271" s="359" t="str">
        <f>IFERROR(LOOKUP(2,1/([1]!DOMINGO[[CEDULA ]]=[1]!Tabla9[[#This Row],[CEDULA ]]),[1]!DOMINGO[HORA]),"No registró")</f>
        <v>No registró</v>
      </c>
      <c r="Q271" s="240" t="str">
        <f>IFERROR(VLOOKUP(A271,DATOS[],10,0),"")</f>
        <v>3. CARICUAO</v>
      </c>
    </row>
    <row r="272" spans="1:17" x14ac:dyDescent="0.25">
      <c r="A272" s="239">
        <v>15040130</v>
      </c>
      <c r="B272" s="239" t="s">
        <v>1245</v>
      </c>
      <c r="C272" s="359">
        <f>IFERROR(VLOOKUP([1]!Tabla9[[CEDULA ]],[1]!LUNES[#Data],5,0),"No registró")</f>
        <v>0.30868055555555557</v>
      </c>
      <c r="D272" s="359">
        <f>IFERROR(LOOKUP(2,1/([1]!LUNES[[CEDULA ]]=[1]!Tabla9[[#This Row],[CEDULA ]]),[1]!LUNES[HORA]),"No registró")</f>
        <v>0.55017361111111118</v>
      </c>
      <c r="E272" s="359" t="str">
        <f>IFERROR(VLOOKUP([1]!Tabla9[[CEDULA ]],[1]!MARTES[#Data],5,0),"No registró")</f>
        <v>No registró</v>
      </c>
      <c r="F272" s="359" t="str">
        <f>IFERROR(LOOKUP(2,1/([1]!MARTES[[CEDULA ]]=[1]!Tabla9[[#This Row],[CEDULA ]]),[1]!MARTES[HORA]),"No Registró")</f>
        <v>No Registró</v>
      </c>
      <c r="G272" s="359" t="str">
        <f>IFERROR(VLOOKUP([1]!Tabla9[[CEDULA ]],[1]!MIERCOLES[#Data],5,0),"No registró")</f>
        <v>No registró</v>
      </c>
      <c r="H272" s="359" t="str">
        <f>IFERROR(LOOKUP(2,1/([1]!MIERCOLES[[CEDULA ]]=[1]!Tabla9[[#This Row],[CEDULA ]]),[1]!MIERCOLES[HORA]),"No registró")</f>
        <v>No registró</v>
      </c>
      <c r="I272" s="359" t="str">
        <f>IFERROR(VLOOKUP([1]!Tabla9[[CEDULA ]],[1]!JUEVES[#Data],5,0),"No Registró")</f>
        <v>No Registró</v>
      </c>
      <c r="J272" s="359" t="str">
        <f>IFERROR(LOOKUP(2,1/([1]!JUEVES[[CEDULA ]]=[1]!Tabla9[[#This Row],[CEDULA ]]),[1]!JUEVES[HORA]),"No registró")</f>
        <v>No registró</v>
      </c>
      <c r="K272" s="359" t="str">
        <f>IFERROR(VLOOKUP([1]!Tabla9[[CEDULA ]],[1]!VIERNES[#Data],5,0),"No registró")</f>
        <v>No registró</v>
      </c>
      <c r="L272" s="359" t="str">
        <f>IFERROR(LOOKUP(2,1/([1]!VIERNES[[CEDULA ]]=[1]!Tabla9[[#This Row],[CEDULA ]]),[1]!VIERNES[HORA]),"No registró")</f>
        <v>No registró</v>
      </c>
      <c r="M272" s="359" t="str">
        <f>IFERROR(VLOOKUP([1]!Tabla9[[CEDULA ]],[1]!SABADO[#Data],5,0),"No registró")</f>
        <v>No registró</v>
      </c>
      <c r="N272" s="359" t="str">
        <f>IFERROR(LOOKUP(2,1/([1]!SABADO[[CEDULA ]]=[1]!Tabla9[[#This Row],[CEDULA ]]),[1]!SABADO[HORA]),"No registró")</f>
        <v>No registró</v>
      </c>
      <c r="O272" s="359" t="str">
        <f>IFERROR(VLOOKUP([1]!Tabla9[[CEDULA ]],[1]!DOMINGO[#Data],5,0),"No registró")</f>
        <v>No registró</v>
      </c>
      <c r="P272" s="359" t="str">
        <f>IFERROR(LOOKUP(2,1/([1]!DOMINGO[[CEDULA ]]=[1]!Tabla9[[#This Row],[CEDULA ]]),[1]!DOMINGO[HORA]),"No registró")</f>
        <v>No registró</v>
      </c>
      <c r="Q272" s="240" t="str">
        <f>IFERROR(VLOOKUP(A272,DATOS[],10,0),"")</f>
        <v>4. VALLES DEL TUY</v>
      </c>
    </row>
    <row r="273" spans="1:17" x14ac:dyDescent="0.25">
      <c r="A273" s="239">
        <v>15062407</v>
      </c>
      <c r="B273" s="239" t="s">
        <v>1246</v>
      </c>
      <c r="C273" s="359" t="str">
        <f>IFERROR(VLOOKUP([1]!Tabla9[[CEDULA ]],[1]!LUNES[#Data],5,0),"No registró")</f>
        <v>No registró</v>
      </c>
      <c r="D273" s="359" t="str">
        <f>IFERROR(LOOKUP(2,1/([1]!LUNES[[CEDULA ]]=[1]!Tabla9[[#This Row],[CEDULA ]]),[1]!LUNES[HORA]),"No registró")</f>
        <v>No registró</v>
      </c>
      <c r="E273" s="359">
        <f>IFERROR(VLOOKUP([1]!Tabla9[[CEDULA ]],[1]!MARTES[#Data],5,0),"No registró")</f>
        <v>0.30811342592592594</v>
      </c>
      <c r="F273" s="359">
        <f>IFERROR(LOOKUP(2,1/([1]!MARTES[[CEDULA ]]=[1]!Tabla9[[#This Row],[CEDULA ]]),[1]!MARTES[HORA]),"No Registró")</f>
        <v>0.55260416666666667</v>
      </c>
      <c r="G273" s="359" t="str">
        <f>IFERROR(VLOOKUP([1]!Tabla9[[CEDULA ]],[1]!MIERCOLES[#Data],5,0),"No registró")</f>
        <v>No registró</v>
      </c>
      <c r="H273" s="359" t="str">
        <f>IFERROR(LOOKUP(2,1/([1]!MIERCOLES[[CEDULA ]]=[1]!Tabla9[[#This Row],[CEDULA ]]),[1]!MIERCOLES[HORA]),"No registró")</f>
        <v>No registró</v>
      </c>
      <c r="I273" s="359" t="str">
        <f>IFERROR(VLOOKUP([1]!Tabla9[[CEDULA ]],[1]!JUEVES[#Data],5,0),"No Registró")</f>
        <v>No Registró</v>
      </c>
      <c r="J273" s="359" t="str">
        <f>IFERROR(LOOKUP(2,1/([1]!JUEVES[[CEDULA ]]=[1]!Tabla9[[#This Row],[CEDULA ]]),[1]!JUEVES[HORA]),"No registró")</f>
        <v>No registró</v>
      </c>
      <c r="K273" s="359" t="str">
        <f>IFERROR(VLOOKUP([1]!Tabla9[[CEDULA ]],[1]!VIERNES[#Data],5,0),"No registró")</f>
        <v>No registró</v>
      </c>
      <c r="L273" s="359" t="str">
        <f>IFERROR(LOOKUP(2,1/([1]!VIERNES[[CEDULA ]]=[1]!Tabla9[[#This Row],[CEDULA ]]),[1]!VIERNES[HORA]),"No registró")</f>
        <v>No registró</v>
      </c>
      <c r="M273" s="359" t="str">
        <f>IFERROR(VLOOKUP([1]!Tabla9[[CEDULA ]],[1]!SABADO[#Data],5,0),"No registró")</f>
        <v>No registró</v>
      </c>
      <c r="N273" s="359" t="str">
        <f>IFERROR(LOOKUP(2,1/([1]!SABADO[[CEDULA ]]=[1]!Tabla9[[#This Row],[CEDULA ]]),[1]!SABADO[HORA]),"No registró")</f>
        <v>No registró</v>
      </c>
      <c r="O273" s="359" t="str">
        <f>IFERROR(VLOOKUP([1]!Tabla9[[CEDULA ]],[1]!DOMINGO[#Data],5,0),"No registró")</f>
        <v>No registró</v>
      </c>
      <c r="P273" s="359" t="str">
        <f>IFERROR(LOOKUP(2,1/([1]!DOMINGO[[CEDULA ]]=[1]!Tabla9[[#This Row],[CEDULA ]]),[1]!DOMINGO[HORA]),"No registró")</f>
        <v>No registró</v>
      </c>
      <c r="Q273" s="240">
        <f>IFERROR(VLOOKUP(A273,DATOS[],10,0),"")</f>
        <v>0</v>
      </c>
    </row>
    <row r="274" spans="1:17" x14ac:dyDescent="0.25">
      <c r="A274" s="239">
        <v>15131913</v>
      </c>
      <c r="B274" s="239" t="s">
        <v>1247</v>
      </c>
      <c r="C274" s="359">
        <f>IFERROR(VLOOKUP([1]!Tabla9[[CEDULA ]],[1]!LUNES[#Data],5,0),"No registró")</f>
        <v>0.28804398148148147</v>
      </c>
      <c r="D274" s="359">
        <f>IFERROR(LOOKUP(2,1/([1]!LUNES[[CEDULA ]]=[1]!Tabla9[[#This Row],[CEDULA ]]),[1]!LUNES[HORA]),"No registró")</f>
        <v>0.2895138888888889</v>
      </c>
      <c r="E274" s="359">
        <f>IFERROR(VLOOKUP([1]!Tabla9[[CEDULA ]],[1]!MARTES[#Data],5,0),"No registró")</f>
        <v>0.28519675925925925</v>
      </c>
      <c r="F274" s="359">
        <f>IFERROR(LOOKUP(2,1/([1]!MARTES[[CEDULA ]]=[1]!Tabla9[[#This Row],[CEDULA ]]),[1]!MARTES[HORA]),"No Registró")</f>
        <v>0.28644675925925928</v>
      </c>
      <c r="G274" s="359" t="str">
        <f>IFERROR(VLOOKUP([1]!Tabla9[[CEDULA ]],[1]!MIERCOLES[#Data],5,0),"No registró")</f>
        <v>No registró</v>
      </c>
      <c r="H274" s="359" t="str">
        <f>IFERROR(LOOKUP(2,1/([1]!MIERCOLES[[CEDULA ]]=[1]!Tabla9[[#This Row],[CEDULA ]]),[1]!MIERCOLES[HORA]),"No registró")</f>
        <v>No registró</v>
      </c>
      <c r="I274" s="359" t="str">
        <f>IFERROR(VLOOKUP([1]!Tabla9[[CEDULA ]],[1]!JUEVES[#Data],5,0),"No Registró")</f>
        <v>No Registró</v>
      </c>
      <c r="J274" s="359" t="str">
        <f>IFERROR(LOOKUP(2,1/([1]!JUEVES[[CEDULA ]]=[1]!Tabla9[[#This Row],[CEDULA ]]),[1]!JUEVES[HORA]),"No registró")</f>
        <v>No registró</v>
      </c>
      <c r="K274" s="359" t="str">
        <f>IFERROR(VLOOKUP([1]!Tabla9[[CEDULA ]],[1]!VIERNES[#Data],5,0),"No registró")</f>
        <v>No registró</v>
      </c>
      <c r="L274" s="359" t="str">
        <f>IFERROR(LOOKUP(2,1/([1]!VIERNES[[CEDULA ]]=[1]!Tabla9[[#This Row],[CEDULA ]]),[1]!VIERNES[HORA]),"No registró")</f>
        <v>No registró</v>
      </c>
      <c r="M274" s="359" t="str">
        <f>IFERROR(VLOOKUP([1]!Tabla9[[CEDULA ]],[1]!SABADO[#Data],5,0),"No registró")</f>
        <v>No registró</v>
      </c>
      <c r="N274" s="359" t="str">
        <f>IFERROR(LOOKUP(2,1/([1]!SABADO[[CEDULA ]]=[1]!Tabla9[[#This Row],[CEDULA ]]),[1]!SABADO[HORA]),"No registró")</f>
        <v>No registró</v>
      </c>
      <c r="O274" s="359" t="str">
        <f>IFERROR(VLOOKUP([1]!Tabla9[[CEDULA ]],[1]!DOMINGO[#Data],5,0),"No registró")</f>
        <v>No registró</v>
      </c>
      <c r="P274" s="359" t="str">
        <f>IFERROR(LOOKUP(2,1/([1]!DOMINGO[[CEDULA ]]=[1]!Tabla9[[#This Row],[CEDULA ]]),[1]!DOMINGO[HORA]),"No registró")</f>
        <v>No registró</v>
      </c>
      <c r="Q274" s="240" t="str">
        <f>IFERROR(VLOOKUP(A274,DATOS[],10,0),"")</f>
        <v>5. GUARENAS</v>
      </c>
    </row>
    <row r="275" spans="1:17" x14ac:dyDescent="0.25">
      <c r="A275" s="239">
        <v>15133760</v>
      </c>
      <c r="B275" s="239" t="s">
        <v>1248</v>
      </c>
      <c r="C275" s="359">
        <f>IFERROR(VLOOKUP([1]!Tabla9[[CEDULA ]],[1]!LUNES[#Data],5,0),"No registró")</f>
        <v>0.29440972222222223</v>
      </c>
      <c r="D275" s="359">
        <f>IFERROR(LOOKUP(2,1/([1]!LUNES[[CEDULA ]]=[1]!Tabla9[[#This Row],[CEDULA ]]),[1]!LUNES[HORA]),"No registró")</f>
        <v>0.55216435185185186</v>
      </c>
      <c r="E275" s="359">
        <f>IFERROR(VLOOKUP([1]!Tabla9[[CEDULA ]],[1]!MARTES[#Data],5,0),"No registró")</f>
        <v>0.30791666666666667</v>
      </c>
      <c r="F275" s="359">
        <f>IFERROR(LOOKUP(2,1/([1]!MARTES[[CEDULA ]]=[1]!Tabla9[[#This Row],[CEDULA ]]),[1]!MARTES[HORA]),"No Registró")</f>
        <v>0.40835648148148151</v>
      </c>
      <c r="G275" s="359" t="str">
        <f>IFERROR(VLOOKUP([1]!Tabla9[[CEDULA ]],[1]!MIERCOLES[#Data],5,0),"No registró")</f>
        <v>No registró</v>
      </c>
      <c r="H275" s="359" t="str">
        <f>IFERROR(LOOKUP(2,1/([1]!MIERCOLES[[CEDULA ]]=[1]!Tabla9[[#This Row],[CEDULA ]]),[1]!MIERCOLES[HORA]),"No registró")</f>
        <v>No registró</v>
      </c>
      <c r="I275" s="359" t="str">
        <f>IFERROR(VLOOKUP([1]!Tabla9[[CEDULA ]],[1]!JUEVES[#Data],5,0),"No Registró")</f>
        <v>No Registró</v>
      </c>
      <c r="J275" s="359" t="str">
        <f>IFERROR(LOOKUP(2,1/([1]!JUEVES[[CEDULA ]]=[1]!Tabla9[[#This Row],[CEDULA ]]),[1]!JUEVES[HORA]),"No registró")</f>
        <v>No registró</v>
      </c>
      <c r="K275" s="359" t="str">
        <f>IFERROR(VLOOKUP([1]!Tabla9[[CEDULA ]],[1]!VIERNES[#Data],5,0),"No registró")</f>
        <v>No registró</v>
      </c>
      <c r="L275" s="359" t="str">
        <f>IFERROR(LOOKUP(2,1/([1]!VIERNES[[CEDULA ]]=[1]!Tabla9[[#This Row],[CEDULA ]]),[1]!VIERNES[HORA]),"No registró")</f>
        <v>No registró</v>
      </c>
      <c r="M275" s="359" t="str">
        <f>IFERROR(VLOOKUP([1]!Tabla9[[CEDULA ]],[1]!SABADO[#Data],5,0),"No registró")</f>
        <v>No registró</v>
      </c>
      <c r="N275" s="359" t="str">
        <f>IFERROR(LOOKUP(2,1/([1]!SABADO[[CEDULA ]]=[1]!Tabla9[[#This Row],[CEDULA ]]),[1]!SABADO[HORA]),"No registró")</f>
        <v>No registró</v>
      </c>
      <c r="O275" s="359" t="str">
        <f>IFERROR(VLOOKUP([1]!Tabla9[[CEDULA ]],[1]!DOMINGO[#Data],5,0),"No registró")</f>
        <v>No registró</v>
      </c>
      <c r="P275" s="359" t="str">
        <f>IFERROR(LOOKUP(2,1/([1]!DOMINGO[[CEDULA ]]=[1]!Tabla9[[#This Row],[CEDULA ]]),[1]!DOMINGO[HORA]),"No registró")</f>
        <v>No registró</v>
      </c>
      <c r="Q275" s="240">
        <f>IFERROR(VLOOKUP(A275,DATOS[],10,0),"")</f>
        <v>0</v>
      </c>
    </row>
    <row r="276" spans="1:17" x14ac:dyDescent="0.25">
      <c r="A276" s="239">
        <v>15148917</v>
      </c>
      <c r="B276" s="239" t="s">
        <v>1249</v>
      </c>
      <c r="C276" s="359">
        <f>IFERROR(VLOOKUP([1]!Tabla9[[CEDULA ]],[1]!LUNES[#Data],5,0),"No registró")</f>
        <v>0.28086805555555555</v>
      </c>
      <c r="D276" s="359">
        <f>IFERROR(LOOKUP(2,1/([1]!LUNES[[CEDULA ]]=[1]!Tabla9[[#This Row],[CEDULA ]]),[1]!LUNES[HORA]),"No registró")</f>
        <v>0.28373842592592591</v>
      </c>
      <c r="E276" s="359">
        <f>IFERROR(VLOOKUP([1]!Tabla9[[CEDULA ]],[1]!MARTES[#Data],5,0),"No registró")</f>
        <v>0.28943287037037035</v>
      </c>
      <c r="F276" s="359">
        <f>IFERROR(LOOKUP(2,1/([1]!MARTES[[CEDULA ]]=[1]!Tabla9[[#This Row],[CEDULA ]]),[1]!MARTES[HORA]),"No Registró")</f>
        <v>0.29226851851851848</v>
      </c>
      <c r="G276" s="359" t="str">
        <f>IFERROR(VLOOKUP([1]!Tabla9[[CEDULA ]],[1]!MIERCOLES[#Data],5,0),"No registró")</f>
        <v>No registró</v>
      </c>
      <c r="H276" s="359" t="str">
        <f>IFERROR(LOOKUP(2,1/([1]!MIERCOLES[[CEDULA ]]=[1]!Tabla9[[#This Row],[CEDULA ]]),[1]!MIERCOLES[HORA]),"No registró")</f>
        <v>No registró</v>
      </c>
      <c r="I276" s="359" t="str">
        <f>IFERROR(VLOOKUP([1]!Tabla9[[CEDULA ]],[1]!JUEVES[#Data],5,0),"No Registró")</f>
        <v>No Registró</v>
      </c>
      <c r="J276" s="359" t="str">
        <f>IFERROR(LOOKUP(2,1/([1]!JUEVES[[CEDULA ]]=[1]!Tabla9[[#This Row],[CEDULA ]]),[1]!JUEVES[HORA]),"No registró")</f>
        <v>No registró</v>
      </c>
      <c r="K276" s="359" t="str">
        <f>IFERROR(VLOOKUP([1]!Tabla9[[CEDULA ]],[1]!VIERNES[#Data],5,0),"No registró")</f>
        <v>No registró</v>
      </c>
      <c r="L276" s="359" t="str">
        <f>IFERROR(LOOKUP(2,1/([1]!VIERNES[[CEDULA ]]=[1]!Tabla9[[#This Row],[CEDULA ]]),[1]!VIERNES[HORA]),"No registró")</f>
        <v>No registró</v>
      </c>
      <c r="M276" s="359" t="str">
        <f>IFERROR(VLOOKUP([1]!Tabla9[[CEDULA ]],[1]!SABADO[#Data],5,0),"No registró")</f>
        <v>No registró</v>
      </c>
      <c r="N276" s="359" t="str">
        <f>IFERROR(LOOKUP(2,1/([1]!SABADO[[CEDULA ]]=[1]!Tabla9[[#This Row],[CEDULA ]]),[1]!SABADO[HORA]),"No registró")</f>
        <v>No registró</v>
      </c>
      <c r="O276" s="359" t="str">
        <f>IFERROR(VLOOKUP([1]!Tabla9[[CEDULA ]],[1]!DOMINGO[#Data],5,0),"No registró")</f>
        <v>No registró</v>
      </c>
      <c r="P276" s="359" t="str">
        <f>IFERROR(LOOKUP(2,1/([1]!DOMINGO[[CEDULA ]]=[1]!Tabla9[[#This Row],[CEDULA ]]),[1]!DOMINGO[HORA]),"No registró")</f>
        <v>No registró</v>
      </c>
      <c r="Q276" s="240" t="str">
        <f>IFERROR(VLOOKUP(A276,DATOS[],10,0),"")</f>
        <v>2. CATIA</v>
      </c>
    </row>
    <row r="277" spans="1:17" x14ac:dyDescent="0.25">
      <c r="A277" s="239">
        <v>15404951</v>
      </c>
      <c r="B277" s="239" t="s">
        <v>1250</v>
      </c>
      <c r="C277" s="359">
        <f>IFERROR(VLOOKUP([1]!Tabla9[[CEDULA ]],[1]!LUNES[#Data],5,0),"No registró")</f>
        <v>0.28123842592592591</v>
      </c>
      <c r="D277" s="359">
        <f>IFERROR(LOOKUP(2,1/([1]!LUNES[[CEDULA ]]=[1]!Tabla9[[#This Row],[CEDULA ]]),[1]!LUNES[HORA]),"No registró")</f>
        <v>0.55099537037037039</v>
      </c>
      <c r="E277" s="359">
        <f>IFERROR(VLOOKUP([1]!Tabla9[[CEDULA ]],[1]!MARTES[#Data],5,0),"No registró")</f>
        <v>0.28766203703703702</v>
      </c>
      <c r="F277" s="359">
        <f>IFERROR(LOOKUP(2,1/([1]!MARTES[[CEDULA ]]=[1]!Tabla9[[#This Row],[CEDULA ]]),[1]!MARTES[HORA]),"No Registró")</f>
        <v>0.54873842592592592</v>
      </c>
      <c r="G277" s="359" t="str">
        <f>IFERROR(VLOOKUP([1]!Tabla9[[CEDULA ]],[1]!MIERCOLES[#Data],5,0),"No registró")</f>
        <v>No registró</v>
      </c>
      <c r="H277" s="359" t="str">
        <f>IFERROR(LOOKUP(2,1/([1]!MIERCOLES[[CEDULA ]]=[1]!Tabla9[[#This Row],[CEDULA ]]),[1]!MIERCOLES[HORA]),"No registró")</f>
        <v>No registró</v>
      </c>
      <c r="I277" s="359" t="str">
        <f>IFERROR(VLOOKUP([1]!Tabla9[[CEDULA ]],[1]!JUEVES[#Data],5,0),"No Registró")</f>
        <v>No Registró</v>
      </c>
      <c r="J277" s="359" t="str">
        <f>IFERROR(LOOKUP(2,1/([1]!JUEVES[[CEDULA ]]=[1]!Tabla9[[#This Row],[CEDULA ]]),[1]!JUEVES[HORA]),"No registró")</f>
        <v>No registró</v>
      </c>
      <c r="K277" s="359" t="str">
        <f>IFERROR(VLOOKUP([1]!Tabla9[[CEDULA ]],[1]!VIERNES[#Data],5,0),"No registró")</f>
        <v>No registró</v>
      </c>
      <c r="L277" s="359" t="str">
        <f>IFERROR(LOOKUP(2,1/([1]!VIERNES[[CEDULA ]]=[1]!Tabla9[[#This Row],[CEDULA ]]),[1]!VIERNES[HORA]),"No registró")</f>
        <v>No registró</v>
      </c>
      <c r="M277" s="359" t="str">
        <f>IFERROR(VLOOKUP([1]!Tabla9[[CEDULA ]],[1]!SABADO[#Data],5,0),"No registró")</f>
        <v>No registró</v>
      </c>
      <c r="N277" s="359" t="str">
        <f>IFERROR(LOOKUP(2,1/([1]!SABADO[[CEDULA ]]=[1]!Tabla9[[#This Row],[CEDULA ]]),[1]!SABADO[HORA]),"No registró")</f>
        <v>No registró</v>
      </c>
      <c r="O277" s="359" t="str">
        <f>IFERROR(VLOOKUP([1]!Tabla9[[CEDULA ]],[1]!DOMINGO[#Data],5,0),"No registró")</f>
        <v>No registró</v>
      </c>
      <c r="P277" s="359" t="str">
        <f>IFERROR(LOOKUP(2,1/([1]!DOMINGO[[CEDULA ]]=[1]!Tabla9[[#This Row],[CEDULA ]]),[1]!DOMINGO[HORA]),"No registró")</f>
        <v>No registró</v>
      </c>
      <c r="Q277" s="240" t="str">
        <f>IFERROR(VLOOKUP(A277,DATOS[],10,0),"")</f>
        <v>2. CATIA</v>
      </c>
    </row>
    <row r="278" spans="1:17" x14ac:dyDescent="0.25">
      <c r="A278" s="239">
        <v>15420391</v>
      </c>
      <c r="B278" s="239" t="s">
        <v>1251</v>
      </c>
      <c r="C278" s="359">
        <f>IFERROR(VLOOKUP([1]!Tabla9[[CEDULA ]],[1]!LUNES[#Data],5,0),"No registró")</f>
        <v>0.30949074074074073</v>
      </c>
      <c r="D278" s="360" t="s">
        <v>989</v>
      </c>
      <c r="E278" s="359">
        <f>IFERROR(VLOOKUP([1]!Tabla9[[CEDULA ]],[1]!MARTES[#Data],5,0),"No registró")</f>
        <v>0.28576388888888887</v>
      </c>
      <c r="F278" s="359">
        <f>IFERROR(LOOKUP(2,1/([1]!MARTES[[CEDULA ]]=[1]!Tabla9[[#This Row],[CEDULA ]]),[1]!MARTES[HORA]),"No Registró")</f>
        <v>0.55278935185185185</v>
      </c>
      <c r="G278" s="359" t="str">
        <f>IFERROR(VLOOKUP([1]!Tabla9[[CEDULA ]],[1]!MIERCOLES[#Data],5,0),"No registró")</f>
        <v>No registró</v>
      </c>
      <c r="H278" s="359" t="str">
        <f>IFERROR(LOOKUP(2,1/([1]!MIERCOLES[[CEDULA ]]=[1]!Tabla9[[#This Row],[CEDULA ]]),[1]!MIERCOLES[HORA]),"No registró")</f>
        <v>No registró</v>
      </c>
      <c r="I278" s="359" t="str">
        <f>IFERROR(VLOOKUP([1]!Tabla9[[CEDULA ]],[1]!JUEVES[#Data],5,0),"No Registró")</f>
        <v>No Registró</v>
      </c>
      <c r="J278" s="359" t="str">
        <f>IFERROR(LOOKUP(2,1/([1]!JUEVES[[CEDULA ]]=[1]!Tabla9[[#This Row],[CEDULA ]]),[1]!JUEVES[HORA]),"No registró")</f>
        <v>No registró</v>
      </c>
      <c r="K278" s="359" t="str">
        <f>IFERROR(VLOOKUP([1]!Tabla9[[CEDULA ]],[1]!VIERNES[#Data],5,0),"No registró")</f>
        <v>No registró</v>
      </c>
      <c r="L278" s="359" t="str">
        <f>IFERROR(LOOKUP(2,1/([1]!VIERNES[[CEDULA ]]=[1]!Tabla9[[#This Row],[CEDULA ]]),[1]!VIERNES[HORA]),"No registró")</f>
        <v>No registró</v>
      </c>
      <c r="M278" s="359" t="str">
        <f>IFERROR(VLOOKUP([1]!Tabla9[[CEDULA ]],[1]!SABADO[#Data],5,0),"No registró")</f>
        <v>No registró</v>
      </c>
      <c r="N278" s="359" t="str">
        <f>IFERROR(LOOKUP(2,1/([1]!SABADO[[CEDULA ]]=[1]!Tabla9[[#This Row],[CEDULA ]]),[1]!SABADO[HORA]),"No registró")</f>
        <v>No registró</v>
      </c>
      <c r="O278" s="359" t="str">
        <f>IFERROR(VLOOKUP([1]!Tabla9[[CEDULA ]],[1]!DOMINGO[#Data],5,0),"No registró")</f>
        <v>No registró</v>
      </c>
      <c r="P278" s="359" t="str">
        <f>IFERROR(LOOKUP(2,1/([1]!DOMINGO[[CEDULA ]]=[1]!Tabla9[[#This Row],[CEDULA ]]),[1]!DOMINGO[HORA]),"No registró")</f>
        <v>No registró</v>
      </c>
      <c r="Q278" s="240" t="str">
        <f>IFERROR(VLOOKUP(A278,DATOS[],10,0),"")</f>
        <v>3. CARICUAO</v>
      </c>
    </row>
    <row r="279" spans="1:17" x14ac:dyDescent="0.25">
      <c r="A279" s="239">
        <v>15574216</v>
      </c>
      <c r="B279" s="239" t="s">
        <v>1252</v>
      </c>
      <c r="C279" s="359" t="str">
        <f>IFERROR(VLOOKUP([1]!Tabla9[[CEDULA ]],[1]!LUNES[#Data],5,0),"No registró")</f>
        <v>No registró</v>
      </c>
      <c r="D279" s="359" t="str">
        <f>IFERROR(LOOKUP(2,1/([1]!LUNES[[CEDULA ]]=[1]!Tabla9[[#This Row],[CEDULA ]]),[1]!LUNES[HORA]),"No registró")</f>
        <v>No registró</v>
      </c>
      <c r="E279" s="359">
        <f>IFERROR(VLOOKUP([1]!Tabla9[[CEDULA ]],[1]!MARTES[#Data],5,0),"No registró")</f>
        <v>0.39188657407407407</v>
      </c>
      <c r="F279" s="359">
        <f>IFERROR(LOOKUP(2,1/([1]!MARTES[[CEDULA ]]=[1]!Tabla9[[#This Row],[CEDULA ]]),[1]!MARTES[HORA]),"No Registró")</f>
        <v>0.39262731481481478</v>
      </c>
      <c r="G279" s="359">
        <f>IFERROR(VLOOKUP([1]!Tabla9[[CEDULA ]],[1]!MIERCOLES[#Data],5,0),"No registró")</f>
        <v>0.28211805555555552</v>
      </c>
      <c r="H279" s="360" t="s">
        <v>989</v>
      </c>
      <c r="I279" s="359">
        <f>IFERROR(VLOOKUP([1]!Tabla9[[CEDULA ]],[1]!JUEVES[#Data],5,0),"No Registró")</f>
        <v>0.29846064814814816</v>
      </c>
      <c r="J279" s="360" t="s">
        <v>989</v>
      </c>
      <c r="K279" s="359" t="str">
        <f>IFERROR(VLOOKUP([1]!Tabla9[[CEDULA ]],[1]!VIERNES[#Data],5,0),"No registró")</f>
        <v>No registró</v>
      </c>
      <c r="L279" s="359" t="str">
        <f>IFERROR(LOOKUP(2,1/([1]!VIERNES[[CEDULA ]]=[1]!Tabla9[[#This Row],[CEDULA ]]),[1]!VIERNES[HORA]),"No registró")</f>
        <v>No registró</v>
      </c>
      <c r="M279" s="359" t="str">
        <f>IFERROR(VLOOKUP([1]!Tabla9[[CEDULA ]],[1]!SABADO[#Data],5,0),"No registró")</f>
        <v>No registró</v>
      </c>
      <c r="N279" s="359" t="str">
        <f>IFERROR(LOOKUP(2,1/([1]!SABADO[[CEDULA ]]=[1]!Tabla9[[#This Row],[CEDULA ]]),[1]!SABADO[HORA]),"No registró")</f>
        <v>No registró</v>
      </c>
      <c r="O279" s="359">
        <f>IFERROR(VLOOKUP([1]!Tabla9[[CEDULA ]],[1]!DOMINGO[#Data],5,0),"No registró")</f>
        <v>0.28739583333333335</v>
      </c>
      <c r="P279" s="360" t="s">
        <v>989</v>
      </c>
      <c r="Q279" s="240" t="str">
        <f>IFERROR(VLOOKUP(A279,DATOS[],10,0),"")</f>
        <v>1. COCHE</v>
      </c>
    </row>
    <row r="280" spans="1:17" x14ac:dyDescent="0.25">
      <c r="A280" s="239">
        <v>15587177</v>
      </c>
      <c r="B280" s="239" t="s">
        <v>1253</v>
      </c>
      <c r="C280" s="359">
        <f>IFERROR(VLOOKUP([1]!Tabla9[[CEDULA ]],[1]!LUNES[#Data],5,0),"No registró")</f>
        <v>0.33341435185185181</v>
      </c>
      <c r="D280" s="359">
        <f>IFERROR(LOOKUP(2,1/([1]!LUNES[[CEDULA ]]=[1]!Tabla9[[#This Row],[CEDULA ]]),[1]!LUNES[HORA]),"No registró")</f>
        <v>0.54428240740740741</v>
      </c>
      <c r="E280" s="359">
        <f>IFERROR(VLOOKUP([1]!Tabla9[[CEDULA ]],[1]!MARTES[#Data],5,0),"No registró")</f>
        <v>0.31812499999999999</v>
      </c>
      <c r="F280" s="359">
        <f>IFERROR(LOOKUP(2,1/([1]!MARTES[[CEDULA ]]=[1]!Tabla9[[#This Row],[CEDULA ]]),[1]!MARTES[HORA]),"No Registró")</f>
        <v>0.49451388888888892</v>
      </c>
      <c r="G280" s="359" t="str">
        <f>IFERROR(VLOOKUP([1]!Tabla9[[CEDULA ]],[1]!MIERCOLES[#Data],5,0),"No registró")</f>
        <v>No registró</v>
      </c>
      <c r="H280" s="359" t="str">
        <f>IFERROR(LOOKUP(2,1/([1]!MIERCOLES[[CEDULA ]]=[1]!Tabla9[[#This Row],[CEDULA ]]),[1]!MIERCOLES[HORA]),"No registró")</f>
        <v>No registró</v>
      </c>
      <c r="I280" s="359" t="str">
        <f>IFERROR(VLOOKUP([1]!Tabla9[[CEDULA ]],[1]!JUEVES[#Data],5,0),"No Registró")</f>
        <v>No Registró</v>
      </c>
      <c r="J280" s="359" t="str">
        <f>IFERROR(LOOKUP(2,1/([1]!JUEVES[[CEDULA ]]=[1]!Tabla9[[#This Row],[CEDULA ]]),[1]!JUEVES[HORA]),"No registró")</f>
        <v>No registró</v>
      </c>
      <c r="K280" s="359" t="str">
        <f>IFERROR(VLOOKUP([1]!Tabla9[[CEDULA ]],[1]!VIERNES[#Data],5,0),"No registró")</f>
        <v>No registró</v>
      </c>
      <c r="L280" s="359" t="str">
        <f>IFERROR(LOOKUP(2,1/([1]!VIERNES[[CEDULA ]]=[1]!Tabla9[[#This Row],[CEDULA ]]),[1]!VIERNES[HORA]),"No registró")</f>
        <v>No registró</v>
      </c>
      <c r="M280" s="359" t="str">
        <f>IFERROR(VLOOKUP([1]!Tabla9[[CEDULA ]],[1]!SABADO[#Data],5,0),"No registró")</f>
        <v>No registró</v>
      </c>
      <c r="N280" s="359" t="str">
        <f>IFERROR(LOOKUP(2,1/([1]!SABADO[[CEDULA ]]=[1]!Tabla9[[#This Row],[CEDULA ]]),[1]!SABADO[HORA]),"No registró")</f>
        <v>No registró</v>
      </c>
      <c r="O280" s="359" t="str">
        <f>IFERROR(VLOOKUP([1]!Tabla9[[CEDULA ]],[1]!DOMINGO[#Data],5,0),"No registró")</f>
        <v>No registró</v>
      </c>
      <c r="P280" s="359" t="str">
        <f>IFERROR(LOOKUP(2,1/([1]!DOMINGO[[CEDULA ]]=[1]!Tabla9[[#This Row],[CEDULA ]]),[1]!DOMINGO[HORA]),"No registró")</f>
        <v>No registró</v>
      </c>
      <c r="Q280" s="240">
        <f>IFERROR(VLOOKUP(A280,DATOS[],10,0),"")</f>
        <v>0</v>
      </c>
    </row>
    <row r="281" spans="1:17" x14ac:dyDescent="0.25">
      <c r="A281" s="239">
        <v>15676996</v>
      </c>
      <c r="B281" s="239" t="s">
        <v>1254</v>
      </c>
      <c r="C281" s="359">
        <f>IFERROR(VLOOKUP([1]!Tabla9[[CEDULA ]],[1]!LUNES[#Data],5,0),"No registró")</f>
        <v>0.28244212962962961</v>
      </c>
      <c r="D281" s="359">
        <f>IFERROR(LOOKUP(2,1/([1]!LUNES[[CEDULA ]]=[1]!Tabla9[[#This Row],[CEDULA ]]),[1]!LUNES[HORA]),"No registró")</f>
        <v>0.66401620370370373</v>
      </c>
      <c r="E281" s="359">
        <f>IFERROR(VLOOKUP([1]!Tabla9[[CEDULA ]],[1]!MARTES[#Data],5,0),"No registró")</f>
        <v>0.31146990740740738</v>
      </c>
      <c r="F281" s="359">
        <f>IFERROR(LOOKUP(2,1/([1]!MARTES[[CEDULA ]]=[1]!Tabla9[[#This Row],[CEDULA ]]),[1]!MARTES[HORA]),"No Registró")</f>
        <v>0.56129629629629629</v>
      </c>
      <c r="G281" s="359">
        <f>IFERROR(VLOOKUP([1]!Tabla9[[CEDULA ]],[1]!MIERCOLES[#Data],5,0),"No registró")</f>
        <v>0.29804398148148148</v>
      </c>
      <c r="H281" s="359">
        <f>IFERROR(LOOKUP(2,1/([1]!MIERCOLES[[CEDULA ]]=[1]!Tabla9[[#This Row],[CEDULA ]]),[1]!MIERCOLES[HORA]),"No registró")</f>
        <v>0.48160879629629627</v>
      </c>
      <c r="I281" s="359" t="str">
        <f>IFERROR(VLOOKUP([1]!Tabla9[[CEDULA ]],[1]!JUEVES[#Data],5,0),"No Registró")</f>
        <v>No Registró</v>
      </c>
      <c r="J281" s="359" t="str">
        <f>IFERROR(LOOKUP(2,1/([1]!JUEVES[[CEDULA ]]=[1]!Tabla9[[#This Row],[CEDULA ]]),[1]!JUEVES[HORA]),"No registró")</f>
        <v>No registró</v>
      </c>
      <c r="K281" s="359" t="str">
        <f>IFERROR(VLOOKUP([1]!Tabla9[[CEDULA ]],[1]!VIERNES[#Data],5,0),"No registró")</f>
        <v>No registró</v>
      </c>
      <c r="L281" s="359" t="str">
        <f>IFERROR(LOOKUP(2,1/([1]!VIERNES[[CEDULA ]]=[1]!Tabla9[[#This Row],[CEDULA ]]),[1]!VIERNES[HORA]),"No registró")</f>
        <v>No registró</v>
      </c>
      <c r="M281" s="359" t="str">
        <f>IFERROR(VLOOKUP([1]!Tabla9[[CEDULA ]],[1]!SABADO[#Data],5,0),"No registró")</f>
        <v>No registró</v>
      </c>
      <c r="N281" s="359" t="str">
        <f>IFERROR(LOOKUP(2,1/([1]!SABADO[[CEDULA ]]=[1]!Tabla9[[#This Row],[CEDULA ]]),[1]!SABADO[HORA]),"No registró")</f>
        <v>No registró</v>
      </c>
      <c r="O281" s="359" t="str">
        <f>IFERROR(VLOOKUP([1]!Tabla9[[CEDULA ]],[1]!DOMINGO[#Data],5,0),"No registró")</f>
        <v>No registró</v>
      </c>
      <c r="P281" s="359" t="str">
        <f>IFERROR(LOOKUP(2,1/([1]!DOMINGO[[CEDULA ]]=[1]!Tabla9[[#This Row],[CEDULA ]]),[1]!DOMINGO[HORA]),"No registró")</f>
        <v>No registró</v>
      </c>
      <c r="Q281" s="240" t="str">
        <f>IFERROR(VLOOKUP(A281,DATOS[],10,0),"")</f>
        <v>3. CARICUAO</v>
      </c>
    </row>
    <row r="282" spans="1:17" x14ac:dyDescent="0.25">
      <c r="A282" s="239">
        <v>15700184</v>
      </c>
      <c r="B282" s="239" t="s">
        <v>1255</v>
      </c>
      <c r="C282" s="359">
        <f>IFERROR(VLOOKUP([1]!Tabla9[[CEDULA ]],[1]!LUNES[#Data],5,0),"No registró")</f>
        <v>0.28350694444444446</v>
      </c>
      <c r="D282" s="359">
        <f>IFERROR(LOOKUP(2,1/([1]!LUNES[[CEDULA ]]=[1]!Tabla9[[#This Row],[CEDULA ]]),[1]!LUNES[HORA]),"No registró")</f>
        <v>0.61664351851851851</v>
      </c>
      <c r="E282" s="359">
        <f>IFERROR(VLOOKUP([1]!Tabla9[[CEDULA ]],[1]!MARTES[#Data],5,0),"No registró")</f>
        <v>0.28266203703703702</v>
      </c>
      <c r="F282" s="359">
        <f>IFERROR(LOOKUP(2,1/([1]!MARTES[[CEDULA ]]=[1]!Tabla9[[#This Row],[CEDULA ]]),[1]!MARTES[HORA]),"No Registró")</f>
        <v>0.63957175925925924</v>
      </c>
      <c r="G282" s="359" t="str">
        <f>IFERROR(VLOOKUP([1]!Tabla9[[CEDULA ]],[1]!MIERCOLES[#Data],5,0),"No registró")</f>
        <v>No registró</v>
      </c>
      <c r="H282" s="359" t="str">
        <f>IFERROR(LOOKUP(2,1/([1]!MIERCOLES[[CEDULA ]]=[1]!Tabla9[[#This Row],[CEDULA ]]),[1]!MIERCOLES[HORA]),"No registró")</f>
        <v>No registró</v>
      </c>
      <c r="I282" s="359" t="str">
        <f>IFERROR(VLOOKUP([1]!Tabla9[[CEDULA ]],[1]!JUEVES[#Data],5,0),"No Registró")</f>
        <v>No Registró</v>
      </c>
      <c r="J282" s="359" t="str">
        <f>IFERROR(LOOKUP(2,1/([1]!JUEVES[[CEDULA ]]=[1]!Tabla9[[#This Row],[CEDULA ]]),[1]!JUEVES[HORA]),"No registró")</f>
        <v>No registró</v>
      </c>
      <c r="K282" s="359" t="str">
        <f>IFERROR(VLOOKUP([1]!Tabla9[[CEDULA ]],[1]!VIERNES[#Data],5,0),"No registró")</f>
        <v>No registró</v>
      </c>
      <c r="L282" s="359" t="str">
        <f>IFERROR(LOOKUP(2,1/([1]!VIERNES[[CEDULA ]]=[1]!Tabla9[[#This Row],[CEDULA ]]),[1]!VIERNES[HORA]),"No registró")</f>
        <v>No registró</v>
      </c>
      <c r="M282" s="359" t="str">
        <f>IFERROR(VLOOKUP([1]!Tabla9[[CEDULA ]],[1]!SABADO[#Data],5,0),"No registró")</f>
        <v>No registró</v>
      </c>
      <c r="N282" s="359" t="str">
        <f>IFERROR(LOOKUP(2,1/([1]!SABADO[[CEDULA ]]=[1]!Tabla9[[#This Row],[CEDULA ]]),[1]!SABADO[HORA]),"No registró")</f>
        <v>No registró</v>
      </c>
      <c r="O282" s="359" t="str">
        <f>IFERROR(VLOOKUP([1]!Tabla9[[CEDULA ]],[1]!DOMINGO[#Data],5,0),"No registró")</f>
        <v>No registró</v>
      </c>
      <c r="P282" s="359" t="str">
        <f>IFERROR(LOOKUP(2,1/([1]!DOMINGO[[CEDULA ]]=[1]!Tabla9[[#This Row],[CEDULA ]]),[1]!DOMINGO[HORA]),"No registró")</f>
        <v>No registró</v>
      </c>
      <c r="Q282" s="240" t="str">
        <f>IFERROR(VLOOKUP(A282,DATOS[],10,0),"")</f>
        <v>1. COCHE</v>
      </c>
    </row>
    <row r="283" spans="1:17" x14ac:dyDescent="0.25">
      <c r="A283" s="239">
        <v>15701100</v>
      </c>
      <c r="B283" s="239" t="s">
        <v>1256</v>
      </c>
      <c r="C283" s="359" t="str">
        <f>IFERROR(VLOOKUP([1]!Tabla9[[CEDULA ]],[1]!LUNES[#Data],5,0),"No registró")</f>
        <v>No registró</v>
      </c>
      <c r="D283" s="359" t="str">
        <f>IFERROR(LOOKUP(2,1/([1]!LUNES[[CEDULA ]]=[1]!Tabla9[[#This Row],[CEDULA ]]),[1]!LUNES[HORA]),"No registró")</f>
        <v>No registró</v>
      </c>
      <c r="E283" s="359">
        <f>IFERROR(VLOOKUP([1]!Tabla9[[CEDULA ]],[1]!MARTES[#Data],5,0),"No registró")</f>
        <v>0.2832291666666667</v>
      </c>
      <c r="F283" s="359">
        <f>IFERROR(LOOKUP(2,1/([1]!MARTES[[CEDULA ]]=[1]!Tabla9[[#This Row],[CEDULA ]]),[1]!MARTES[HORA]),"No Registró")</f>
        <v>0.55011574074074077</v>
      </c>
      <c r="G283" s="359" t="str">
        <f>IFERROR(VLOOKUP([1]!Tabla9[[CEDULA ]],[1]!MIERCOLES[#Data],5,0),"No registró")</f>
        <v>No registró</v>
      </c>
      <c r="H283" s="359" t="str">
        <f>IFERROR(LOOKUP(2,1/([1]!MIERCOLES[[CEDULA ]]=[1]!Tabla9[[#This Row],[CEDULA ]]),[1]!MIERCOLES[HORA]),"No registró")</f>
        <v>No registró</v>
      </c>
      <c r="I283" s="359" t="str">
        <f>IFERROR(VLOOKUP([1]!Tabla9[[CEDULA ]],[1]!JUEVES[#Data],5,0),"No Registró")</f>
        <v>No Registró</v>
      </c>
      <c r="J283" s="359" t="str">
        <f>IFERROR(LOOKUP(2,1/([1]!JUEVES[[CEDULA ]]=[1]!Tabla9[[#This Row],[CEDULA ]]),[1]!JUEVES[HORA]),"No registró")</f>
        <v>No registró</v>
      </c>
      <c r="K283" s="359" t="str">
        <f>IFERROR(VLOOKUP([1]!Tabla9[[CEDULA ]],[1]!VIERNES[#Data],5,0),"No registró")</f>
        <v>No registró</v>
      </c>
      <c r="L283" s="359" t="str">
        <f>IFERROR(LOOKUP(2,1/([1]!VIERNES[[CEDULA ]]=[1]!Tabla9[[#This Row],[CEDULA ]]),[1]!VIERNES[HORA]),"No registró")</f>
        <v>No registró</v>
      </c>
      <c r="M283" s="359" t="str">
        <f>IFERROR(VLOOKUP([1]!Tabla9[[CEDULA ]],[1]!SABADO[#Data],5,0),"No registró")</f>
        <v>No registró</v>
      </c>
      <c r="N283" s="359" t="str">
        <f>IFERROR(LOOKUP(2,1/([1]!SABADO[[CEDULA ]]=[1]!Tabla9[[#This Row],[CEDULA ]]),[1]!SABADO[HORA]),"No registró")</f>
        <v>No registró</v>
      </c>
      <c r="O283" s="359" t="str">
        <f>IFERROR(VLOOKUP([1]!Tabla9[[CEDULA ]],[1]!DOMINGO[#Data],5,0),"No registró")</f>
        <v>No registró</v>
      </c>
      <c r="P283" s="359" t="str">
        <f>IFERROR(LOOKUP(2,1/([1]!DOMINGO[[CEDULA ]]=[1]!Tabla9[[#This Row],[CEDULA ]]),[1]!DOMINGO[HORA]),"No registró")</f>
        <v>No registró</v>
      </c>
      <c r="Q283" s="240" t="str">
        <f>IFERROR(VLOOKUP(A283,DATOS[],10,0),"")</f>
        <v>5. GUARENAS</v>
      </c>
    </row>
    <row r="284" spans="1:17" x14ac:dyDescent="0.25">
      <c r="A284" s="239">
        <v>15724847</v>
      </c>
      <c r="B284" s="239" t="s">
        <v>1257</v>
      </c>
      <c r="C284" s="359">
        <f>IFERROR(VLOOKUP([1]!Tabla9[[CEDULA ]],[1]!LUNES[#Data],5,0),"No registró")</f>
        <v>0.30186342592592591</v>
      </c>
      <c r="D284" s="359">
        <f>IFERROR(LOOKUP(2,1/([1]!LUNES[[CEDULA ]]=[1]!Tabla9[[#This Row],[CEDULA ]]),[1]!LUNES[HORA]),"No registró")</f>
        <v>0.55584490740740744</v>
      </c>
      <c r="E284" s="359">
        <f>IFERROR(VLOOKUP([1]!Tabla9[[CEDULA ]],[1]!MARTES[#Data],5,0),"No registró")</f>
        <v>0.3197800925925926</v>
      </c>
      <c r="F284" s="359">
        <f>IFERROR(LOOKUP(2,1/([1]!MARTES[[CEDULA ]]=[1]!Tabla9[[#This Row],[CEDULA ]]),[1]!MARTES[HORA]),"No Registró")</f>
        <v>0.57826388888888891</v>
      </c>
      <c r="G284" s="359" t="str">
        <f>IFERROR(VLOOKUP([1]!Tabla9[[CEDULA ]],[1]!MIERCOLES[#Data],5,0),"No registró")</f>
        <v>No registró</v>
      </c>
      <c r="H284" s="359" t="str">
        <f>IFERROR(LOOKUP(2,1/([1]!MIERCOLES[[CEDULA ]]=[1]!Tabla9[[#This Row],[CEDULA ]]),[1]!MIERCOLES[HORA]),"No registró")</f>
        <v>No registró</v>
      </c>
      <c r="I284" s="359" t="str">
        <f>IFERROR(VLOOKUP([1]!Tabla9[[CEDULA ]],[1]!JUEVES[#Data],5,0),"No Registró")</f>
        <v>No Registró</v>
      </c>
      <c r="J284" s="359" t="str">
        <f>IFERROR(LOOKUP(2,1/([1]!JUEVES[[CEDULA ]]=[1]!Tabla9[[#This Row],[CEDULA ]]),[1]!JUEVES[HORA]),"No registró")</f>
        <v>No registró</v>
      </c>
      <c r="K284" s="359" t="str">
        <f>IFERROR(VLOOKUP([1]!Tabla9[[CEDULA ]],[1]!VIERNES[#Data],5,0),"No registró")</f>
        <v>No registró</v>
      </c>
      <c r="L284" s="359" t="str">
        <f>IFERROR(LOOKUP(2,1/([1]!VIERNES[[CEDULA ]]=[1]!Tabla9[[#This Row],[CEDULA ]]),[1]!VIERNES[HORA]),"No registró")</f>
        <v>No registró</v>
      </c>
      <c r="M284" s="359" t="str">
        <f>IFERROR(VLOOKUP([1]!Tabla9[[CEDULA ]],[1]!SABADO[#Data],5,0),"No registró")</f>
        <v>No registró</v>
      </c>
      <c r="N284" s="359" t="str">
        <f>IFERROR(LOOKUP(2,1/([1]!SABADO[[CEDULA ]]=[1]!Tabla9[[#This Row],[CEDULA ]]),[1]!SABADO[HORA]),"No registró")</f>
        <v>No registró</v>
      </c>
      <c r="O284" s="359" t="str">
        <f>IFERROR(VLOOKUP([1]!Tabla9[[CEDULA ]],[1]!DOMINGO[#Data],5,0),"No registró")</f>
        <v>No registró</v>
      </c>
      <c r="P284" s="359" t="str">
        <f>IFERROR(LOOKUP(2,1/([1]!DOMINGO[[CEDULA ]]=[1]!Tabla9[[#This Row],[CEDULA ]]),[1]!DOMINGO[HORA]),"No registró")</f>
        <v>No registró</v>
      </c>
      <c r="Q284" s="240">
        <f>IFERROR(VLOOKUP(A284,DATOS[],10,0),"")</f>
        <v>0</v>
      </c>
    </row>
    <row r="285" spans="1:17" x14ac:dyDescent="0.25">
      <c r="A285" s="239">
        <v>15870347</v>
      </c>
      <c r="B285" s="239" t="s">
        <v>1258</v>
      </c>
      <c r="C285" s="359">
        <f>IFERROR(VLOOKUP([1]!Tabla9[[CEDULA ]],[1]!LUNES[#Data],5,0),"No registró")</f>
        <v>0.2880787037037037</v>
      </c>
      <c r="D285" s="359">
        <f>IFERROR(LOOKUP(2,1/([1]!LUNES[[CEDULA ]]=[1]!Tabla9[[#This Row],[CEDULA ]]),[1]!LUNES[HORA]),"No registró")</f>
        <v>0.5596875</v>
      </c>
      <c r="E285" s="359">
        <f>IFERROR(VLOOKUP([1]!Tabla9[[CEDULA ]],[1]!MARTES[#Data],5,0),"No registró")</f>
        <v>0.32027777777777777</v>
      </c>
      <c r="F285" s="359">
        <f>IFERROR(LOOKUP(2,1/([1]!MARTES[[CEDULA ]]=[1]!Tabla9[[#This Row],[CEDULA ]]),[1]!MARTES[HORA]),"No Registró")</f>
        <v>0.56048611111111113</v>
      </c>
      <c r="G285" s="359" t="str">
        <f>IFERROR(VLOOKUP([1]!Tabla9[[CEDULA ]],[1]!MIERCOLES[#Data],5,0),"No registró")</f>
        <v>No registró</v>
      </c>
      <c r="H285" s="359" t="str">
        <f>IFERROR(LOOKUP(2,1/([1]!MIERCOLES[[CEDULA ]]=[1]!Tabla9[[#This Row],[CEDULA ]]),[1]!MIERCOLES[HORA]),"No registró")</f>
        <v>No registró</v>
      </c>
      <c r="I285" s="359" t="str">
        <f>IFERROR(VLOOKUP([1]!Tabla9[[CEDULA ]],[1]!JUEVES[#Data],5,0),"No Registró")</f>
        <v>No Registró</v>
      </c>
      <c r="J285" s="359" t="str">
        <f>IFERROR(LOOKUP(2,1/([1]!JUEVES[[CEDULA ]]=[1]!Tabla9[[#This Row],[CEDULA ]]),[1]!JUEVES[HORA]),"No registró")</f>
        <v>No registró</v>
      </c>
      <c r="K285" s="359" t="str">
        <f>IFERROR(VLOOKUP([1]!Tabla9[[CEDULA ]],[1]!VIERNES[#Data],5,0),"No registró")</f>
        <v>No registró</v>
      </c>
      <c r="L285" s="359" t="str">
        <f>IFERROR(LOOKUP(2,1/([1]!VIERNES[[CEDULA ]]=[1]!Tabla9[[#This Row],[CEDULA ]]),[1]!VIERNES[HORA]),"No registró")</f>
        <v>No registró</v>
      </c>
      <c r="M285" s="359" t="str">
        <f>IFERROR(VLOOKUP([1]!Tabla9[[CEDULA ]],[1]!SABADO[#Data],5,0),"No registró")</f>
        <v>No registró</v>
      </c>
      <c r="N285" s="359" t="str">
        <f>IFERROR(LOOKUP(2,1/([1]!SABADO[[CEDULA ]]=[1]!Tabla9[[#This Row],[CEDULA ]]),[1]!SABADO[HORA]),"No registró")</f>
        <v>No registró</v>
      </c>
      <c r="O285" s="359" t="str">
        <f>IFERROR(VLOOKUP([1]!Tabla9[[CEDULA ]],[1]!DOMINGO[#Data],5,0),"No registró")</f>
        <v>No registró</v>
      </c>
      <c r="P285" s="359" t="str">
        <f>IFERROR(LOOKUP(2,1/([1]!DOMINGO[[CEDULA ]]=[1]!Tabla9[[#This Row],[CEDULA ]]),[1]!DOMINGO[HORA]),"No registró")</f>
        <v>No registró</v>
      </c>
      <c r="Q285" s="240" t="str">
        <f>IFERROR(VLOOKUP(A285,DATOS[],10,0),"")</f>
        <v>5. GUARENAS</v>
      </c>
    </row>
    <row r="286" spans="1:17" x14ac:dyDescent="0.25">
      <c r="A286" s="239">
        <v>15886515</v>
      </c>
      <c r="B286" s="239" t="s">
        <v>1259</v>
      </c>
      <c r="C286" s="359">
        <f>IFERROR(VLOOKUP([1]!Tabla9[[CEDULA ]],[1]!LUNES[#Data],5,0),"No registró")</f>
        <v>0.2804976851851852</v>
      </c>
      <c r="D286" s="359">
        <f>IFERROR(LOOKUP(2,1/([1]!LUNES[[CEDULA ]]=[1]!Tabla9[[#This Row],[CEDULA ]]),[1]!LUNES[HORA]),"No registró")</f>
        <v>0.55890046296296292</v>
      </c>
      <c r="E286" s="359">
        <f>IFERROR(VLOOKUP([1]!Tabla9[[CEDULA ]],[1]!MARTES[#Data],5,0),"No registró")</f>
        <v>0.2603935185185185</v>
      </c>
      <c r="F286" s="359">
        <f>IFERROR(LOOKUP(2,1/([1]!MARTES[[CEDULA ]]=[1]!Tabla9[[#This Row],[CEDULA ]]),[1]!MARTES[HORA]),"No Registró")</f>
        <v>0.55796296296296299</v>
      </c>
      <c r="G286" s="359" t="str">
        <f>IFERROR(VLOOKUP([1]!Tabla9[[CEDULA ]],[1]!MIERCOLES[#Data],5,0),"No registró")</f>
        <v>No registró</v>
      </c>
      <c r="H286" s="359" t="str">
        <f>IFERROR(LOOKUP(2,1/([1]!MIERCOLES[[CEDULA ]]=[1]!Tabla9[[#This Row],[CEDULA ]]),[1]!MIERCOLES[HORA]),"No registró")</f>
        <v>No registró</v>
      </c>
      <c r="I286" s="359" t="str">
        <f>IFERROR(VLOOKUP([1]!Tabla9[[CEDULA ]],[1]!JUEVES[#Data],5,0),"No Registró")</f>
        <v>No Registró</v>
      </c>
      <c r="J286" s="359" t="str">
        <f>IFERROR(LOOKUP(2,1/([1]!JUEVES[[CEDULA ]]=[1]!Tabla9[[#This Row],[CEDULA ]]),[1]!JUEVES[HORA]),"No registró")</f>
        <v>No registró</v>
      </c>
      <c r="K286" s="359" t="str">
        <f>IFERROR(VLOOKUP([1]!Tabla9[[CEDULA ]],[1]!VIERNES[#Data],5,0),"No registró")</f>
        <v>No registró</v>
      </c>
      <c r="L286" s="359" t="str">
        <f>IFERROR(LOOKUP(2,1/([1]!VIERNES[[CEDULA ]]=[1]!Tabla9[[#This Row],[CEDULA ]]),[1]!VIERNES[HORA]),"No registró")</f>
        <v>No registró</v>
      </c>
      <c r="M286" s="359" t="str">
        <f>IFERROR(VLOOKUP([1]!Tabla9[[CEDULA ]],[1]!SABADO[#Data],5,0),"No registró")</f>
        <v>No registró</v>
      </c>
      <c r="N286" s="359" t="str">
        <f>IFERROR(LOOKUP(2,1/([1]!SABADO[[CEDULA ]]=[1]!Tabla9[[#This Row],[CEDULA ]]),[1]!SABADO[HORA]),"No registró")</f>
        <v>No registró</v>
      </c>
      <c r="O286" s="359" t="str">
        <f>IFERROR(VLOOKUP([1]!Tabla9[[CEDULA ]],[1]!DOMINGO[#Data],5,0),"No registró")</f>
        <v>No registró</v>
      </c>
      <c r="P286" s="359" t="str">
        <f>IFERROR(LOOKUP(2,1/([1]!DOMINGO[[CEDULA ]]=[1]!Tabla9[[#This Row],[CEDULA ]]),[1]!DOMINGO[HORA]),"No registró")</f>
        <v>No registró</v>
      </c>
      <c r="Q286" s="240">
        <f>IFERROR(VLOOKUP(A286,DATOS[],10,0),"")</f>
        <v>0</v>
      </c>
    </row>
    <row r="287" spans="1:17" x14ac:dyDescent="0.25">
      <c r="A287" s="239">
        <v>16083898</v>
      </c>
      <c r="B287" s="239" t="s">
        <v>1260</v>
      </c>
      <c r="C287" s="359">
        <f>IFERROR(VLOOKUP([1]!Tabla9[[CEDULA ]],[1]!LUNES[#Data],5,0),"No registró")</f>
        <v>0.29962962962962963</v>
      </c>
      <c r="D287" s="359">
        <f>IFERROR(LOOKUP(2,1/([1]!LUNES[[CEDULA ]]=[1]!Tabla9[[#This Row],[CEDULA ]]),[1]!LUNES[HORA]),"No registró")</f>
        <v>0.55648148148148147</v>
      </c>
      <c r="E287" s="359">
        <f>IFERROR(VLOOKUP([1]!Tabla9[[CEDULA ]],[1]!MARTES[#Data],5,0),"No registró")</f>
        <v>0.30371527777777779</v>
      </c>
      <c r="F287" s="359">
        <f>IFERROR(LOOKUP(2,1/([1]!MARTES[[CEDULA ]]=[1]!Tabla9[[#This Row],[CEDULA ]]),[1]!MARTES[HORA]),"No Registró")</f>
        <v>0.57890046296296294</v>
      </c>
      <c r="G287" s="359" t="str">
        <f>IFERROR(VLOOKUP([1]!Tabla9[[CEDULA ]],[1]!MIERCOLES[#Data],5,0),"No registró")</f>
        <v>No registró</v>
      </c>
      <c r="H287" s="359" t="str">
        <f>IFERROR(LOOKUP(2,1/([1]!MIERCOLES[[CEDULA ]]=[1]!Tabla9[[#This Row],[CEDULA ]]),[1]!MIERCOLES[HORA]),"No registró")</f>
        <v>No registró</v>
      </c>
      <c r="I287" s="359" t="str">
        <f>IFERROR(VLOOKUP([1]!Tabla9[[CEDULA ]],[1]!JUEVES[#Data],5,0),"No Registró")</f>
        <v>No Registró</v>
      </c>
      <c r="J287" s="359" t="str">
        <f>IFERROR(LOOKUP(2,1/([1]!JUEVES[[CEDULA ]]=[1]!Tabla9[[#This Row],[CEDULA ]]),[1]!JUEVES[HORA]),"No registró")</f>
        <v>No registró</v>
      </c>
      <c r="K287" s="359" t="str">
        <f>IFERROR(VLOOKUP([1]!Tabla9[[CEDULA ]],[1]!VIERNES[#Data],5,0),"No registró")</f>
        <v>No registró</v>
      </c>
      <c r="L287" s="359" t="str">
        <f>IFERROR(LOOKUP(2,1/([1]!VIERNES[[CEDULA ]]=[1]!Tabla9[[#This Row],[CEDULA ]]),[1]!VIERNES[HORA]),"No registró")</f>
        <v>No registró</v>
      </c>
      <c r="M287" s="359" t="str">
        <f>IFERROR(VLOOKUP([1]!Tabla9[[CEDULA ]],[1]!SABADO[#Data],5,0),"No registró")</f>
        <v>No registró</v>
      </c>
      <c r="N287" s="359" t="str">
        <f>IFERROR(LOOKUP(2,1/([1]!SABADO[[CEDULA ]]=[1]!Tabla9[[#This Row],[CEDULA ]]),[1]!SABADO[HORA]),"No registró")</f>
        <v>No registró</v>
      </c>
      <c r="O287" s="359" t="str">
        <f>IFERROR(VLOOKUP([1]!Tabla9[[CEDULA ]],[1]!DOMINGO[#Data],5,0),"No registró")</f>
        <v>No registró</v>
      </c>
      <c r="P287" s="359" t="str">
        <f>IFERROR(LOOKUP(2,1/([1]!DOMINGO[[CEDULA ]]=[1]!Tabla9[[#This Row],[CEDULA ]]),[1]!DOMINGO[HORA]),"No registró")</f>
        <v>No registró</v>
      </c>
      <c r="Q287" s="240">
        <f>IFERROR(VLOOKUP(A287,DATOS[],10,0),"")</f>
        <v>0</v>
      </c>
    </row>
    <row r="288" spans="1:17" x14ac:dyDescent="0.25">
      <c r="A288" s="239">
        <v>16084535</v>
      </c>
      <c r="B288" s="239" t="s">
        <v>1261</v>
      </c>
      <c r="C288" s="359">
        <f>IFERROR(VLOOKUP([1]!Tabla9[[CEDULA ]],[1]!LUNES[#Data],5,0),"No registró")</f>
        <v>0.33721064814814811</v>
      </c>
      <c r="D288" s="359">
        <f>IFERROR(LOOKUP(2,1/([1]!LUNES[[CEDULA ]]=[1]!Tabla9[[#This Row],[CEDULA ]]),[1]!LUNES[HORA]),"No registró")</f>
        <v>0.54170138888888886</v>
      </c>
      <c r="E288" s="359" t="str">
        <f>IFERROR(VLOOKUP([1]!Tabla9[[CEDULA ]],[1]!MARTES[#Data],5,0),"No registró")</f>
        <v>No registró</v>
      </c>
      <c r="F288" s="359" t="str">
        <f>IFERROR(LOOKUP(2,1/([1]!MARTES[[CEDULA ]]=[1]!Tabla9[[#This Row],[CEDULA ]]),[1]!MARTES[HORA]),"No Registró")</f>
        <v>No Registró</v>
      </c>
      <c r="G288" s="359" t="str">
        <f>IFERROR(VLOOKUP([1]!Tabla9[[CEDULA ]],[1]!MIERCOLES[#Data],5,0),"No registró")</f>
        <v>No registró</v>
      </c>
      <c r="H288" s="359" t="str">
        <f>IFERROR(LOOKUP(2,1/([1]!MIERCOLES[[CEDULA ]]=[1]!Tabla9[[#This Row],[CEDULA ]]),[1]!MIERCOLES[HORA]),"No registró")</f>
        <v>No registró</v>
      </c>
      <c r="I288" s="359" t="str">
        <f>IFERROR(VLOOKUP([1]!Tabla9[[CEDULA ]],[1]!JUEVES[#Data],5,0),"No Registró")</f>
        <v>No Registró</v>
      </c>
      <c r="J288" s="359" t="str">
        <f>IFERROR(LOOKUP(2,1/([1]!JUEVES[[CEDULA ]]=[1]!Tabla9[[#This Row],[CEDULA ]]),[1]!JUEVES[HORA]),"No registró")</f>
        <v>No registró</v>
      </c>
      <c r="K288" s="359" t="str">
        <f>IFERROR(VLOOKUP([1]!Tabla9[[CEDULA ]],[1]!VIERNES[#Data],5,0),"No registró")</f>
        <v>No registró</v>
      </c>
      <c r="L288" s="359" t="str">
        <f>IFERROR(LOOKUP(2,1/([1]!VIERNES[[CEDULA ]]=[1]!Tabla9[[#This Row],[CEDULA ]]),[1]!VIERNES[HORA]),"No registró")</f>
        <v>No registró</v>
      </c>
      <c r="M288" s="359" t="str">
        <f>IFERROR(VLOOKUP([1]!Tabla9[[CEDULA ]],[1]!SABADO[#Data],5,0),"No registró")</f>
        <v>No registró</v>
      </c>
      <c r="N288" s="359" t="str">
        <f>IFERROR(LOOKUP(2,1/([1]!SABADO[[CEDULA ]]=[1]!Tabla9[[#This Row],[CEDULA ]]),[1]!SABADO[HORA]),"No registró")</f>
        <v>No registró</v>
      </c>
      <c r="O288" s="359" t="str">
        <f>IFERROR(VLOOKUP([1]!Tabla9[[CEDULA ]],[1]!DOMINGO[#Data],5,0),"No registró")</f>
        <v>No registró</v>
      </c>
      <c r="P288" s="359" t="str">
        <f>IFERROR(LOOKUP(2,1/([1]!DOMINGO[[CEDULA ]]=[1]!Tabla9[[#This Row],[CEDULA ]]),[1]!DOMINGO[HORA]),"No registró")</f>
        <v>No registró</v>
      </c>
      <c r="Q288" s="240">
        <f>IFERROR(VLOOKUP(A288,DATOS[],10,0),"")</f>
        <v>0</v>
      </c>
    </row>
    <row r="289" spans="1:18" x14ac:dyDescent="0.25">
      <c r="A289" s="239">
        <v>16096799</v>
      </c>
      <c r="B289" s="239" t="s">
        <v>1262</v>
      </c>
      <c r="C289" s="359">
        <f>IFERROR(VLOOKUP([1]!Tabla9[[CEDULA ]],[1]!LUNES[#Data],5,0),"No registró")</f>
        <v>0.28826388888888888</v>
      </c>
      <c r="D289" s="359">
        <f>IFERROR(LOOKUP(2,1/([1]!LUNES[[CEDULA ]]=[1]!Tabla9[[#This Row],[CEDULA ]]),[1]!LUNES[HORA]),"No registró")</f>
        <v>0.54771990740740739</v>
      </c>
      <c r="E289" s="359">
        <f>IFERROR(VLOOKUP([1]!Tabla9[[CEDULA ]],[1]!MARTES[#Data],5,0),"No registró")</f>
        <v>0.28307870370370369</v>
      </c>
      <c r="F289" s="359">
        <f>IFERROR(LOOKUP(2,1/([1]!MARTES[[CEDULA ]]=[1]!Tabla9[[#This Row],[CEDULA ]]),[1]!MARTES[HORA]),"No Registró")</f>
        <v>0.54957175925925927</v>
      </c>
      <c r="G289" s="359" t="str">
        <f>IFERROR(VLOOKUP([1]!Tabla9[[CEDULA ]],[1]!MIERCOLES[#Data],5,0),"No registró")</f>
        <v>No registró</v>
      </c>
      <c r="H289" s="359" t="str">
        <f>IFERROR(LOOKUP(2,1/([1]!MIERCOLES[[CEDULA ]]=[1]!Tabla9[[#This Row],[CEDULA ]]),[1]!MIERCOLES[HORA]),"No registró")</f>
        <v>No registró</v>
      </c>
      <c r="I289" s="359" t="str">
        <f>IFERROR(VLOOKUP([1]!Tabla9[[CEDULA ]],[1]!JUEVES[#Data],5,0),"No Registró")</f>
        <v>No Registró</v>
      </c>
      <c r="J289" s="359" t="str">
        <f>IFERROR(LOOKUP(2,1/([1]!JUEVES[[CEDULA ]]=[1]!Tabla9[[#This Row],[CEDULA ]]),[1]!JUEVES[HORA]),"No registró")</f>
        <v>No registró</v>
      </c>
      <c r="K289" s="359" t="str">
        <f>IFERROR(VLOOKUP([1]!Tabla9[[CEDULA ]],[1]!VIERNES[#Data],5,0),"No registró")</f>
        <v>No registró</v>
      </c>
      <c r="L289" s="359" t="str">
        <f>IFERROR(LOOKUP(2,1/([1]!VIERNES[[CEDULA ]]=[1]!Tabla9[[#This Row],[CEDULA ]]),[1]!VIERNES[HORA]),"No registró")</f>
        <v>No registró</v>
      </c>
      <c r="M289" s="359" t="str">
        <f>IFERROR(VLOOKUP([1]!Tabla9[[CEDULA ]],[1]!SABADO[#Data],5,0),"No registró")</f>
        <v>No registró</v>
      </c>
      <c r="N289" s="359" t="str">
        <f>IFERROR(LOOKUP(2,1/([1]!SABADO[[CEDULA ]]=[1]!Tabla9[[#This Row],[CEDULA ]]),[1]!SABADO[HORA]),"No registró")</f>
        <v>No registró</v>
      </c>
      <c r="O289" s="359" t="str">
        <f>IFERROR(VLOOKUP([1]!Tabla9[[CEDULA ]],[1]!DOMINGO[#Data],5,0),"No registró")</f>
        <v>No registró</v>
      </c>
      <c r="P289" s="359" t="str">
        <f>IFERROR(LOOKUP(2,1/([1]!DOMINGO[[CEDULA ]]=[1]!Tabla9[[#This Row],[CEDULA ]]),[1]!DOMINGO[HORA]),"No registró")</f>
        <v>No registró</v>
      </c>
      <c r="Q289" s="240" t="str">
        <f>IFERROR(VLOOKUP(A289,DATOS[],10,0),"")</f>
        <v>5. GUARENAS</v>
      </c>
    </row>
    <row r="290" spans="1:18" x14ac:dyDescent="0.25">
      <c r="A290" s="239">
        <v>16380240</v>
      </c>
      <c r="B290" s="239" t="s">
        <v>1263</v>
      </c>
      <c r="C290" s="359">
        <f>IFERROR(VLOOKUP([1]!Tabla9[[CEDULA ]],[1]!LUNES[#Data],5,0),"No registró")</f>
        <v>0.31090277777777781</v>
      </c>
      <c r="D290" s="359">
        <f>IFERROR(LOOKUP(2,1/([1]!LUNES[[CEDULA ]]=[1]!Tabla9[[#This Row],[CEDULA ]]),[1]!LUNES[HORA]),"No registró")</f>
        <v>0.56913194444444437</v>
      </c>
      <c r="E290" s="359">
        <f>IFERROR(VLOOKUP([1]!Tabla9[[CEDULA ]],[1]!MARTES[#Data],5,0),"No registró")</f>
        <v>0.30436342592592591</v>
      </c>
      <c r="F290" s="359">
        <f>IFERROR(LOOKUP(2,1/([1]!MARTES[[CEDULA ]]=[1]!Tabla9[[#This Row],[CEDULA ]]),[1]!MARTES[HORA]),"No Registró")</f>
        <v>0.56586805555555553</v>
      </c>
      <c r="G290" s="359" t="str">
        <f>IFERROR(VLOOKUP([1]!Tabla9[[CEDULA ]],[1]!MIERCOLES[#Data],5,0),"No registró")</f>
        <v>No registró</v>
      </c>
      <c r="H290" s="359" t="str">
        <f>IFERROR(LOOKUP(2,1/([1]!MIERCOLES[[CEDULA ]]=[1]!Tabla9[[#This Row],[CEDULA ]]),[1]!MIERCOLES[HORA]),"No registró")</f>
        <v>No registró</v>
      </c>
      <c r="I290" s="359" t="str">
        <f>IFERROR(VLOOKUP([1]!Tabla9[[CEDULA ]],[1]!JUEVES[#Data],5,0),"No Registró")</f>
        <v>No Registró</v>
      </c>
      <c r="J290" s="359" t="str">
        <f>IFERROR(LOOKUP(2,1/([1]!JUEVES[[CEDULA ]]=[1]!Tabla9[[#This Row],[CEDULA ]]),[1]!JUEVES[HORA]),"No registró")</f>
        <v>No registró</v>
      </c>
      <c r="K290" s="359" t="str">
        <f>IFERROR(VLOOKUP([1]!Tabla9[[CEDULA ]],[1]!VIERNES[#Data],5,0),"No registró")</f>
        <v>No registró</v>
      </c>
      <c r="L290" s="359" t="str">
        <f>IFERROR(LOOKUP(2,1/([1]!VIERNES[[CEDULA ]]=[1]!Tabla9[[#This Row],[CEDULA ]]),[1]!VIERNES[HORA]),"No registró")</f>
        <v>No registró</v>
      </c>
      <c r="M290" s="359" t="str">
        <f>IFERROR(VLOOKUP([1]!Tabla9[[CEDULA ]],[1]!SABADO[#Data],5,0),"No registró")</f>
        <v>No registró</v>
      </c>
      <c r="N290" s="359" t="str">
        <f>IFERROR(LOOKUP(2,1/([1]!SABADO[[CEDULA ]]=[1]!Tabla9[[#This Row],[CEDULA ]]),[1]!SABADO[HORA]),"No registró")</f>
        <v>No registró</v>
      </c>
      <c r="O290" s="359" t="str">
        <f>IFERROR(VLOOKUP([1]!Tabla9[[CEDULA ]],[1]!DOMINGO[#Data],5,0),"No registró")</f>
        <v>No registró</v>
      </c>
      <c r="P290" s="359" t="str">
        <f>IFERROR(LOOKUP(2,1/([1]!DOMINGO[[CEDULA ]]=[1]!Tabla9[[#This Row],[CEDULA ]]),[1]!DOMINGO[HORA]),"No registró")</f>
        <v>No registró</v>
      </c>
      <c r="Q290" s="240">
        <f>IFERROR(VLOOKUP(A290,DATOS[],10,0),"")</f>
        <v>0</v>
      </c>
    </row>
    <row r="291" spans="1:18" x14ac:dyDescent="0.25">
      <c r="A291" s="239">
        <v>16412133</v>
      </c>
      <c r="B291" s="239" t="s">
        <v>1264</v>
      </c>
      <c r="C291" s="359">
        <f>IFERROR(VLOOKUP([1]!Tabla9[[CEDULA ]],[1]!LUNES[#Data],5,0),"No registró")</f>
        <v>0.27960648148148148</v>
      </c>
      <c r="D291" s="359">
        <f>IFERROR(LOOKUP(2,1/([1]!LUNES[[CEDULA ]]=[1]!Tabla9[[#This Row],[CEDULA ]]),[1]!LUNES[HORA]),"No registró")</f>
        <v>0.55322916666666666</v>
      </c>
      <c r="E291" s="359">
        <f>IFERROR(VLOOKUP([1]!Tabla9[[CEDULA ]],[1]!MARTES[#Data],5,0),"No registró")</f>
        <v>0.27782407407407406</v>
      </c>
      <c r="F291" s="359">
        <f>IFERROR(LOOKUP(2,1/([1]!MARTES[[CEDULA ]]=[1]!Tabla9[[#This Row],[CEDULA ]]),[1]!MARTES[HORA]),"No Registró")</f>
        <v>0.55261574074074071</v>
      </c>
      <c r="G291" s="359" t="str">
        <f>IFERROR(VLOOKUP([1]!Tabla9[[CEDULA ]],[1]!MIERCOLES[#Data],5,0),"No registró")</f>
        <v>No registró</v>
      </c>
      <c r="H291" s="359" t="str">
        <f>IFERROR(LOOKUP(2,1/([1]!MIERCOLES[[CEDULA ]]=[1]!Tabla9[[#This Row],[CEDULA ]]),[1]!MIERCOLES[HORA]),"No registró")</f>
        <v>No registró</v>
      </c>
      <c r="I291" s="359" t="str">
        <f>IFERROR(VLOOKUP([1]!Tabla9[[CEDULA ]],[1]!JUEVES[#Data],5,0),"No Registró")</f>
        <v>No Registró</v>
      </c>
      <c r="J291" s="359" t="str">
        <f>IFERROR(LOOKUP(2,1/([1]!JUEVES[[CEDULA ]]=[1]!Tabla9[[#This Row],[CEDULA ]]),[1]!JUEVES[HORA]),"No registró")</f>
        <v>No registró</v>
      </c>
      <c r="K291" s="359" t="str">
        <f>IFERROR(VLOOKUP([1]!Tabla9[[CEDULA ]],[1]!VIERNES[#Data],5,0),"No registró")</f>
        <v>No registró</v>
      </c>
      <c r="L291" s="359" t="str">
        <f>IFERROR(LOOKUP(2,1/([1]!VIERNES[[CEDULA ]]=[1]!Tabla9[[#This Row],[CEDULA ]]),[1]!VIERNES[HORA]),"No registró")</f>
        <v>No registró</v>
      </c>
      <c r="M291" s="359" t="str">
        <f>IFERROR(VLOOKUP([1]!Tabla9[[CEDULA ]],[1]!SABADO[#Data],5,0),"No registró")</f>
        <v>No registró</v>
      </c>
      <c r="N291" s="359" t="str">
        <f>IFERROR(LOOKUP(2,1/([1]!SABADO[[CEDULA ]]=[1]!Tabla9[[#This Row],[CEDULA ]]),[1]!SABADO[HORA]),"No registró")</f>
        <v>No registró</v>
      </c>
      <c r="O291" s="359" t="str">
        <f>IFERROR(VLOOKUP([1]!Tabla9[[CEDULA ]],[1]!DOMINGO[#Data],5,0),"No registró")</f>
        <v>No registró</v>
      </c>
      <c r="P291" s="359" t="str">
        <f>IFERROR(LOOKUP(2,1/([1]!DOMINGO[[CEDULA ]]=[1]!Tabla9[[#This Row],[CEDULA ]]),[1]!DOMINGO[HORA]),"No registró")</f>
        <v>No registró</v>
      </c>
      <c r="Q291" s="240" t="str">
        <f>IFERROR(VLOOKUP(A291,DATOS[],10,0),"")</f>
        <v>1. COCHE</v>
      </c>
    </row>
    <row r="292" spans="1:18" x14ac:dyDescent="0.25">
      <c r="A292" s="239">
        <v>16413606</v>
      </c>
      <c r="B292" s="239" t="s">
        <v>1265</v>
      </c>
      <c r="C292" s="359">
        <f>IFERROR(VLOOKUP([1]!Tabla9[[CEDULA ]],[1]!LUNES[#Data],5,0),"No registró")</f>
        <v>0.32854166666666668</v>
      </c>
      <c r="D292" s="359">
        <f>IFERROR(LOOKUP(2,1/([1]!LUNES[[CEDULA ]]=[1]!Tabla9[[#This Row],[CEDULA ]]),[1]!LUNES[HORA]),"No registró")</f>
        <v>0.55528935185185191</v>
      </c>
      <c r="E292" s="359">
        <f>IFERROR(VLOOKUP([1]!Tabla9[[CEDULA ]],[1]!MARTES[#Data],5,0),"No registró")</f>
        <v>0.33238425925925924</v>
      </c>
      <c r="F292" s="359">
        <f>IFERROR(LOOKUP(2,1/([1]!MARTES[[CEDULA ]]=[1]!Tabla9[[#This Row],[CEDULA ]]),[1]!MARTES[HORA]),"No Registró")</f>
        <v>0.55718750000000006</v>
      </c>
      <c r="G292" s="359" t="str">
        <f>IFERROR(VLOOKUP([1]!Tabla9[[CEDULA ]],[1]!MIERCOLES[#Data],5,0),"No registró")</f>
        <v>No registró</v>
      </c>
      <c r="H292" s="359" t="str">
        <f>IFERROR(LOOKUP(2,1/([1]!MIERCOLES[[CEDULA ]]=[1]!Tabla9[[#This Row],[CEDULA ]]),[1]!MIERCOLES[HORA]),"No registró")</f>
        <v>No registró</v>
      </c>
      <c r="I292" s="359" t="str">
        <f>IFERROR(VLOOKUP([1]!Tabla9[[CEDULA ]],[1]!JUEVES[#Data],5,0),"No Registró")</f>
        <v>No Registró</v>
      </c>
      <c r="J292" s="359" t="str">
        <f>IFERROR(LOOKUP(2,1/([1]!JUEVES[[CEDULA ]]=[1]!Tabla9[[#This Row],[CEDULA ]]),[1]!JUEVES[HORA]),"No registró")</f>
        <v>No registró</v>
      </c>
      <c r="K292" s="359" t="str">
        <f>IFERROR(VLOOKUP([1]!Tabla9[[CEDULA ]],[1]!VIERNES[#Data],5,0),"No registró")</f>
        <v>No registró</v>
      </c>
      <c r="L292" s="359" t="str">
        <f>IFERROR(LOOKUP(2,1/([1]!VIERNES[[CEDULA ]]=[1]!Tabla9[[#This Row],[CEDULA ]]),[1]!VIERNES[HORA]),"No registró")</f>
        <v>No registró</v>
      </c>
      <c r="M292" s="359" t="str">
        <f>IFERROR(VLOOKUP([1]!Tabla9[[CEDULA ]],[1]!SABADO[#Data],5,0),"No registró")</f>
        <v>No registró</v>
      </c>
      <c r="N292" s="359" t="str">
        <f>IFERROR(LOOKUP(2,1/([1]!SABADO[[CEDULA ]]=[1]!Tabla9[[#This Row],[CEDULA ]]),[1]!SABADO[HORA]),"No registró")</f>
        <v>No registró</v>
      </c>
      <c r="O292" s="359" t="str">
        <f>IFERROR(VLOOKUP([1]!Tabla9[[CEDULA ]],[1]!DOMINGO[#Data],5,0),"No registró")</f>
        <v>No registró</v>
      </c>
      <c r="P292" s="359" t="str">
        <f>IFERROR(LOOKUP(2,1/([1]!DOMINGO[[CEDULA ]]=[1]!Tabla9[[#This Row],[CEDULA ]]),[1]!DOMINGO[HORA]),"No registró")</f>
        <v>No registró</v>
      </c>
      <c r="Q292" s="240">
        <f>IFERROR(VLOOKUP(A292,DATOS[],10,0),"")</f>
        <v>0</v>
      </c>
    </row>
    <row r="293" spans="1:18" x14ac:dyDescent="0.25">
      <c r="A293" s="239">
        <v>16430124</v>
      </c>
      <c r="B293" s="239" t="s">
        <v>1266</v>
      </c>
      <c r="C293" s="359">
        <f>IFERROR(VLOOKUP([1]!Tabla9[[CEDULA ]],[1]!LUNES[#Data],5,0),"No registró")</f>
        <v>0.32168981481481479</v>
      </c>
      <c r="D293" s="359">
        <f>IFERROR(LOOKUP(2,1/([1]!LUNES[[CEDULA ]]=[1]!Tabla9[[#This Row],[CEDULA ]]),[1]!LUNES[HORA]),"No registró")</f>
        <v>0.5835069444444444</v>
      </c>
      <c r="E293" s="359">
        <f>IFERROR(VLOOKUP([1]!Tabla9[[CEDULA ]],[1]!MARTES[#Data],5,0),"No registró")</f>
        <v>0.31878472222222221</v>
      </c>
      <c r="F293" s="359">
        <f>IFERROR(LOOKUP(2,1/([1]!MARTES[[CEDULA ]]=[1]!Tabla9[[#This Row],[CEDULA ]]),[1]!MARTES[HORA]),"No Registró")</f>
        <v>0.67287037037037034</v>
      </c>
      <c r="G293" s="359" t="str">
        <f>IFERROR(VLOOKUP([1]!Tabla9[[CEDULA ]],[1]!MIERCOLES[#Data],5,0),"No registró")</f>
        <v>No registró</v>
      </c>
      <c r="H293" s="359" t="str">
        <f>IFERROR(LOOKUP(2,1/([1]!MIERCOLES[[CEDULA ]]=[1]!Tabla9[[#This Row],[CEDULA ]]),[1]!MIERCOLES[HORA]),"No registró")</f>
        <v>No registró</v>
      </c>
      <c r="I293" s="359" t="str">
        <f>IFERROR(VLOOKUP([1]!Tabla9[[CEDULA ]],[1]!JUEVES[#Data],5,0),"No Registró")</f>
        <v>No Registró</v>
      </c>
      <c r="J293" s="359" t="str">
        <f>IFERROR(LOOKUP(2,1/([1]!JUEVES[[CEDULA ]]=[1]!Tabla9[[#This Row],[CEDULA ]]),[1]!JUEVES[HORA]),"No registró")</f>
        <v>No registró</v>
      </c>
      <c r="K293" s="359" t="str">
        <f>IFERROR(VLOOKUP([1]!Tabla9[[CEDULA ]],[1]!VIERNES[#Data],5,0),"No registró")</f>
        <v>No registró</v>
      </c>
      <c r="L293" s="359" t="str">
        <f>IFERROR(LOOKUP(2,1/([1]!VIERNES[[CEDULA ]]=[1]!Tabla9[[#This Row],[CEDULA ]]),[1]!VIERNES[HORA]),"No registró")</f>
        <v>No registró</v>
      </c>
      <c r="M293" s="359" t="str">
        <f>IFERROR(VLOOKUP([1]!Tabla9[[CEDULA ]],[1]!SABADO[#Data],5,0),"No registró")</f>
        <v>No registró</v>
      </c>
      <c r="N293" s="359" t="str">
        <f>IFERROR(LOOKUP(2,1/([1]!SABADO[[CEDULA ]]=[1]!Tabla9[[#This Row],[CEDULA ]]),[1]!SABADO[HORA]),"No registró")</f>
        <v>No registró</v>
      </c>
      <c r="O293" s="359" t="str">
        <f>IFERROR(VLOOKUP([1]!Tabla9[[CEDULA ]],[1]!DOMINGO[#Data],5,0),"No registró")</f>
        <v>No registró</v>
      </c>
      <c r="P293" s="359" t="str">
        <f>IFERROR(LOOKUP(2,1/([1]!DOMINGO[[CEDULA ]]=[1]!Tabla9[[#This Row],[CEDULA ]]),[1]!DOMINGO[HORA]),"No registró")</f>
        <v>No registró</v>
      </c>
      <c r="Q293" s="240">
        <f>IFERROR(VLOOKUP(A293,DATOS[],10,0),"")</f>
        <v>0</v>
      </c>
    </row>
    <row r="294" spans="1:18" x14ac:dyDescent="0.25">
      <c r="A294" s="239">
        <v>16452265</v>
      </c>
      <c r="B294" s="239" t="s">
        <v>1267</v>
      </c>
      <c r="C294" s="359" t="str">
        <f>IFERROR(VLOOKUP([1]!Tabla9[[CEDULA ]],[1]!LUNES[#Data],5,0),"No registró")</f>
        <v>No registró</v>
      </c>
      <c r="D294" s="359" t="str">
        <f>IFERROR(LOOKUP(2,1/([1]!LUNES[[CEDULA ]]=[1]!Tabla9[[#This Row],[CEDULA ]]),[1]!LUNES[HORA]),"No registró")</f>
        <v>No registró</v>
      </c>
      <c r="E294" s="359" t="str">
        <f>IFERROR(VLOOKUP([1]!Tabla9[[CEDULA ]],[1]!MARTES[#Data],5,0),"No registró")</f>
        <v>No registró</v>
      </c>
      <c r="F294" s="359" t="str">
        <f>IFERROR(LOOKUP(2,1/([1]!MARTES[[CEDULA ]]=[1]!Tabla9[[#This Row],[CEDULA ]]),[1]!MARTES[HORA]),"No Registró")</f>
        <v>No Registró</v>
      </c>
      <c r="G294" s="359" t="str">
        <f>IFERROR(VLOOKUP([1]!Tabla9[[CEDULA ]],[1]!MIERCOLES[#Data],5,0),"No registró")</f>
        <v>No registró</v>
      </c>
      <c r="H294" s="359" t="str">
        <f>IFERROR(LOOKUP(2,1/([1]!MIERCOLES[[CEDULA ]]=[1]!Tabla9[[#This Row],[CEDULA ]]),[1]!MIERCOLES[HORA]),"No registró")</f>
        <v>No registró</v>
      </c>
      <c r="I294" s="359" t="str">
        <f>IFERROR(VLOOKUP([1]!Tabla9[[CEDULA ]],[1]!JUEVES[#Data],5,0),"No Registró")</f>
        <v>No Registró</v>
      </c>
      <c r="J294" s="359" t="str">
        <f>IFERROR(LOOKUP(2,1/([1]!JUEVES[[CEDULA ]]=[1]!Tabla9[[#This Row],[CEDULA ]]),[1]!JUEVES[HORA]),"No registró")</f>
        <v>No registró</v>
      </c>
      <c r="K294" s="359" t="str">
        <f>IFERROR(VLOOKUP([1]!Tabla9[[CEDULA ]],[1]!VIERNES[#Data],5,0),"No registró")</f>
        <v>No registró</v>
      </c>
      <c r="L294" s="359" t="str">
        <f>IFERROR(LOOKUP(2,1/([1]!VIERNES[[CEDULA ]]=[1]!Tabla9[[#This Row],[CEDULA ]]),[1]!VIERNES[HORA]),"No registró")</f>
        <v>No registró</v>
      </c>
      <c r="M294" s="359" t="str">
        <f>IFERROR(VLOOKUP([1]!Tabla9[[CEDULA ]],[1]!SABADO[#Data],5,0),"No registró")</f>
        <v>No registró</v>
      </c>
      <c r="N294" s="359" t="str">
        <f>IFERROR(LOOKUP(2,1/([1]!SABADO[[CEDULA ]]=[1]!Tabla9[[#This Row],[CEDULA ]]),[1]!SABADO[HORA]),"No registró")</f>
        <v>No registró</v>
      </c>
      <c r="O294" s="359">
        <f>IFERROR(VLOOKUP([1]!Tabla9[[CEDULA ]],[1]!DOMINGO[#Data],5,0),"No registró")</f>
        <v>0.37877314814814816</v>
      </c>
      <c r="P294" s="359">
        <f>IFERROR(LOOKUP(2,1/([1]!DOMINGO[[CEDULA ]]=[1]!Tabla9[[#This Row],[CEDULA ]]),[1]!DOMINGO[HORA]),"No registró")</f>
        <v>0.87055555555555564</v>
      </c>
      <c r="Q294" s="240">
        <f>IFERROR(VLOOKUP(A294,DATOS[],10,0),"")</f>
        <v>0</v>
      </c>
    </row>
    <row r="295" spans="1:18" s="24" customFormat="1" x14ac:dyDescent="0.25">
      <c r="A295" s="239">
        <v>16452687</v>
      </c>
      <c r="B295" s="239" t="s">
        <v>1268</v>
      </c>
      <c r="C295" s="359">
        <f>IFERROR(VLOOKUP([1]!Tabla9[[CEDULA ]],[1]!LUNES[#Data],5,0),"No registró")</f>
        <v>0.28190972222222221</v>
      </c>
      <c r="D295" s="359">
        <f>IFERROR(LOOKUP(2,1/([1]!LUNES[[CEDULA ]]=[1]!Tabla9[[#This Row],[CEDULA ]]),[1]!LUNES[HORA]),"No registró")</f>
        <v>0.38337962962962963</v>
      </c>
      <c r="E295" s="359">
        <f>IFERROR(VLOOKUP([1]!Tabla9[[CEDULA ]],[1]!MARTES[#Data],5,0),"No registró")</f>
        <v>0.28219907407407407</v>
      </c>
      <c r="F295" s="359">
        <f>IFERROR(LOOKUP(2,1/([1]!MARTES[[CEDULA ]]=[1]!Tabla9[[#This Row],[CEDULA ]]),[1]!MARTES[HORA]),"No Registró")</f>
        <v>0.33753472222222225</v>
      </c>
      <c r="G295" s="359" t="str">
        <f>IFERROR(VLOOKUP([1]!Tabla9[[CEDULA ]],[1]!MIERCOLES[#Data],5,0),"No registró")</f>
        <v>No registró</v>
      </c>
      <c r="H295" s="359" t="str">
        <f>IFERROR(LOOKUP(2,1/([1]!MIERCOLES[[CEDULA ]]=[1]!Tabla9[[#This Row],[CEDULA ]]),[1]!MIERCOLES[HORA]),"No registró")</f>
        <v>No registró</v>
      </c>
      <c r="I295" s="359" t="str">
        <f>IFERROR(VLOOKUP([1]!Tabla9[[CEDULA ]],[1]!JUEVES[#Data],5,0),"No Registró")</f>
        <v>No Registró</v>
      </c>
      <c r="J295" s="359" t="str">
        <f>IFERROR(LOOKUP(2,1/([1]!JUEVES[[CEDULA ]]=[1]!Tabla9[[#This Row],[CEDULA ]]),[1]!JUEVES[HORA]),"No registró")</f>
        <v>No registró</v>
      </c>
      <c r="K295" s="359" t="str">
        <f>IFERROR(VLOOKUP([1]!Tabla9[[CEDULA ]],[1]!VIERNES[#Data],5,0),"No registró")</f>
        <v>No registró</v>
      </c>
      <c r="L295" s="359" t="str">
        <f>IFERROR(LOOKUP(2,1/([1]!VIERNES[[CEDULA ]]=[1]!Tabla9[[#This Row],[CEDULA ]]),[1]!VIERNES[HORA]),"No registró")</f>
        <v>No registró</v>
      </c>
      <c r="M295" s="359" t="str">
        <f>IFERROR(VLOOKUP([1]!Tabla9[[CEDULA ]],[1]!SABADO[#Data],5,0),"No registró")</f>
        <v>No registró</v>
      </c>
      <c r="N295" s="359" t="str">
        <f>IFERROR(LOOKUP(2,1/([1]!SABADO[[CEDULA ]]=[1]!Tabla9[[#This Row],[CEDULA ]]),[1]!SABADO[HORA]),"No registró")</f>
        <v>No registró</v>
      </c>
      <c r="O295" s="359" t="str">
        <f>IFERROR(VLOOKUP([1]!Tabla9[[CEDULA ]],[1]!DOMINGO[#Data],5,0),"No registró")</f>
        <v>No registró</v>
      </c>
      <c r="P295" s="359" t="str">
        <f>IFERROR(LOOKUP(2,1/([1]!DOMINGO[[CEDULA ]]=[1]!Tabla9[[#This Row],[CEDULA ]]),[1]!DOMINGO[HORA]),"No registró")</f>
        <v>No registró</v>
      </c>
      <c r="Q295" s="240" t="str">
        <f>IFERROR(VLOOKUP(A295,DATOS[],10,0),"")</f>
        <v>3. CARICUAO</v>
      </c>
      <c r="R295" s="139"/>
    </row>
    <row r="296" spans="1:18" x14ac:dyDescent="0.25">
      <c r="A296" s="239">
        <v>16524777</v>
      </c>
      <c r="B296" s="239" t="s">
        <v>1269</v>
      </c>
      <c r="C296" s="359">
        <f>IFERROR(VLOOKUP([1]!Tabla9[[CEDULA ]],[1]!LUNES[#Data],5,0),"No registró")</f>
        <v>0.28046296296296297</v>
      </c>
      <c r="D296" s="359">
        <f>IFERROR(LOOKUP(2,1/([1]!LUNES[[CEDULA ]]=[1]!Tabla9[[#This Row],[CEDULA ]]),[1]!LUNES[HORA]),"No registró")</f>
        <v>0.55328703703703697</v>
      </c>
      <c r="E296" s="359">
        <f>IFERROR(VLOOKUP([1]!Tabla9[[CEDULA ]],[1]!MARTES[#Data],5,0),"No registró")</f>
        <v>0.28675925925925927</v>
      </c>
      <c r="F296" s="359">
        <f>IFERROR(LOOKUP(2,1/([1]!MARTES[[CEDULA ]]=[1]!Tabla9[[#This Row],[CEDULA ]]),[1]!MARTES[HORA]),"No Registró")</f>
        <v>0.54202546296296295</v>
      </c>
      <c r="G296" s="359" t="str">
        <f>IFERROR(VLOOKUP([1]!Tabla9[[CEDULA ]],[1]!MIERCOLES[#Data],5,0),"No registró")</f>
        <v>No registró</v>
      </c>
      <c r="H296" s="359" t="str">
        <f>IFERROR(LOOKUP(2,1/([1]!MIERCOLES[[CEDULA ]]=[1]!Tabla9[[#This Row],[CEDULA ]]),[1]!MIERCOLES[HORA]),"No registró")</f>
        <v>No registró</v>
      </c>
      <c r="I296" s="359" t="str">
        <f>IFERROR(VLOOKUP([1]!Tabla9[[CEDULA ]],[1]!JUEVES[#Data],5,0),"No Registró")</f>
        <v>No Registró</v>
      </c>
      <c r="J296" s="359" t="str">
        <f>IFERROR(LOOKUP(2,1/([1]!JUEVES[[CEDULA ]]=[1]!Tabla9[[#This Row],[CEDULA ]]),[1]!JUEVES[HORA]),"No registró")</f>
        <v>No registró</v>
      </c>
      <c r="K296" s="359" t="str">
        <f>IFERROR(VLOOKUP([1]!Tabla9[[CEDULA ]],[1]!VIERNES[#Data],5,0),"No registró")</f>
        <v>No registró</v>
      </c>
      <c r="L296" s="359" t="str">
        <f>IFERROR(LOOKUP(2,1/([1]!VIERNES[[CEDULA ]]=[1]!Tabla9[[#This Row],[CEDULA ]]),[1]!VIERNES[HORA]),"No registró")</f>
        <v>No registró</v>
      </c>
      <c r="M296" s="359" t="str">
        <f>IFERROR(VLOOKUP([1]!Tabla9[[CEDULA ]],[1]!SABADO[#Data],5,0),"No registró")</f>
        <v>No registró</v>
      </c>
      <c r="N296" s="359" t="str">
        <f>IFERROR(LOOKUP(2,1/([1]!SABADO[[CEDULA ]]=[1]!Tabla9[[#This Row],[CEDULA ]]),[1]!SABADO[HORA]),"No registró")</f>
        <v>No registró</v>
      </c>
      <c r="O296" s="359" t="str">
        <f>IFERROR(VLOOKUP([1]!Tabla9[[CEDULA ]],[1]!DOMINGO[#Data],5,0),"No registró")</f>
        <v>No registró</v>
      </c>
      <c r="P296" s="359" t="str">
        <f>IFERROR(LOOKUP(2,1/([1]!DOMINGO[[CEDULA ]]=[1]!Tabla9[[#This Row],[CEDULA ]]),[1]!DOMINGO[HORA]),"No registró")</f>
        <v>No registró</v>
      </c>
      <c r="Q296" s="240" t="str">
        <f>IFERROR(VLOOKUP(A296,DATOS[],10,0),"")</f>
        <v>2. CATIA</v>
      </c>
    </row>
    <row r="297" spans="1:18" x14ac:dyDescent="0.25">
      <c r="A297" s="239">
        <v>16557897</v>
      </c>
      <c r="B297" s="239" t="s">
        <v>1270</v>
      </c>
      <c r="C297" s="359">
        <f>IFERROR(VLOOKUP([1]!Tabla9[[CEDULA ]],[1]!LUNES[#Data],5,0),"No registró")</f>
        <v>0.2785069444444444</v>
      </c>
      <c r="D297" s="359">
        <f>IFERROR(LOOKUP(2,1/([1]!LUNES[[CEDULA ]]=[1]!Tabla9[[#This Row],[CEDULA ]]),[1]!LUNES[HORA]),"No registró")</f>
        <v>0.55251157407407414</v>
      </c>
      <c r="E297" s="359">
        <f>IFERROR(VLOOKUP([1]!Tabla9[[CEDULA ]],[1]!MARTES[#Data],5,0),"No registró")</f>
        <v>0.27769675925925924</v>
      </c>
      <c r="F297" s="359">
        <f>IFERROR(LOOKUP(2,1/([1]!MARTES[[CEDULA ]]=[1]!Tabla9[[#This Row],[CEDULA ]]),[1]!MARTES[HORA]),"No Registró")</f>
        <v>0.55049768518518516</v>
      </c>
      <c r="G297" s="359" t="str">
        <f>IFERROR(VLOOKUP([1]!Tabla9[[CEDULA ]],[1]!MIERCOLES[#Data],5,0),"No registró")</f>
        <v>No registró</v>
      </c>
      <c r="H297" s="359" t="str">
        <f>IFERROR(LOOKUP(2,1/([1]!MIERCOLES[[CEDULA ]]=[1]!Tabla9[[#This Row],[CEDULA ]]),[1]!MIERCOLES[HORA]),"No registró")</f>
        <v>No registró</v>
      </c>
      <c r="I297" s="359" t="str">
        <f>IFERROR(VLOOKUP([1]!Tabla9[[CEDULA ]],[1]!JUEVES[#Data],5,0),"No Registró")</f>
        <v>No Registró</v>
      </c>
      <c r="J297" s="359" t="str">
        <f>IFERROR(LOOKUP(2,1/([1]!JUEVES[[CEDULA ]]=[1]!Tabla9[[#This Row],[CEDULA ]]),[1]!JUEVES[HORA]),"No registró")</f>
        <v>No registró</v>
      </c>
      <c r="K297" s="359" t="str">
        <f>IFERROR(VLOOKUP([1]!Tabla9[[CEDULA ]],[1]!VIERNES[#Data],5,0),"No registró")</f>
        <v>No registró</v>
      </c>
      <c r="L297" s="359" t="str">
        <f>IFERROR(LOOKUP(2,1/([1]!VIERNES[[CEDULA ]]=[1]!Tabla9[[#This Row],[CEDULA ]]),[1]!VIERNES[HORA]),"No registró")</f>
        <v>No registró</v>
      </c>
      <c r="M297" s="359">
        <f>IFERROR(VLOOKUP([1]!Tabla9[[CEDULA ]],[1]!SABADO[#Data],5,0),"No registró")</f>
        <v>0.3041550925925926</v>
      </c>
      <c r="N297" s="359">
        <f>IFERROR(LOOKUP(2,1/([1]!SABADO[[CEDULA ]]=[1]!Tabla9[[#This Row],[CEDULA ]]),[1]!SABADO[HORA]),"No registró")</f>
        <v>0.53851851851851851</v>
      </c>
      <c r="O297" s="359" t="str">
        <f>IFERROR(VLOOKUP([1]!Tabla9[[CEDULA ]],[1]!DOMINGO[#Data],5,0),"No registró")</f>
        <v>No registró</v>
      </c>
      <c r="P297" s="359" t="str">
        <f>IFERROR(LOOKUP(2,1/([1]!DOMINGO[[CEDULA ]]=[1]!Tabla9[[#This Row],[CEDULA ]]),[1]!DOMINGO[HORA]),"No registró")</f>
        <v>No registró</v>
      </c>
      <c r="Q297" s="240" t="str">
        <f>IFERROR(VLOOKUP(A297,DATOS[],10,0),"")</f>
        <v>1. COCHE</v>
      </c>
    </row>
    <row r="298" spans="1:18" x14ac:dyDescent="0.25">
      <c r="A298" s="239">
        <v>16682490</v>
      </c>
      <c r="B298" s="239" t="s">
        <v>1271</v>
      </c>
      <c r="C298" s="359">
        <f>IFERROR(VLOOKUP([1]!Tabla9[[CEDULA ]],[1]!LUNES[#Data],5,0),"No registró")</f>
        <v>0.31158564814814815</v>
      </c>
      <c r="D298" s="359">
        <f>IFERROR(LOOKUP(2,1/([1]!LUNES[[CEDULA ]]=[1]!Tabla9[[#This Row],[CEDULA ]]),[1]!LUNES[HORA]),"No registró")</f>
        <v>0.55513888888888896</v>
      </c>
      <c r="E298" s="359">
        <f>IFERROR(VLOOKUP([1]!Tabla9[[CEDULA ]],[1]!MARTES[#Data],5,0),"No registró")</f>
        <v>0.31177083333333333</v>
      </c>
      <c r="F298" s="359">
        <f>IFERROR(LOOKUP(2,1/([1]!MARTES[[CEDULA ]]=[1]!Tabla9[[#This Row],[CEDULA ]]),[1]!MARTES[HORA]),"No Registró")</f>
        <v>0.55473379629629627</v>
      </c>
      <c r="G298" s="359" t="str">
        <f>IFERROR(VLOOKUP([1]!Tabla9[[CEDULA ]],[1]!MIERCOLES[#Data],5,0),"No registró")</f>
        <v>No registró</v>
      </c>
      <c r="H298" s="359" t="str">
        <f>IFERROR(LOOKUP(2,1/([1]!MIERCOLES[[CEDULA ]]=[1]!Tabla9[[#This Row],[CEDULA ]]),[1]!MIERCOLES[HORA]),"No registró")</f>
        <v>No registró</v>
      </c>
      <c r="I298" s="359" t="str">
        <f>IFERROR(VLOOKUP([1]!Tabla9[[CEDULA ]],[1]!JUEVES[#Data],5,0),"No Registró")</f>
        <v>No Registró</v>
      </c>
      <c r="J298" s="359" t="str">
        <f>IFERROR(LOOKUP(2,1/([1]!JUEVES[[CEDULA ]]=[1]!Tabla9[[#This Row],[CEDULA ]]),[1]!JUEVES[HORA]),"No registró")</f>
        <v>No registró</v>
      </c>
      <c r="K298" s="359" t="str">
        <f>IFERROR(VLOOKUP([1]!Tabla9[[CEDULA ]],[1]!VIERNES[#Data],5,0),"No registró")</f>
        <v>No registró</v>
      </c>
      <c r="L298" s="359" t="str">
        <f>IFERROR(LOOKUP(2,1/([1]!VIERNES[[CEDULA ]]=[1]!Tabla9[[#This Row],[CEDULA ]]),[1]!VIERNES[HORA]),"No registró")</f>
        <v>No registró</v>
      </c>
      <c r="M298" s="359" t="str">
        <f>IFERROR(VLOOKUP([1]!Tabla9[[CEDULA ]],[1]!SABADO[#Data],5,0),"No registró")</f>
        <v>No registró</v>
      </c>
      <c r="N298" s="359" t="str">
        <f>IFERROR(LOOKUP(2,1/([1]!SABADO[[CEDULA ]]=[1]!Tabla9[[#This Row],[CEDULA ]]),[1]!SABADO[HORA]),"No registró")</f>
        <v>No registró</v>
      </c>
      <c r="O298" s="359" t="str">
        <f>IFERROR(VLOOKUP([1]!Tabla9[[CEDULA ]],[1]!DOMINGO[#Data],5,0),"No registró")</f>
        <v>No registró</v>
      </c>
      <c r="P298" s="359" t="str">
        <f>IFERROR(LOOKUP(2,1/([1]!DOMINGO[[CEDULA ]]=[1]!Tabla9[[#This Row],[CEDULA ]]),[1]!DOMINGO[HORA]),"No registró")</f>
        <v>No registró</v>
      </c>
      <c r="Q298" s="240" t="str">
        <f>IFERROR(VLOOKUP(A298,DATOS[],10,0),"")</f>
        <v>2. CATIA</v>
      </c>
    </row>
    <row r="299" spans="1:18" x14ac:dyDescent="0.25">
      <c r="A299" s="239">
        <v>16705084</v>
      </c>
      <c r="B299" s="239" t="s">
        <v>1272</v>
      </c>
      <c r="C299" s="359">
        <f>IFERROR(VLOOKUP([1]!Tabla9[[CEDULA ]],[1]!LUNES[#Data],5,0),"No registró")</f>
        <v>0.28819444444444448</v>
      </c>
      <c r="D299" s="359">
        <f>IFERROR(LOOKUP(2,1/([1]!LUNES[[CEDULA ]]=[1]!Tabla9[[#This Row],[CEDULA ]]),[1]!LUNES[HORA]),"No registró")</f>
        <v>0.55883101851851846</v>
      </c>
      <c r="E299" s="359">
        <f>IFERROR(VLOOKUP([1]!Tabla9[[CEDULA ]],[1]!MARTES[#Data],5,0),"No registró")</f>
        <v>0.28313657407407405</v>
      </c>
      <c r="F299" s="359">
        <f>IFERROR(LOOKUP(2,1/([1]!MARTES[[CEDULA ]]=[1]!Tabla9[[#This Row],[CEDULA ]]),[1]!MARTES[HORA]),"No Registró")</f>
        <v>0.55559027777777781</v>
      </c>
      <c r="G299" s="359" t="str">
        <f>IFERROR(VLOOKUP([1]!Tabla9[[CEDULA ]],[1]!MIERCOLES[#Data],5,0),"No registró")</f>
        <v>No registró</v>
      </c>
      <c r="H299" s="359" t="str">
        <f>IFERROR(LOOKUP(2,1/([1]!MIERCOLES[[CEDULA ]]=[1]!Tabla9[[#This Row],[CEDULA ]]),[1]!MIERCOLES[HORA]),"No registró")</f>
        <v>No registró</v>
      </c>
      <c r="I299" s="359" t="str">
        <f>IFERROR(VLOOKUP([1]!Tabla9[[CEDULA ]],[1]!JUEVES[#Data],5,0),"No Registró")</f>
        <v>No Registró</v>
      </c>
      <c r="J299" s="359" t="str">
        <f>IFERROR(LOOKUP(2,1/([1]!JUEVES[[CEDULA ]]=[1]!Tabla9[[#This Row],[CEDULA ]]),[1]!JUEVES[HORA]),"No registró")</f>
        <v>No registró</v>
      </c>
      <c r="K299" s="359" t="str">
        <f>IFERROR(VLOOKUP([1]!Tabla9[[CEDULA ]],[1]!VIERNES[#Data],5,0),"No registró")</f>
        <v>No registró</v>
      </c>
      <c r="L299" s="359" t="str">
        <f>IFERROR(LOOKUP(2,1/([1]!VIERNES[[CEDULA ]]=[1]!Tabla9[[#This Row],[CEDULA ]]),[1]!VIERNES[HORA]),"No registró")</f>
        <v>No registró</v>
      </c>
      <c r="M299" s="359" t="str">
        <f>IFERROR(VLOOKUP([1]!Tabla9[[CEDULA ]],[1]!SABADO[#Data],5,0),"No registró")</f>
        <v>No registró</v>
      </c>
      <c r="N299" s="359" t="str">
        <f>IFERROR(LOOKUP(2,1/([1]!SABADO[[CEDULA ]]=[1]!Tabla9[[#This Row],[CEDULA ]]),[1]!SABADO[HORA]),"No registró")</f>
        <v>No registró</v>
      </c>
      <c r="O299" s="359" t="str">
        <f>IFERROR(VLOOKUP([1]!Tabla9[[CEDULA ]],[1]!DOMINGO[#Data],5,0),"No registró")</f>
        <v>No registró</v>
      </c>
      <c r="P299" s="359" t="str">
        <f>IFERROR(LOOKUP(2,1/([1]!DOMINGO[[CEDULA ]]=[1]!Tabla9[[#This Row],[CEDULA ]]),[1]!DOMINGO[HORA]),"No registró")</f>
        <v>No registró</v>
      </c>
      <c r="Q299" s="240" t="str">
        <f>IFERROR(VLOOKUP(A299,DATOS[],10,0),"")</f>
        <v>5. GUARENAS</v>
      </c>
    </row>
    <row r="300" spans="1:18" x14ac:dyDescent="0.25">
      <c r="A300" s="239">
        <v>16726314</v>
      </c>
      <c r="B300" s="239" t="s">
        <v>1273</v>
      </c>
      <c r="C300" s="359">
        <f>IFERROR(VLOOKUP([1]!Tabla9[[CEDULA ]],[1]!LUNES[#Data],5,0),"No registró")</f>
        <v>0.31263888888888886</v>
      </c>
      <c r="D300" s="359">
        <f>IFERROR(LOOKUP(2,1/([1]!LUNES[[CEDULA ]]=[1]!Tabla9[[#This Row],[CEDULA ]]),[1]!LUNES[HORA]),"No registró")</f>
        <v>0.31395833333333334</v>
      </c>
      <c r="E300" s="359">
        <f>IFERROR(VLOOKUP([1]!Tabla9[[CEDULA ]],[1]!MARTES[#Data],5,0),"No registró")</f>
        <v>0.29431712962962964</v>
      </c>
      <c r="F300" s="359">
        <f>IFERROR(LOOKUP(2,1/([1]!MARTES[[CEDULA ]]=[1]!Tabla9[[#This Row],[CEDULA ]]),[1]!MARTES[HORA]),"No Registró")</f>
        <v>0.29562499999999997</v>
      </c>
      <c r="G300" s="359" t="str">
        <f>IFERROR(VLOOKUP([1]!Tabla9[[CEDULA ]],[1]!MIERCOLES[#Data],5,0),"No registró")</f>
        <v>No registró</v>
      </c>
      <c r="H300" s="359" t="str">
        <f>IFERROR(LOOKUP(2,1/([1]!MIERCOLES[[CEDULA ]]=[1]!Tabla9[[#This Row],[CEDULA ]]),[1]!MIERCOLES[HORA]),"No registró")</f>
        <v>No registró</v>
      </c>
      <c r="I300" s="359" t="str">
        <f>IFERROR(VLOOKUP([1]!Tabla9[[CEDULA ]],[1]!JUEVES[#Data],5,0),"No Registró")</f>
        <v>No Registró</v>
      </c>
      <c r="J300" s="359" t="str">
        <f>IFERROR(LOOKUP(2,1/([1]!JUEVES[[CEDULA ]]=[1]!Tabla9[[#This Row],[CEDULA ]]),[1]!JUEVES[HORA]),"No registró")</f>
        <v>No registró</v>
      </c>
      <c r="K300" s="359" t="str">
        <f>IFERROR(VLOOKUP([1]!Tabla9[[CEDULA ]],[1]!VIERNES[#Data],5,0),"No registró")</f>
        <v>No registró</v>
      </c>
      <c r="L300" s="359" t="str">
        <f>IFERROR(LOOKUP(2,1/([1]!VIERNES[[CEDULA ]]=[1]!Tabla9[[#This Row],[CEDULA ]]),[1]!VIERNES[HORA]),"No registró")</f>
        <v>No registró</v>
      </c>
      <c r="M300" s="359" t="str">
        <f>IFERROR(VLOOKUP([1]!Tabla9[[CEDULA ]],[1]!SABADO[#Data],5,0),"No registró")</f>
        <v>No registró</v>
      </c>
      <c r="N300" s="359" t="str">
        <f>IFERROR(LOOKUP(2,1/([1]!SABADO[[CEDULA ]]=[1]!Tabla9[[#This Row],[CEDULA ]]),[1]!SABADO[HORA]),"No registró")</f>
        <v>No registró</v>
      </c>
      <c r="O300" s="359" t="str">
        <f>IFERROR(VLOOKUP([1]!Tabla9[[CEDULA ]],[1]!DOMINGO[#Data],5,0),"No registró")</f>
        <v>No registró</v>
      </c>
      <c r="P300" s="359" t="str">
        <f>IFERROR(LOOKUP(2,1/([1]!DOMINGO[[CEDULA ]]=[1]!Tabla9[[#This Row],[CEDULA ]]),[1]!DOMINGO[HORA]),"No registró")</f>
        <v>No registró</v>
      </c>
      <c r="Q300" s="240" t="str">
        <f>IFERROR(VLOOKUP(A300,DATOS[],10,0),"")</f>
        <v>6. LA GUAIRA</v>
      </c>
    </row>
    <row r="301" spans="1:18" x14ac:dyDescent="0.25">
      <c r="A301" s="239">
        <v>16857724</v>
      </c>
      <c r="B301" s="239" t="s">
        <v>1274</v>
      </c>
      <c r="C301" s="359">
        <f>IFERROR(VLOOKUP([1]!Tabla9[[CEDULA ]],[1]!LUNES[#Data],5,0),"No registró")</f>
        <v>0.2825462962962963</v>
      </c>
      <c r="D301" s="359">
        <f>IFERROR(LOOKUP(2,1/([1]!LUNES[[CEDULA ]]=[1]!Tabla9[[#This Row],[CEDULA ]]),[1]!LUNES[HORA]),"No registró")</f>
        <v>0.54836805555555557</v>
      </c>
      <c r="E301" s="359" t="str">
        <f>IFERROR(VLOOKUP([1]!Tabla9[[CEDULA ]],[1]!MARTES[#Data],5,0),"No registró")</f>
        <v>No registró</v>
      </c>
      <c r="F301" s="359" t="str">
        <f>IFERROR(LOOKUP(2,1/([1]!MARTES[[CEDULA ]]=[1]!Tabla9[[#This Row],[CEDULA ]]),[1]!MARTES[HORA]),"No Registró")</f>
        <v>No Registró</v>
      </c>
      <c r="G301" s="359" t="str">
        <f>IFERROR(VLOOKUP([1]!Tabla9[[CEDULA ]],[1]!MIERCOLES[#Data],5,0),"No registró")</f>
        <v>No registró</v>
      </c>
      <c r="H301" s="359" t="str">
        <f>IFERROR(LOOKUP(2,1/([1]!MIERCOLES[[CEDULA ]]=[1]!Tabla9[[#This Row],[CEDULA ]]),[1]!MIERCOLES[HORA]),"No registró")</f>
        <v>No registró</v>
      </c>
      <c r="I301" s="359" t="str">
        <f>IFERROR(VLOOKUP([1]!Tabla9[[CEDULA ]],[1]!JUEVES[#Data],5,0),"No Registró")</f>
        <v>No Registró</v>
      </c>
      <c r="J301" s="359" t="str">
        <f>IFERROR(LOOKUP(2,1/([1]!JUEVES[[CEDULA ]]=[1]!Tabla9[[#This Row],[CEDULA ]]),[1]!JUEVES[HORA]),"No registró")</f>
        <v>No registró</v>
      </c>
      <c r="K301" s="359" t="str">
        <f>IFERROR(VLOOKUP([1]!Tabla9[[CEDULA ]],[1]!VIERNES[#Data],5,0),"No registró")</f>
        <v>No registró</v>
      </c>
      <c r="L301" s="359" t="str">
        <f>IFERROR(LOOKUP(2,1/([1]!VIERNES[[CEDULA ]]=[1]!Tabla9[[#This Row],[CEDULA ]]),[1]!VIERNES[HORA]),"No registró")</f>
        <v>No registró</v>
      </c>
      <c r="M301" s="359" t="str">
        <f>IFERROR(VLOOKUP([1]!Tabla9[[CEDULA ]],[1]!SABADO[#Data],5,0),"No registró")</f>
        <v>No registró</v>
      </c>
      <c r="N301" s="359" t="str">
        <f>IFERROR(LOOKUP(2,1/([1]!SABADO[[CEDULA ]]=[1]!Tabla9[[#This Row],[CEDULA ]]),[1]!SABADO[HORA]),"No registró")</f>
        <v>No registró</v>
      </c>
      <c r="O301" s="359" t="str">
        <f>IFERROR(VLOOKUP([1]!Tabla9[[CEDULA ]],[1]!DOMINGO[#Data],5,0),"No registró")</f>
        <v>No registró</v>
      </c>
      <c r="P301" s="359" t="str">
        <f>IFERROR(LOOKUP(2,1/([1]!DOMINGO[[CEDULA ]]=[1]!Tabla9[[#This Row],[CEDULA ]]),[1]!DOMINGO[HORA]),"No registró")</f>
        <v>No registró</v>
      </c>
      <c r="Q301" s="240" t="str">
        <f>IFERROR(VLOOKUP(A301,DATOS[],10,0),"")</f>
        <v>3. CARICUAO</v>
      </c>
    </row>
    <row r="302" spans="1:18" x14ac:dyDescent="0.25">
      <c r="A302" s="239">
        <v>16951535</v>
      </c>
      <c r="B302" s="239" t="s">
        <v>1275</v>
      </c>
      <c r="C302" s="359">
        <f>IFERROR(VLOOKUP([1]!Tabla9[[CEDULA ]],[1]!LUNES[#Data],5,0),"No registró")</f>
        <v>0.30862268518518515</v>
      </c>
      <c r="D302" s="359">
        <f>IFERROR(LOOKUP(2,1/([1]!LUNES[[CEDULA ]]=[1]!Tabla9[[#This Row],[CEDULA ]]),[1]!LUNES[HORA]),"No registró")</f>
        <v>0.55001157407407408</v>
      </c>
      <c r="E302" s="359" t="str">
        <f>IFERROR(VLOOKUP([1]!Tabla9[[CEDULA ]],[1]!MARTES[#Data],5,0),"No registró")</f>
        <v>No registró</v>
      </c>
      <c r="F302" s="359" t="str">
        <f>IFERROR(LOOKUP(2,1/([1]!MARTES[[CEDULA ]]=[1]!Tabla9[[#This Row],[CEDULA ]]),[1]!MARTES[HORA]),"No Registró")</f>
        <v>No Registró</v>
      </c>
      <c r="G302" s="359" t="str">
        <f>IFERROR(VLOOKUP([1]!Tabla9[[CEDULA ]],[1]!MIERCOLES[#Data],5,0),"No registró")</f>
        <v>No registró</v>
      </c>
      <c r="H302" s="359" t="str">
        <f>IFERROR(LOOKUP(2,1/([1]!MIERCOLES[[CEDULA ]]=[1]!Tabla9[[#This Row],[CEDULA ]]),[1]!MIERCOLES[HORA]),"No registró")</f>
        <v>No registró</v>
      </c>
      <c r="I302" s="359" t="str">
        <f>IFERROR(VLOOKUP([1]!Tabla9[[CEDULA ]],[1]!JUEVES[#Data],5,0),"No Registró")</f>
        <v>No Registró</v>
      </c>
      <c r="J302" s="359" t="str">
        <f>IFERROR(LOOKUP(2,1/([1]!JUEVES[[CEDULA ]]=[1]!Tabla9[[#This Row],[CEDULA ]]),[1]!JUEVES[HORA]),"No registró")</f>
        <v>No registró</v>
      </c>
      <c r="K302" s="359" t="str">
        <f>IFERROR(VLOOKUP([1]!Tabla9[[CEDULA ]],[1]!VIERNES[#Data],5,0),"No registró")</f>
        <v>No registró</v>
      </c>
      <c r="L302" s="359" t="str">
        <f>IFERROR(LOOKUP(2,1/([1]!VIERNES[[CEDULA ]]=[1]!Tabla9[[#This Row],[CEDULA ]]),[1]!VIERNES[HORA]),"No registró")</f>
        <v>No registró</v>
      </c>
      <c r="M302" s="359" t="str">
        <f>IFERROR(VLOOKUP([1]!Tabla9[[CEDULA ]],[1]!SABADO[#Data],5,0),"No registró")</f>
        <v>No registró</v>
      </c>
      <c r="N302" s="359" t="str">
        <f>IFERROR(LOOKUP(2,1/([1]!SABADO[[CEDULA ]]=[1]!Tabla9[[#This Row],[CEDULA ]]),[1]!SABADO[HORA]),"No registró")</f>
        <v>No registró</v>
      </c>
      <c r="O302" s="359" t="str">
        <f>IFERROR(VLOOKUP([1]!Tabla9[[CEDULA ]],[1]!DOMINGO[#Data],5,0),"No registró")</f>
        <v>No registró</v>
      </c>
      <c r="P302" s="359" t="str">
        <f>IFERROR(LOOKUP(2,1/([1]!DOMINGO[[CEDULA ]]=[1]!Tabla9[[#This Row],[CEDULA ]]),[1]!DOMINGO[HORA]),"No registró")</f>
        <v>No registró</v>
      </c>
      <c r="Q302" s="240" t="str">
        <f>IFERROR(VLOOKUP(A302,DATOS[],10,0),"")</f>
        <v>4. VALLES DEL TUY</v>
      </c>
    </row>
    <row r="303" spans="1:18" x14ac:dyDescent="0.25">
      <c r="A303" s="239">
        <v>17143437</v>
      </c>
      <c r="B303" s="239" t="s">
        <v>1276</v>
      </c>
      <c r="C303" s="359">
        <f>IFERROR(VLOOKUP([1]!Tabla9[[CEDULA ]],[1]!LUNES[#Data],5,0),"No registró")</f>
        <v>0.32922453703703702</v>
      </c>
      <c r="D303" s="359">
        <f>IFERROR(LOOKUP(2,1/([1]!LUNES[[CEDULA ]]=[1]!Tabla9[[#This Row],[CEDULA ]]),[1]!LUNES[HORA]),"No registró")</f>
        <v>0.62096064814814811</v>
      </c>
      <c r="E303" s="359">
        <f>IFERROR(VLOOKUP([1]!Tabla9[[CEDULA ]],[1]!MARTES[#Data],5,0),"No registró")</f>
        <v>0.33951388888888889</v>
      </c>
      <c r="F303" s="359">
        <f>IFERROR(LOOKUP(2,1/([1]!MARTES[[CEDULA ]]=[1]!Tabla9[[#This Row],[CEDULA ]]),[1]!MARTES[HORA]),"No Registró")</f>
        <v>0.5884490740740741</v>
      </c>
      <c r="G303" s="359" t="str">
        <f>IFERROR(VLOOKUP([1]!Tabla9[[CEDULA ]],[1]!MIERCOLES[#Data],5,0),"No registró")</f>
        <v>No registró</v>
      </c>
      <c r="H303" s="359" t="str">
        <f>IFERROR(LOOKUP(2,1/([1]!MIERCOLES[[CEDULA ]]=[1]!Tabla9[[#This Row],[CEDULA ]]),[1]!MIERCOLES[HORA]),"No registró")</f>
        <v>No registró</v>
      </c>
      <c r="I303" s="359" t="str">
        <f>IFERROR(VLOOKUP([1]!Tabla9[[CEDULA ]],[1]!JUEVES[#Data],5,0),"No Registró")</f>
        <v>No Registró</v>
      </c>
      <c r="J303" s="359" t="str">
        <f>IFERROR(LOOKUP(2,1/([1]!JUEVES[[CEDULA ]]=[1]!Tabla9[[#This Row],[CEDULA ]]),[1]!JUEVES[HORA]),"No registró")</f>
        <v>No registró</v>
      </c>
      <c r="K303" s="359" t="str">
        <f>IFERROR(VLOOKUP([1]!Tabla9[[CEDULA ]],[1]!VIERNES[#Data],5,0),"No registró")</f>
        <v>No registró</v>
      </c>
      <c r="L303" s="359" t="str">
        <f>IFERROR(LOOKUP(2,1/([1]!VIERNES[[CEDULA ]]=[1]!Tabla9[[#This Row],[CEDULA ]]),[1]!VIERNES[HORA]),"No registró")</f>
        <v>No registró</v>
      </c>
      <c r="M303" s="359" t="str">
        <f>IFERROR(VLOOKUP([1]!Tabla9[[CEDULA ]],[1]!SABADO[#Data],5,0),"No registró")</f>
        <v>No registró</v>
      </c>
      <c r="N303" s="359" t="str">
        <f>IFERROR(LOOKUP(2,1/([1]!SABADO[[CEDULA ]]=[1]!Tabla9[[#This Row],[CEDULA ]]),[1]!SABADO[HORA]),"No registró")</f>
        <v>No registró</v>
      </c>
      <c r="O303" s="359" t="str">
        <f>IFERROR(VLOOKUP([1]!Tabla9[[CEDULA ]],[1]!DOMINGO[#Data],5,0),"No registró")</f>
        <v>No registró</v>
      </c>
      <c r="P303" s="359" t="str">
        <f>IFERROR(LOOKUP(2,1/([1]!DOMINGO[[CEDULA ]]=[1]!Tabla9[[#This Row],[CEDULA ]]),[1]!DOMINGO[HORA]),"No registró")</f>
        <v>No registró</v>
      </c>
      <c r="Q303" s="240" t="str">
        <f>IFERROR(VLOOKUP(A303,DATOS[],10,0),"")</f>
        <v>4. VALLES DEL TUY</v>
      </c>
    </row>
    <row r="304" spans="1:18" x14ac:dyDescent="0.25">
      <c r="A304" s="239">
        <v>17166976</v>
      </c>
      <c r="B304" s="239" t="s">
        <v>1277</v>
      </c>
      <c r="C304" s="359">
        <f>IFERROR(VLOOKUP([1]!Tabla9[[CEDULA ]],[1]!LUNES[#Data],5,0),"No registró")</f>
        <v>0.30546296296296299</v>
      </c>
      <c r="D304" s="359">
        <f>IFERROR(LOOKUP(2,1/([1]!LUNES[[CEDULA ]]=[1]!Tabla9[[#This Row],[CEDULA ]]),[1]!LUNES[HORA]),"No registró")</f>
        <v>0.56162037037037038</v>
      </c>
      <c r="E304" s="359">
        <f>IFERROR(VLOOKUP([1]!Tabla9[[CEDULA ]],[1]!MARTES[#Data],5,0),"No registró")</f>
        <v>0.28515046296296293</v>
      </c>
      <c r="F304" s="359">
        <f>IFERROR(LOOKUP(2,1/([1]!MARTES[[CEDULA ]]=[1]!Tabla9[[#This Row],[CEDULA ]]),[1]!MARTES[HORA]),"No Registró")</f>
        <v>0.57804398148148151</v>
      </c>
      <c r="G304" s="359" t="str">
        <f>IFERROR(VLOOKUP([1]!Tabla9[[CEDULA ]],[1]!MIERCOLES[#Data],5,0),"No registró")</f>
        <v>No registró</v>
      </c>
      <c r="H304" s="359" t="str">
        <f>IFERROR(LOOKUP(2,1/([1]!MIERCOLES[[CEDULA ]]=[1]!Tabla9[[#This Row],[CEDULA ]]),[1]!MIERCOLES[HORA]),"No registró")</f>
        <v>No registró</v>
      </c>
      <c r="I304" s="359" t="str">
        <f>IFERROR(VLOOKUP([1]!Tabla9[[CEDULA ]],[1]!JUEVES[#Data],5,0),"No Registró")</f>
        <v>No Registró</v>
      </c>
      <c r="J304" s="359" t="str">
        <f>IFERROR(LOOKUP(2,1/([1]!JUEVES[[CEDULA ]]=[1]!Tabla9[[#This Row],[CEDULA ]]),[1]!JUEVES[HORA]),"No registró")</f>
        <v>No registró</v>
      </c>
      <c r="K304" s="359" t="str">
        <f>IFERROR(VLOOKUP([1]!Tabla9[[CEDULA ]],[1]!VIERNES[#Data],5,0),"No registró")</f>
        <v>No registró</v>
      </c>
      <c r="L304" s="359" t="str">
        <f>IFERROR(LOOKUP(2,1/([1]!VIERNES[[CEDULA ]]=[1]!Tabla9[[#This Row],[CEDULA ]]),[1]!VIERNES[HORA]),"No registró")</f>
        <v>No registró</v>
      </c>
      <c r="M304" s="359" t="str">
        <f>IFERROR(VLOOKUP([1]!Tabla9[[CEDULA ]],[1]!SABADO[#Data],5,0),"No registró")</f>
        <v>No registró</v>
      </c>
      <c r="N304" s="359" t="str">
        <f>IFERROR(LOOKUP(2,1/([1]!SABADO[[CEDULA ]]=[1]!Tabla9[[#This Row],[CEDULA ]]),[1]!SABADO[HORA]),"No registró")</f>
        <v>No registró</v>
      </c>
      <c r="O304" s="359" t="str">
        <f>IFERROR(VLOOKUP([1]!Tabla9[[CEDULA ]],[1]!DOMINGO[#Data],5,0),"No registró")</f>
        <v>No registró</v>
      </c>
      <c r="P304" s="359" t="str">
        <f>IFERROR(LOOKUP(2,1/([1]!DOMINGO[[CEDULA ]]=[1]!Tabla9[[#This Row],[CEDULA ]]),[1]!DOMINGO[HORA]),"No registró")</f>
        <v>No registró</v>
      </c>
      <c r="Q304" s="240">
        <f>IFERROR(VLOOKUP(A304,DATOS[],10,0),"")</f>
        <v>0</v>
      </c>
    </row>
    <row r="305" spans="1:17" x14ac:dyDescent="0.25">
      <c r="A305" s="239">
        <v>17167810</v>
      </c>
      <c r="B305" s="239" t="s">
        <v>1278</v>
      </c>
      <c r="C305" s="359">
        <f>IFERROR(VLOOKUP([1]!Tabla9[[CEDULA ]],[1]!LUNES[#Data],5,0),"No registró")</f>
        <v>0.28358796296296296</v>
      </c>
      <c r="D305" s="359">
        <f>IFERROR(LOOKUP(2,1/([1]!LUNES[[CEDULA ]]=[1]!Tabla9[[#This Row],[CEDULA ]]),[1]!LUNES[HORA]),"No registró")</f>
        <v>0.52768518518518526</v>
      </c>
      <c r="E305" s="359">
        <f>IFERROR(VLOOKUP([1]!Tabla9[[CEDULA ]],[1]!MARTES[#Data],5,0),"No registró")</f>
        <v>0.29378472222222224</v>
      </c>
      <c r="F305" s="359">
        <f>IFERROR(LOOKUP(2,1/([1]!MARTES[[CEDULA ]]=[1]!Tabla9[[#This Row],[CEDULA ]]),[1]!MARTES[HORA]),"No Registró")</f>
        <v>0.45927083333333335</v>
      </c>
      <c r="G305" s="359" t="str">
        <f>IFERROR(VLOOKUP([1]!Tabla9[[CEDULA ]],[1]!MIERCOLES[#Data],5,0),"No registró")</f>
        <v>No registró</v>
      </c>
      <c r="H305" s="359" t="str">
        <f>IFERROR(LOOKUP(2,1/([1]!MIERCOLES[[CEDULA ]]=[1]!Tabla9[[#This Row],[CEDULA ]]),[1]!MIERCOLES[HORA]),"No registró")</f>
        <v>No registró</v>
      </c>
      <c r="I305" s="359" t="str">
        <f>IFERROR(VLOOKUP([1]!Tabla9[[CEDULA ]],[1]!JUEVES[#Data],5,0),"No Registró")</f>
        <v>No Registró</v>
      </c>
      <c r="J305" s="359" t="str">
        <f>IFERROR(LOOKUP(2,1/([1]!JUEVES[[CEDULA ]]=[1]!Tabla9[[#This Row],[CEDULA ]]),[1]!JUEVES[HORA]),"No registró")</f>
        <v>No registró</v>
      </c>
      <c r="K305" s="359" t="str">
        <f>IFERROR(VLOOKUP([1]!Tabla9[[CEDULA ]],[1]!VIERNES[#Data],5,0),"No registró")</f>
        <v>No registró</v>
      </c>
      <c r="L305" s="359" t="str">
        <f>IFERROR(LOOKUP(2,1/([1]!VIERNES[[CEDULA ]]=[1]!Tabla9[[#This Row],[CEDULA ]]),[1]!VIERNES[HORA]),"No registró")</f>
        <v>No registró</v>
      </c>
      <c r="M305" s="359" t="str">
        <f>IFERROR(VLOOKUP([1]!Tabla9[[CEDULA ]],[1]!SABADO[#Data],5,0),"No registró")</f>
        <v>No registró</v>
      </c>
      <c r="N305" s="359" t="str">
        <f>IFERROR(LOOKUP(2,1/([1]!SABADO[[CEDULA ]]=[1]!Tabla9[[#This Row],[CEDULA ]]),[1]!SABADO[HORA]),"No registró")</f>
        <v>No registró</v>
      </c>
      <c r="O305" s="359" t="str">
        <f>IFERROR(VLOOKUP([1]!Tabla9[[CEDULA ]],[1]!DOMINGO[#Data],5,0),"No registró")</f>
        <v>No registró</v>
      </c>
      <c r="P305" s="359" t="str">
        <f>IFERROR(LOOKUP(2,1/([1]!DOMINGO[[CEDULA ]]=[1]!Tabla9[[#This Row],[CEDULA ]]),[1]!DOMINGO[HORA]),"No registró")</f>
        <v>No registró</v>
      </c>
      <c r="Q305" s="240">
        <f>IFERROR(VLOOKUP(A305,DATOS[],10,0),"")</f>
        <v>0</v>
      </c>
    </row>
    <row r="306" spans="1:17" x14ac:dyDescent="0.25">
      <c r="A306" s="239">
        <v>17235769</v>
      </c>
      <c r="B306" s="239" t="s">
        <v>1279</v>
      </c>
      <c r="C306" s="359">
        <f>IFERROR(VLOOKUP([1]!Tabla9[[CEDULA ]],[1]!LUNES[#Data],5,0),"No registró")</f>
        <v>0.27849537037037037</v>
      </c>
      <c r="D306" s="359">
        <f>IFERROR(LOOKUP(2,1/([1]!LUNES[[CEDULA ]]=[1]!Tabla9[[#This Row],[CEDULA ]]),[1]!LUNES[HORA]),"No registró")</f>
        <v>0.55767361111111113</v>
      </c>
      <c r="E306" s="359">
        <f>IFERROR(VLOOKUP([1]!Tabla9[[CEDULA ]],[1]!MARTES[#Data],5,0),"No registró")</f>
        <v>0.34577546296296297</v>
      </c>
      <c r="F306" s="359">
        <f>IFERROR(LOOKUP(2,1/([1]!MARTES[[CEDULA ]]=[1]!Tabla9[[#This Row],[CEDULA ]]),[1]!MARTES[HORA]),"No Registró")</f>
        <v>0.55758101851851849</v>
      </c>
      <c r="G306" s="359" t="str">
        <f>IFERROR(VLOOKUP([1]!Tabla9[[CEDULA ]],[1]!MIERCOLES[#Data],5,0),"No registró")</f>
        <v>No registró</v>
      </c>
      <c r="H306" s="359" t="str">
        <f>IFERROR(LOOKUP(2,1/([1]!MIERCOLES[[CEDULA ]]=[1]!Tabla9[[#This Row],[CEDULA ]]),[1]!MIERCOLES[HORA]),"No registró")</f>
        <v>No registró</v>
      </c>
      <c r="I306" s="359" t="str">
        <f>IFERROR(VLOOKUP([1]!Tabla9[[CEDULA ]],[1]!JUEVES[#Data],5,0),"No Registró")</f>
        <v>No Registró</v>
      </c>
      <c r="J306" s="359" t="str">
        <f>IFERROR(LOOKUP(2,1/([1]!JUEVES[[CEDULA ]]=[1]!Tabla9[[#This Row],[CEDULA ]]),[1]!JUEVES[HORA]),"No registró")</f>
        <v>No registró</v>
      </c>
      <c r="K306" s="359" t="str">
        <f>IFERROR(VLOOKUP([1]!Tabla9[[CEDULA ]],[1]!VIERNES[#Data],5,0),"No registró")</f>
        <v>No registró</v>
      </c>
      <c r="L306" s="359" t="str">
        <f>IFERROR(LOOKUP(2,1/([1]!VIERNES[[CEDULA ]]=[1]!Tabla9[[#This Row],[CEDULA ]]),[1]!VIERNES[HORA]),"No registró")</f>
        <v>No registró</v>
      </c>
      <c r="M306" s="359" t="str">
        <f>IFERROR(VLOOKUP([1]!Tabla9[[CEDULA ]],[1]!SABADO[#Data],5,0),"No registró")</f>
        <v>No registró</v>
      </c>
      <c r="N306" s="359" t="str">
        <f>IFERROR(LOOKUP(2,1/([1]!SABADO[[CEDULA ]]=[1]!Tabla9[[#This Row],[CEDULA ]]),[1]!SABADO[HORA]),"No registró")</f>
        <v>No registró</v>
      </c>
      <c r="O306" s="359" t="str">
        <f>IFERROR(VLOOKUP([1]!Tabla9[[CEDULA ]],[1]!DOMINGO[#Data],5,0),"No registró")</f>
        <v>No registró</v>
      </c>
      <c r="P306" s="359" t="str">
        <f>IFERROR(LOOKUP(2,1/([1]!DOMINGO[[CEDULA ]]=[1]!Tabla9[[#This Row],[CEDULA ]]),[1]!DOMINGO[HORA]),"No registró")</f>
        <v>No registró</v>
      </c>
      <c r="Q306" s="240" t="str">
        <f>IFERROR(VLOOKUP(A306,DATOS[],10,0),"")</f>
        <v>1. COCHE</v>
      </c>
    </row>
    <row r="307" spans="1:17" x14ac:dyDescent="0.25">
      <c r="A307" s="239">
        <v>17326111</v>
      </c>
      <c r="B307" s="239" t="s">
        <v>1280</v>
      </c>
      <c r="C307" s="359">
        <f>IFERROR(VLOOKUP([1]!Tabla9[[CEDULA ]],[1]!LUNES[#Data],5,0),"No registró")</f>
        <v>0.34259259259259256</v>
      </c>
      <c r="D307" s="359">
        <f>IFERROR(LOOKUP(2,1/([1]!LUNES[[CEDULA ]]=[1]!Tabla9[[#This Row],[CEDULA ]]),[1]!LUNES[HORA]),"No registró")</f>
        <v>0.5543055555555555</v>
      </c>
      <c r="E307" s="359">
        <f>IFERROR(VLOOKUP([1]!Tabla9[[CEDULA ]],[1]!MARTES[#Data],5,0),"No registró")</f>
        <v>0.38075231481481481</v>
      </c>
      <c r="F307" s="359">
        <f>IFERROR(LOOKUP(2,1/([1]!MARTES[[CEDULA ]]=[1]!Tabla9[[#This Row],[CEDULA ]]),[1]!MARTES[HORA]),"No Registró")</f>
        <v>0.55614583333333334</v>
      </c>
      <c r="G307" s="359" t="str">
        <f>IFERROR(VLOOKUP([1]!Tabla9[[CEDULA ]],[1]!MIERCOLES[#Data],5,0),"No registró")</f>
        <v>No registró</v>
      </c>
      <c r="H307" s="359" t="str">
        <f>IFERROR(LOOKUP(2,1/([1]!MIERCOLES[[CEDULA ]]=[1]!Tabla9[[#This Row],[CEDULA ]]),[1]!MIERCOLES[HORA]),"No registró")</f>
        <v>No registró</v>
      </c>
      <c r="I307" s="359" t="str">
        <f>IFERROR(VLOOKUP([1]!Tabla9[[CEDULA ]],[1]!JUEVES[#Data],5,0),"No Registró")</f>
        <v>No Registró</v>
      </c>
      <c r="J307" s="359" t="str">
        <f>IFERROR(LOOKUP(2,1/([1]!JUEVES[[CEDULA ]]=[1]!Tabla9[[#This Row],[CEDULA ]]),[1]!JUEVES[HORA]),"No registró")</f>
        <v>No registró</v>
      </c>
      <c r="K307" s="359" t="str">
        <f>IFERROR(VLOOKUP([1]!Tabla9[[CEDULA ]],[1]!VIERNES[#Data],5,0),"No registró")</f>
        <v>No registró</v>
      </c>
      <c r="L307" s="359" t="str">
        <f>IFERROR(LOOKUP(2,1/([1]!VIERNES[[CEDULA ]]=[1]!Tabla9[[#This Row],[CEDULA ]]),[1]!VIERNES[HORA]),"No registró")</f>
        <v>No registró</v>
      </c>
      <c r="M307" s="359" t="str">
        <f>IFERROR(VLOOKUP([1]!Tabla9[[CEDULA ]],[1]!SABADO[#Data],5,0),"No registró")</f>
        <v>No registró</v>
      </c>
      <c r="N307" s="359" t="str">
        <f>IFERROR(LOOKUP(2,1/([1]!SABADO[[CEDULA ]]=[1]!Tabla9[[#This Row],[CEDULA ]]),[1]!SABADO[HORA]),"No registró")</f>
        <v>No registró</v>
      </c>
      <c r="O307" s="359" t="str">
        <f>IFERROR(VLOOKUP([1]!Tabla9[[CEDULA ]],[1]!DOMINGO[#Data],5,0),"No registró")</f>
        <v>No registró</v>
      </c>
      <c r="P307" s="359" t="str">
        <f>IFERROR(LOOKUP(2,1/([1]!DOMINGO[[CEDULA ]]=[1]!Tabla9[[#This Row],[CEDULA ]]),[1]!DOMINGO[HORA]),"No registró")</f>
        <v>No registró</v>
      </c>
      <c r="Q307" s="240" t="str">
        <f>IFERROR(VLOOKUP(A307,DATOS[],10,0),"")</f>
        <v>3. CARICUAO</v>
      </c>
    </row>
    <row r="308" spans="1:17" x14ac:dyDescent="0.25">
      <c r="A308" s="239">
        <v>17587487</v>
      </c>
      <c r="B308" s="239" t="s">
        <v>1281</v>
      </c>
      <c r="C308" s="359">
        <f>IFERROR(VLOOKUP([1]!Tabla9[[CEDULA ]],[1]!LUNES[#Data],5,0),"No registró")</f>
        <v>0.28409722222222222</v>
      </c>
      <c r="D308" s="359">
        <f>IFERROR(LOOKUP(2,1/([1]!LUNES[[CEDULA ]]=[1]!Tabla9[[#This Row],[CEDULA ]]),[1]!LUNES[HORA]),"No registró")</f>
        <v>0.55666666666666664</v>
      </c>
      <c r="E308" s="359">
        <f>IFERROR(VLOOKUP([1]!Tabla9[[CEDULA ]],[1]!MARTES[#Data],5,0),"No registró")</f>
        <v>0.28358796296296296</v>
      </c>
      <c r="F308" s="359">
        <f>IFERROR(LOOKUP(2,1/([1]!MARTES[[CEDULA ]]=[1]!Tabla9[[#This Row],[CEDULA ]]),[1]!MARTES[HORA]),"No Registró")</f>
        <v>0.68952546296296291</v>
      </c>
      <c r="G308" s="359" t="str">
        <f>IFERROR(VLOOKUP([1]!Tabla9[[CEDULA ]],[1]!MIERCOLES[#Data],5,0),"No registró")</f>
        <v>No registró</v>
      </c>
      <c r="H308" s="359" t="str">
        <f>IFERROR(LOOKUP(2,1/([1]!MIERCOLES[[CEDULA ]]=[1]!Tabla9[[#This Row],[CEDULA ]]),[1]!MIERCOLES[HORA]),"No registró")</f>
        <v>No registró</v>
      </c>
      <c r="I308" s="359" t="str">
        <f>IFERROR(VLOOKUP([1]!Tabla9[[CEDULA ]],[1]!JUEVES[#Data],5,0),"No Registró")</f>
        <v>No Registró</v>
      </c>
      <c r="J308" s="359" t="str">
        <f>IFERROR(LOOKUP(2,1/([1]!JUEVES[[CEDULA ]]=[1]!Tabla9[[#This Row],[CEDULA ]]),[1]!JUEVES[HORA]),"No registró")</f>
        <v>No registró</v>
      </c>
      <c r="K308" s="359" t="str">
        <f>IFERROR(VLOOKUP([1]!Tabla9[[CEDULA ]],[1]!VIERNES[#Data],5,0),"No registró")</f>
        <v>No registró</v>
      </c>
      <c r="L308" s="359" t="str">
        <f>IFERROR(LOOKUP(2,1/([1]!VIERNES[[CEDULA ]]=[1]!Tabla9[[#This Row],[CEDULA ]]),[1]!VIERNES[HORA]),"No registró")</f>
        <v>No registró</v>
      </c>
      <c r="M308" s="359" t="str">
        <f>IFERROR(VLOOKUP([1]!Tabla9[[CEDULA ]],[1]!SABADO[#Data],5,0),"No registró")</f>
        <v>No registró</v>
      </c>
      <c r="N308" s="359" t="str">
        <f>IFERROR(LOOKUP(2,1/([1]!SABADO[[CEDULA ]]=[1]!Tabla9[[#This Row],[CEDULA ]]),[1]!SABADO[HORA]),"No registró")</f>
        <v>No registró</v>
      </c>
      <c r="O308" s="359" t="str">
        <f>IFERROR(VLOOKUP([1]!Tabla9[[CEDULA ]],[1]!DOMINGO[#Data],5,0),"No registró")</f>
        <v>No registró</v>
      </c>
      <c r="P308" s="359" t="str">
        <f>IFERROR(LOOKUP(2,1/([1]!DOMINGO[[CEDULA ]]=[1]!Tabla9[[#This Row],[CEDULA ]]),[1]!DOMINGO[HORA]),"No registró")</f>
        <v>No registró</v>
      </c>
      <c r="Q308" s="240" t="str">
        <f>IFERROR(VLOOKUP(A308,DATOS[],10,0),"")</f>
        <v>1. COCHE</v>
      </c>
    </row>
    <row r="309" spans="1:17" x14ac:dyDescent="0.25">
      <c r="A309" s="239">
        <v>17693199</v>
      </c>
      <c r="B309" s="239" t="s">
        <v>1282</v>
      </c>
      <c r="C309" s="359">
        <f>IFERROR(VLOOKUP([1]!Tabla9[[CEDULA ]],[1]!LUNES[#Data],5,0),"No registró")</f>
        <v>0.30047453703703703</v>
      </c>
      <c r="D309" s="359">
        <f>IFERROR(LOOKUP(2,1/([1]!LUNES[[CEDULA ]]=[1]!Tabla9[[#This Row],[CEDULA ]]),[1]!LUNES[HORA]),"No registró")</f>
        <v>0.55212962962962964</v>
      </c>
      <c r="E309" s="359">
        <f>IFERROR(VLOOKUP([1]!Tabla9[[CEDULA ]],[1]!MARTES[#Data],5,0),"No registró")</f>
        <v>0.28207175925925926</v>
      </c>
      <c r="F309" s="359">
        <f>IFERROR(LOOKUP(2,1/([1]!MARTES[[CEDULA ]]=[1]!Tabla9[[#This Row],[CEDULA ]]),[1]!MARTES[HORA]),"No Registró")</f>
        <v>0.55289351851851853</v>
      </c>
      <c r="G309" s="359" t="str">
        <f>IFERROR(VLOOKUP([1]!Tabla9[[CEDULA ]],[1]!MIERCOLES[#Data],5,0),"No registró")</f>
        <v>No registró</v>
      </c>
      <c r="H309" s="359" t="str">
        <f>IFERROR(LOOKUP(2,1/([1]!MIERCOLES[[CEDULA ]]=[1]!Tabla9[[#This Row],[CEDULA ]]),[1]!MIERCOLES[HORA]),"No registró")</f>
        <v>No registró</v>
      </c>
      <c r="I309" s="359" t="str">
        <f>IFERROR(VLOOKUP([1]!Tabla9[[CEDULA ]],[1]!JUEVES[#Data],5,0),"No Registró")</f>
        <v>No Registró</v>
      </c>
      <c r="J309" s="359" t="str">
        <f>IFERROR(LOOKUP(2,1/([1]!JUEVES[[CEDULA ]]=[1]!Tabla9[[#This Row],[CEDULA ]]),[1]!JUEVES[HORA]),"No registró")</f>
        <v>No registró</v>
      </c>
      <c r="K309" s="359" t="str">
        <f>IFERROR(VLOOKUP([1]!Tabla9[[CEDULA ]],[1]!VIERNES[#Data],5,0),"No registró")</f>
        <v>No registró</v>
      </c>
      <c r="L309" s="359" t="str">
        <f>IFERROR(LOOKUP(2,1/([1]!VIERNES[[CEDULA ]]=[1]!Tabla9[[#This Row],[CEDULA ]]),[1]!VIERNES[HORA]),"No registró")</f>
        <v>No registró</v>
      </c>
      <c r="M309" s="359" t="str">
        <f>IFERROR(VLOOKUP([1]!Tabla9[[CEDULA ]],[1]!SABADO[#Data],5,0),"No registró")</f>
        <v>No registró</v>
      </c>
      <c r="N309" s="359" t="str">
        <f>IFERROR(LOOKUP(2,1/([1]!SABADO[[CEDULA ]]=[1]!Tabla9[[#This Row],[CEDULA ]]),[1]!SABADO[HORA]),"No registró")</f>
        <v>No registró</v>
      </c>
      <c r="O309" s="359" t="str">
        <f>IFERROR(VLOOKUP([1]!Tabla9[[CEDULA ]],[1]!DOMINGO[#Data],5,0),"No registró")</f>
        <v>No registró</v>
      </c>
      <c r="P309" s="359" t="str">
        <f>IFERROR(LOOKUP(2,1/([1]!DOMINGO[[CEDULA ]]=[1]!Tabla9[[#This Row],[CEDULA ]]),[1]!DOMINGO[HORA]),"No registró")</f>
        <v>No registró</v>
      </c>
      <c r="Q309" s="240" t="str">
        <f>IFERROR(VLOOKUP(A309,DATOS[],10,0),"")</f>
        <v>3. CARICUAO</v>
      </c>
    </row>
    <row r="310" spans="1:17" x14ac:dyDescent="0.25">
      <c r="A310" s="239">
        <v>17757322</v>
      </c>
      <c r="B310" s="239" t="s">
        <v>1283</v>
      </c>
      <c r="C310" s="359">
        <f>IFERROR(VLOOKUP([1]!Tabla9[[CEDULA ]],[1]!LUNES[#Data],5,0),"No registró")</f>
        <v>0.34916666666666668</v>
      </c>
      <c r="D310" s="359">
        <f>IFERROR(LOOKUP(2,1/([1]!LUNES[[CEDULA ]]=[1]!Tabla9[[#This Row],[CEDULA ]]),[1]!LUNES[HORA]),"No registró")</f>
        <v>0.5588657407407408</v>
      </c>
      <c r="E310" s="359">
        <f>IFERROR(VLOOKUP([1]!Tabla9[[CEDULA ]],[1]!MARTES[#Data],5,0),"No registró")</f>
        <v>0.34821759259259261</v>
      </c>
      <c r="F310" s="359">
        <f>IFERROR(LOOKUP(2,1/([1]!MARTES[[CEDULA ]]=[1]!Tabla9[[#This Row],[CEDULA ]]),[1]!MARTES[HORA]),"No Registró")</f>
        <v>0.55521990740740745</v>
      </c>
      <c r="G310" s="359" t="str">
        <f>IFERROR(VLOOKUP([1]!Tabla9[[CEDULA ]],[1]!MIERCOLES[#Data],5,0),"No registró")</f>
        <v>No registró</v>
      </c>
      <c r="H310" s="359" t="str">
        <f>IFERROR(LOOKUP(2,1/([1]!MIERCOLES[[CEDULA ]]=[1]!Tabla9[[#This Row],[CEDULA ]]),[1]!MIERCOLES[HORA]),"No registró")</f>
        <v>No registró</v>
      </c>
      <c r="I310" s="359" t="str">
        <f>IFERROR(VLOOKUP([1]!Tabla9[[CEDULA ]],[1]!JUEVES[#Data],5,0),"No Registró")</f>
        <v>No Registró</v>
      </c>
      <c r="J310" s="359" t="str">
        <f>IFERROR(LOOKUP(2,1/([1]!JUEVES[[CEDULA ]]=[1]!Tabla9[[#This Row],[CEDULA ]]),[1]!JUEVES[HORA]),"No registró")</f>
        <v>No registró</v>
      </c>
      <c r="K310" s="359" t="str">
        <f>IFERROR(VLOOKUP([1]!Tabla9[[CEDULA ]],[1]!VIERNES[#Data],5,0),"No registró")</f>
        <v>No registró</v>
      </c>
      <c r="L310" s="359" t="str">
        <f>IFERROR(LOOKUP(2,1/([1]!VIERNES[[CEDULA ]]=[1]!Tabla9[[#This Row],[CEDULA ]]),[1]!VIERNES[HORA]),"No registró")</f>
        <v>No registró</v>
      </c>
      <c r="M310" s="359" t="str">
        <f>IFERROR(VLOOKUP([1]!Tabla9[[CEDULA ]],[1]!SABADO[#Data],5,0),"No registró")</f>
        <v>No registró</v>
      </c>
      <c r="N310" s="359" t="str">
        <f>IFERROR(LOOKUP(2,1/([1]!SABADO[[CEDULA ]]=[1]!Tabla9[[#This Row],[CEDULA ]]),[1]!SABADO[HORA]),"No registró")</f>
        <v>No registró</v>
      </c>
      <c r="O310" s="359" t="str">
        <f>IFERROR(VLOOKUP([1]!Tabla9[[CEDULA ]],[1]!DOMINGO[#Data],5,0),"No registró")</f>
        <v>No registró</v>
      </c>
      <c r="P310" s="359" t="str">
        <f>IFERROR(LOOKUP(2,1/([1]!DOMINGO[[CEDULA ]]=[1]!Tabla9[[#This Row],[CEDULA ]]),[1]!DOMINGO[HORA]),"No registró")</f>
        <v>No registró</v>
      </c>
      <c r="Q310" s="240">
        <f>IFERROR(VLOOKUP(A310,DATOS[],10,0),"")</f>
        <v>0</v>
      </c>
    </row>
    <row r="311" spans="1:17" x14ac:dyDescent="0.25">
      <c r="A311" s="239">
        <v>17927965</v>
      </c>
      <c r="B311" s="239" t="s">
        <v>1284</v>
      </c>
      <c r="C311" s="359">
        <f>IFERROR(VLOOKUP([1]!Tabla9[[CEDULA ]],[1]!LUNES[#Data],5,0),"No registró")</f>
        <v>0.30934027777777778</v>
      </c>
      <c r="D311" s="359">
        <f>IFERROR(LOOKUP(2,1/([1]!LUNES[[CEDULA ]]=[1]!Tabla9[[#This Row],[CEDULA ]]),[1]!LUNES[HORA]),"No registró")</f>
        <v>0.54344907407407406</v>
      </c>
      <c r="E311" s="359">
        <f>IFERROR(VLOOKUP([1]!Tabla9[[CEDULA ]],[1]!MARTES[#Data],5,0),"No registró")</f>
        <v>0.33793981481481478</v>
      </c>
      <c r="F311" s="359">
        <f>IFERROR(LOOKUP(2,1/([1]!MARTES[[CEDULA ]]=[1]!Tabla9[[#This Row],[CEDULA ]]),[1]!MARTES[HORA]),"No Registró")</f>
        <v>0.54618055555555556</v>
      </c>
      <c r="G311" s="359" t="str">
        <f>IFERROR(VLOOKUP([1]!Tabla9[[CEDULA ]],[1]!MIERCOLES[#Data],5,0),"No registró")</f>
        <v>No registró</v>
      </c>
      <c r="H311" s="359" t="str">
        <f>IFERROR(LOOKUP(2,1/([1]!MIERCOLES[[CEDULA ]]=[1]!Tabla9[[#This Row],[CEDULA ]]),[1]!MIERCOLES[HORA]),"No registró")</f>
        <v>No registró</v>
      </c>
      <c r="I311" s="359" t="str">
        <f>IFERROR(VLOOKUP([1]!Tabla9[[CEDULA ]],[1]!JUEVES[#Data],5,0),"No Registró")</f>
        <v>No Registró</v>
      </c>
      <c r="J311" s="359" t="str">
        <f>IFERROR(LOOKUP(2,1/([1]!JUEVES[[CEDULA ]]=[1]!Tabla9[[#This Row],[CEDULA ]]),[1]!JUEVES[HORA]),"No registró")</f>
        <v>No registró</v>
      </c>
      <c r="K311" s="359" t="str">
        <f>IFERROR(VLOOKUP([1]!Tabla9[[CEDULA ]],[1]!VIERNES[#Data],5,0),"No registró")</f>
        <v>No registró</v>
      </c>
      <c r="L311" s="359" t="str">
        <f>IFERROR(LOOKUP(2,1/([1]!VIERNES[[CEDULA ]]=[1]!Tabla9[[#This Row],[CEDULA ]]),[1]!VIERNES[HORA]),"No registró")</f>
        <v>No registró</v>
      </c>
      <c r="M311" s="359" t="str">
        <f>IFERROR(VLOOKUP([1]!Tabla9[[CEDULA ]],[1]!SABADO[#Data],5,0),"No registró")</f>
        <v>No registró</v>
      </c>
      <c r="N311" s="359" t="str">
        <f>IFERROR(LOOKUP(2,1/([1]!SABADO[[CEDULA ]]=[1]!Tabla9[[#This Row],[CEDULA ]]),[1]!SABADO[HORA]),"No registró")</f>
        <v>No registró</v>
      </c>
      <c r="O311" s="359" t="str">
        <f>IFERROR(VLOOKUP([1]!Tabla9[[CEDULA ]],[1]!DOMINGO[#Data],5,0),"No registró")</f>
        <v>No registró</v>
      </c>
      <c r="P311" s="359" t="str">
        <f>IFERROR(LOOKUP(2,1/([1]!DOMINGO[[CEDULA ]]=[1]!Tabla9[[#This Row],[CEDULA ]]),[1]!DOMINGO[HORA]),"No registró")</f>
        <v>No registró</v>
      </c>
      <c r="Q311" s="240" t="str">
        <f>IFERROR(VLOOKUP(A311,DATOS[],10,0),"")</f>
        <v>4. VALLES DEL TUY</v>
      </c>
    </row>
    <row r="312" spans="1:17" x14ac:dyDescent="0.25">
      <c r="A312" s="239">
        <v>18088977</v>
      </c>
      <c r="B312" s="239" t="s">
        <v>1285</v>
      </c>
      <c r="C312" s="359">
        <f>IFERROR(VLOOKUP([1]!Tabla9[[CEDULA ]],[1]!LUNES[#Data],5,0),"No registró")</f>
        <v>0.29193287037037036</v>
      </c>
      <c r="D312" s="359">
        <f>IFERROR(LOOKUP(2,1/([1]!LUNES[[CEDULA ]]=[1]!Tabla9[[#This Row],[CEDULA ]]),[1]!LUNES[HORA]),"No registró")</f>
        <v>0.55309027777777775</v>
      </c>
      <c r="E312" s="359">
        <f>IFERROR(VLOOKUP([1]!Tabla9[[CEDULA ]],[1]!MARTES[#Data],5,0),"No registró")</f>
        <v>0.29567129629629629</v>
      </c>
      <c r="F312" s="359">
        <f>IFERROR(LOOKUP(2,1/([1]!MARTES[[CEDULA ]]=[1]!Tabla9[[#This Row],[CEDULA ]]),[1]!MARTES[HORA]),"No Registró")</f>
        <v>0.55365740740740743</v>
      </c>
      <c r="G312" s="359" t="str">
        <f>IFERROR(VLOOKUP([1]!Tabla9[[CEDULA ]],[1]!MIERCOLES[#Data],5,0),"No registró")</f>
        <v>No registró</v>
      </c>
      <c r="H312" s="359" t="str">
        <f>IFERROR(LOOKUP(2,1/([1]!MIERCOLES[[CEDULA ]]=[1]!Tabla9[[#This Row],[CEDULA ]]),[1]!MIERCOLES[HORA]),"No registró")</f>
        <v>No registró</v>
      </c>
      <c r="I312" s="359" t="str">
        <f>IFERROR(VLOOKUP([1]!Tabla9[[CEDULA ]],[1]!JUEVES[#Data],5,0),"No Registró")</f>
        <v>No Registró</v>
      </c>
      <c r="J312" s="359" t="str">
        <f>IFERROR(LOOKUP(2,1/([1]!JUEVES[[CEDULA ]]=[1]!Tabla9[[#This Row],[CEDULA ]]),[1]!JUEVES[HORA]),"No registró")</f>
        <v>No registró</v>
      </c>
      <c r="K312" s="359" t="str">
        <f>IFERROR(VLOOKUP([1]!Tabla9[[CEDULA ]],[1]!VIERNES[#Data],5,0),"No registró")</f>
        <v>No registró</v>
      </c>
      <c r="L312" s="359" t="str">
        <f>IFERROR(LOOKUP(2,1/([1]!VIERNES[[CEDULA ]]=[1]!Tabla9[[#This Row],[CEDULA ]]),[1]!VIERNES[HORA]),"No registró")</f>
        <v>No registró</v>
      </c>
      <c r="M312" s="359" t="str">
        <f>IFERROR(VLOOKUP([1]!Tabla9[[CEDULA ]],[1]!SABADO[#Data],5,0),"No registró")</f>
        <v>No registró</v>
      </c>
      <c r="N312" s="359" t="str">
        <f>IFERROR(LOOKUP(2,1/([1]!SABADO[[CEDULA ]]=[1]!Tabla9[[#This Row],[CEDULA ]]),[1]!SABADO[HORA]),"No registró")</f>
        <v>No registró</v>
      </c>
      <c r="O312" s="359" t="str">
        <f>IFERROR(VLOOKUP([1]!Tabla9[[CEDULA ]],[1]!DOMINGO[#Data],5,0),"No registró")</f>
        <v>No registró</v>
      </c>
      <c r="P312" s="359" t="str">
        <f>IFERROR(LOOKUP(2,1/([1]!DOMINGO[[CEDULA ]]=[1]!Tabla9[[#This Row],[CEDULA ]]),[1]!DOMINGO[HORA]),"No registró")</f>
        <v>No registró</v>
      </c>
      <c r="Q312" s="240">
        <f>IFERROR(VLOOKUP(A312,DATOS[],10,0),"")</f>
        <v>0</v>
      </c>
    </row>
    <row r="313" spans="1:17" x14ac:dyDescent="0.25">
      <c r="A313" s="239">
        <v>18233169</v>
      </c>
      <c r="B313" s="239" t="s">
        <v>1286</v>
      </c>
      <c r="C313" s="359">
        <f>IFERROR(VLOOKUP([1]!Tabla9[[CEDULA ]],[1]!LUNES[#Data],5,0),"No registró")</f>
        <v>0.2964236111111111</v>
      </c>
      <c r="D313" s="359">
        <f>IFERROR(LOOKUP(2,1/([1]!LUNES[[CEDULA ]]=[1]!Tabla9[[#This Row],[CEDULA ]]),[1]!LUNES[HORA]),"No registró")</f>
        <v>0.76206018518518526</v>
      </c>
      <c r="E313" s="359">
        <f>IFERROR(VLOOKUP([1]!Tabla9[[CEDULA ]],[1]!MARTES[#Data],5,0),"No registró")</f>
        <v>0.30359953703703707</v>
      </c>
      <c r="F313" s="359">
        <f>IFERROR(LOOKUP(2,1/([1]!MARTES[[CEDULA ]]=[1]!Tabla9[[#This Row],[CEDULA ]]),[1]!MARTES[HORA]),"No Registró")</f>
        <v>0.71811342592592586</v>
      </c>
      <c r="G313" s="359" t="str">
        <f>IFERROR(VLOOKUP([1]!Tabla9[[CEDULA ]],[1]!MIERCOLES[#Data],5,0),"No registró")</f>
        <v>No registró</v>
      </c>
      <c r="H313" s="359" t="str">
        <f>IFERROR(LOOKUP(2,1/([1]!MIERCOLES[[CEDULA ]]=[1]!Tabla9[[#This Row],[CEDULA ]]),[1]!MIERCOLES[HORA]),"No registró")</f>
        <v>No registró</v>
      </c>
      <c r="I313" s="359" t="str">
        <f>IFERROR(VLOOKUP([1]!Tabla9[[CEDULA ]],[1]!JUEVES[#Data],5,0),"No Registró")</f>
        <v>No Registró</v>
      </c>
      <c r="J313" s="359" t="str">
        <f>IFERROR(LOOKUP(2,1/([1]!JUEVES[[CEDULA ]]=[1]!Tabla9[[#This Row],[CEDULA ]]),[1]!JUEVES[HORA]),"No registró")</f>
        <v>No registró</v>
      </c>
      <c r="K313" s="359" t="str">
        <f>IFERROR(VLOOKUP([1]!Tabla9[[CEDULA ]],[1]!VIERNES[#Data],5,0),"No registró")</f>
        <v>No registró</v>
      </c>
      <c r="L313" s="359" t="str">
        <f>IFERROR(LOOKUP(2,1/([1]!VIERNES[[CEDULA ]]=[1]!Tabla9[[#This Row],[CEDULA ]]),[1]!VIERNES[HORA]),"No registró")</f>
        <v>No registró</v>
      </c>
      <c r="M313" s="359" t="str">
        <f>IFERROR(VLOOKUP([1]!Tabla9[[CEDULA ]],[1]!SABADO[#Data],5,0),"No registró")</f>
        <v>No registró</v>
      </c>
      <c r="N313" s="359" t="str">
        <f>IFERROR(LOOKUP(2,1/([1]!SABADO[[CEDULA ]]=[1]!Tabla9[[#This Row],[CEDULA ]]),[1]!SABADO[HORA]),"No registró")</f>
        <v>No registró</v>
      </c>
      <c r="O313" s="359" t="str">
        <f>IFERROR(VLOOKUP([1]!Tabla9[[CEDULA ]],[1]!DOMINGO[#Data],5,0),"No registró")</f>
        <v>No registró</v>
      </c>
      <c r="P313" s="359" t="str">
        <f>IFERROR(LOOKUP(2,1/([1]!DOMINGO[[CEDULA ]]=[1]!Tabla9[[#This Row],[CEDULA ]]),[1]!DOMINGO[HORA]),"No registró")</f>
        <v>No registró</v>
      </c>
      <c r="Q313" s="240">
        <f>IFERROR(VLOOKUP(A313,DATOS[],10,0),"")</f>
        <v>0</v>
      </c>
    </row>
    <row r="314" spans="1:17" x14ac:dyDescent="0.25">
      <c r="A314" s="239">
        <v>18245658</v>
      </c>
      <c r="B314" s="239" t="s">
        <v>1287</v>
      </c>
      <c r="C314" s="359">
        <f>IFERROR(VLOOKUP([1]!Tabla9[[CEDULA ]],[1]!LUNES[#Data],5,0),"No registró")</f>
        <v>0.28128472222222223</v>
      </c>
      <c r="D314" s="359">
        <f>IFERROR(LOOKUP(2,1/([1]!LUNES[[CEDULA ]]=[1]!Tabla9[[#This Row],[CEDULA ]]),[1]!LUNES[HORA]),"No registró")</f>
        <v>0.59012731481481484</v>
      </c>
      <c r="E314" s="359">
        <f>IFERROR(VLOOKUP([1]!Tabla9[[CEDULA ]],[1]!MARTES[#Data],5,0),"No registró")</f>
        <v>0.28962962962962963</v>
      </c>
      <c r="F314" s="359">
        <f>IFERROR(LOOKUP(2,1/([1]!MARTES[[CEDULA ]]=[1]!Tabla9[[#This Row],[CEDULA ]]),[1]!MARTES[HORA]),"No Registró")</f>
        <v>0.61297453703703708</v>
      </c>
      <c r="G314" s="359" t="str">
        <f>IFERROR(VLOOKUP([1]!Tabla9[[CEDULA ]],[1]!MIERCOLES[#Data],5,0),"No registró")</f>
        <v>No registró</v>
      </c>
      <c r="H314" s="359" t="str">
        <f>IFERROR(LOOKUP(2,1/([1]!MIERCOLES[[CEDULA ]]=[1]!Tabla9[[#This Row],[CEDULA ]]),[1]!MIERCOLES[HORA]),"No registró")</f>
        <v>No registró</v>
      </c>
      <c r="I314" s="359" t="str">
        <f>IFERROR(VLOOKUP([1]!Tabla9[[CEDULA ]],[1]!JUEVES[#Data],5,0),"No Registró")</f>
        <v>No Registró</v>
      </c>
      <c r="J314" s="359" t="str">
        <f>IFERROR(LOOKUP(2,1/([1]!JUEVES[[CEDULA ]]=[1]!Tabla9[[#This Row],[CEDULA ]]),[1]!JUEVES[HORA]),"No registró")</f>
        <v>No registró</v>
      </c>
      <c r="K314" s="359" t="str">
        <f>IFERROR(VLOOKUP([1]!Tabla9[[CEDULA ]],[1]!VIERNES[#Data],5,0),"No registró")</f>
        <v>No registró</v>
      </c>
      <c r="L314" s="359" t="str">
        <f>IFERROR(LOOKUP(2,1/([1]!VIERNES[[CEDULA ]]=[1]!Tabla9[[#This Row],[CEDULA ]]),[1]!VIERNES[HORA]),"No registró")</f>
        <v>No registró</v>
      </c>
      <c r="M314" s="359" t="str">
        <f>IFERROR(VLOOKUP([1]!Tabla9[[CEDULA ]],[1]!SABADO[#Data],5,0),"No registró")</f>
        <v>No registró</v>
      </c>
      <c r="N314" s="359" t="str">
        <f>IFERROR(LOOKUP(2,1/([1]!SABADO[[CEDULA ]]=[1]!Tabla9[[#This Row],[CEDULA ]]),[1]!SABADO[HORA]),"No registró")</f>
        <v>No registró</v>
      </c>
      <c r="O314" s="359" t="str">
        <f>IFERROR(VLOOKUP([1]!Tabla9[[CEDULA ]],[1]!DOMINGO[#Data],5,0),"No registró")</f>
        <v>No registró</v>
      </c>
      <c r="P314" s="359" t="str">
        <f>IFERROR(LOOKUP(2,1/([1]!DOMINGO[[CEDULA ]]=[1]!Tabla9[[#This Row],[CEDULA ]]),[1]!DOMINGO[HORA]),"No registró")</f>
        <v>No registró</v>
      </c>
      <c r="Q314" s="240" t="str">
        <f>IFERROR(VLOOKUP(A314,DATOS[],10,0),"")</f>
        <v>2. CATIA</v>
      </c>
    </row>
    <row r="315" spans="1:17" x14ac:dyDescent="0.25">
      <c r="A315" s="239">
        <v>18270230</v>
      </c>
      <c r="B315" s="239" t="s">
        <v>1288</v>
      </c>
      <c r="C315" s="359">
        <f>IFERROR(VLOOKUP([1]!Tabla9[[CEDULA ]],[1]!LUNES[#Data],5,0),"No registró")</f>
        <v>0.27789351851851851</v>
      </c>
      <c r="D315" s="359">
        <f>IFERROR(LOOKUP(2,1/([1]!LUNES[[CEDULA ]]=[1]!Tabla9[[#This Row],[CEDULA ]]),[1]!LUNES[HORA]),"No registró")</f>
        <v>0.5509722222222222</v>
      </c>
      <c r="E315" s="359">
        <f>IFERROR(VLOOKUP([1]!Tabla9[[CEDULA ]],[1]!MARTES[#Data],5,0),"No registró")</f>
        <v>0.27759259259259261</v>
      </c>
      <c r="F315" s="359">
        <f>IFERROR(LOOKUP(2,1/([1]!MARTES[[CEDULA ]]=[1]!Tabla9[[#This Row],[CEDULA ]]),[1]!MARTES[HORA]),"No Registró")</f>
        <v>0.54949074074074067</v>
      </c>
      <c r="G315" s="359" t="str">
        <f>IFERROR(VLOOKUP([1]!Tabla9[[CEDULA ]],[1]!MIERCOLES[#Data],5,0),"No registró")</f>
        <v>No registró</v>
      </c>
      <c r="H315" s="359" t="str">
        <f>IFERROR(LOOKUP(2,1/([1]!MIERCOLES[[CEDULA ]]=[1]!Tabla9[[#This Row],[CEDULA ]]),[1]!MIERCOLES[HORA]),"No registró")</f>
        <v>No registró</v>
      </c>
      <c r="I315" s="359" t="str">
        <f>IFERROR(VLOOKUP([1]!Tabla9[[CEDULA ]],[1]!JUEVES[#Data],5,0),"No Registró")</f>
        <v>No Registró</v>
      </c>
      <c r="J315" s="359" t="str">
        <f>IFERROR(LOOKUP(2,1/([1]!JUEVES[[CEDULA ]]=[1]!Tabla9[[#This Row],[CEDULA ]]),[1]!JUEVES[HORA]),"No registró")</f>
        <v>No registró</v>
      </c>
      <c r="K315" s="359" t="str">
        <f>IFERROR(VLOOKUP([1]!Tabla9[[CEDULA ]],[1]!VIERNES[#Data],5,0),"No registró")</f>
        <v>No registró</v>
      </c>
      <c r="L315" s="359" t="str">
        <f>IFERROR(LOOKUP(2,1/([1]!VIERNES[[CEDULA ]]=[1]!Tabla9[[#This Row],[CEDULA ]]),[1]!VIERNES[HORA]),"No registró")</f>
        <v>No registró</v>
      </c>
      <c r="M315" s="359" t="str">
        <f>IFERROR(VLOOKUP([1]!Tabla9[[CEDULA ]],[1]!SABADO[#Data],5,0),"No registró")</f>
        <v>No registró</v>
      </c>
      <c r="N315" s="359" t="str">
        <f>IFERROR(LOOKUP(2,1/([1]!SABADO[[CEDULA ]]=[1]!Tabla9[[#This Row],[CEDULA ]]),[1]!SABADO[HORA]),"No registró")</f>
        <v>No registró</v>
      </c>
      <c r="O315" s="359" t="str">
        <f>IFERROR(VLOOKUP([1]!Tabla9[[CEDULA ]],[1]!DOMINGO[#Data],5,0),"No registró")</f>
        <v>No registró</v>
      </c>
      <c r="P315" s="359" t="str">
        <f>IFERROR(LOOKUP(2,1/([1]!DOMINGO[[CEDULA ]]=[1]!Tabla9[[#This Row],[CEDULA ]]),[1]!DOMINGO[HORA]),"No registró")</f>
        <v>No registró</v>
      </c>
      <c r="Q315" s="240" t="str">
        <f>IFERROR(VLOOKUP(A315,DATOS[],10,0),"")</f>
        <v>1. COCHE</v>
      </c>
    </row>
    <row r="316" spans="1:17" x14ac:dyDescent="0.25">
      <c r="A316" s="239">
        <v>18270489</v>
      </c>
      <c r="B316" s="239" t="s">
        <v>1289</v>
      </c>
      <c r="C316" s="359">
        <f>IFERROR(VLOOKUP([1]!Tabla9[[CEDULA ]],[1]!LUNES[#Data],5,0),"No registró")</f>
        <v>0.29749999999999999</v>
      </c>
      <c r="D316" s="359">
        <f>IFERROR(LOOKUP(2,1/([1]!LUNES[[CEDULA ]]=[1]!Tabla9[[#This Row],[CEDULA ]]),[1]!LUNES[HORA]),"No registró")</f>
        <v>0.55231481481481481</v>
      </c>
      <c r="E316" s="359">
        <f>IFERROR(VLOOKUP([1]!Tabla9[[CEDULA ]],[1]!MARTES[#Data],5,0),"No registró")</f>
        <v>0.29484953703703703</v>
      </c>
      <c r="F316" s="359">
        <f>IFERROR(LOOKUP(2,1/([1]!MARTES[[CEDULA ]]=[1]!Tabla9[[#This Row],[CEDULA ]]),[1]!MARTES[HORA]),"No Registró")</f>
        <v>0.54981481481481487</v>
      </c>
      <c r="G316" s="359" t="str">
        <f>IFERROR(VLOOKUP([1]!Tabla9[[CEDULA ]],[1]!MIERCOLES[#Data],5,0),"No registró")</f>
        <v>No registró</v>
      </c>
      <c r="H316" s="359" t="str">
        <f>IFERROR(LOOKUP(2,1/([1]!MIERCOLES[[CEDULA ]]=[1]!Tabla9[[#This Row],[CEDULA ]]),[1]!MIERCOLES[HORA]),"No registró")</f>
        <v>No registró</v>
      </c>
      <c r="I316" s="359" t="str">
        <f>IFERROR(VLOOKUP([1]!Tabla9[[CEDULA ]],[1]!JUEVES[#Data],5,0),"No Registró")</f>
        <v>No Registró</v>
      </c>
      <c r="J316" s="359" t="str">
        <f>IFERROR(LOOKUP(2,1/([1]!JUEVES[[CEDULA ]]=[1]!Tabla9[[#This Row],[CEDULA ]]),[1]!JUEVES[HORA]),"No registró")</f>
        <v>No registró</v>
      </c>
      <c r="K316" s="359" t="str">
        <f>IFERROR(VLOOKUP([1]!Tabla9[[CEDULA ]],[1]!VIERNES[#Data],5,0),"No registró")</f>
        <v>No registró</v>
      </c>
      <c r="L316" s="359" t="str">
        <f>IFERROR(LOOKUP(2,1/([1]!VIERNES[[CEDULA ]]=[1]!Tabla9[[#This Row],[CEDULA ]]),[1]!VIERNES[HORA]),"No registró")</f>
        <v>No registró</v>
      </c>
      <c r="M316" s="359" t="str">
        <f>IFERROR(VLOOKUP([1]!Tabla9[[CEDULA ]],[1]!SABADO[#Data],5,0),"No registró")</f>
        <v>No registró</v>
      </c>
      <c r="N316" s="359" t="str">
        <f>IFERROR(LOOKUP(2,1/([1]!SABADO[[CEDULA ]]=[1]!Tabla9[[#This Row],[CEDULA ]]),[1]!SABADO[HORA]),"No registró")</f>
        <v>No registró</v>
      </c>
      <c r="O316" s="359" t="str">
        <f>IFERROR(VLOOKUP([1]!Tabla9[[CEDULA ]],[1]!DOMINGO[#Data],5,0),"No registró")</f>
        <v>No registró</v>
      </c>
      <c r="P316" s="359" t="str">
        <f>IFERROR(LOOKUP(2,1/([1]!DOMINGO[[CEDULA ]]=[1]!Tabla9[[#This Row],[CEDULA ]]),[1]!DOMINGO[HORA]),"No registró")</f>
        <v>No registró</v>
      </c>
      <c r="Q316" s="240">
        <f>IFERROR(VLOOKUP(A316,DATOS[],10,0),"")</f>
        <v>0</v>
      </c>
    </row>
    <row r="317" spans="1:17" x14ac:dyDescent="0.25">
      <c r="A317" s="239">
        <v>18325938</v>
      </c>
      <c r="B317" s="239" t="s">
        <v>1290</v>
      </c>
      <c r="C317" s="359">
        <f>IFERROR(VLOOKUP([1]!Tabla9[[CEDULA ]],[1]!LUNES[#Data],5,0),"No registró")</f>
        <v>0.27508101851851852</v>
      </c>
      <c r="D317" s="359">
        <f>IFERROR(LOOKUP(2,1/([1]!LUNES[[CEDULA ]]=[1]!Tabla9[[#This Row],[CEDULA ]]),[1]!LUNES[HORA]),"No registró")</f>
        <v>0.55312499999999998</v>
      </c>
      <c r="E317" s="359">
        <f>IFERROR(VLOOKUP([1]!Tabla9[[CEDULA ]],[1]!MARTES[#Data],5,0),"No registró")</f>
        <v>0.28675925925925927</v>
      </c>
      <c r="F317" s="359">
        <f>IFERROR(LOOKUP(2,1/([1]!MARTES[[CEDULA ]]=[1]!Tabla9[[#This Row],[CEDULA ]]),[1]!MARTES[HORA]),"No Registró")</f>
        <v>0.55300925925925926</v>
      </c>
      <c r="G317" s="359" t="str">
        <f>IFERROR(VLOOKUP([1]!Tabla9[[CEDULA ]],[1]!MIERCOLES[#Data],5,0),"No registró")</f>
        <v>No registró</v>
      </c>
      <c r="H317" s="359" t="str">
        <f>IFERROR(LOOKUP(2,1/([1]!MIERCOLES[[CEDULA ]]=[1]!Tabla9[[#This Row],[CEDULA ]]),[1]!MIERCOLES[HORA]),"No registró")</f>
        <v>No registró</v>
      </c>
      <c r="I317" s="359" t="str">
        <f>IFERROR(VLOOKUP([1]!Tabla9[[CEDULA ]],[1]!JUEVES[#Data],5,0),"No Registró")</f>
        <v>No Registró</v>
      </c>
      <c r="J317" s="359" t="str">
        <f>IFERROR(LOOKUP(2,1/([1]!JUEVES[[CEDULA ]]=[1]!Tabla9[[#This Row],[CEDULA ]]),[1]!JUEVES[HORA]),"No registró")</f>
        <v>No registró</v>
      </c>
      <c r="K317" s="359" t="str">
        <f>IFERROR(VLOOKUP([1]!Tabla9[[CEDULA ]],[1]!VIERNES[#Data],5,0),"No registró")</f>
        <v>No registró</v>
      </c>
      <c r="L317" s="359" t="str">
        <f>IFERROR(LOOKUP(2,1/([1]!VIERNES[[CEDULA ]]=[1]!Tabla9[[#This Row],[CEDULA ]]),[1]!VIERNES[HORA]),"No registró")</f>
        <v>No registró</v>
      </c>
      <c r="M317" s="359" t="str">
        <f>IFERROR(VLOOKUP([1]!Tabla9[[CEDULA ]],[1]!SABADO[#Data],5,0),"No registró")</f>
        <v>No registró</v>
      </c>
      <c r="N317" s="359" t="str">
        <f>IFERROR(LOOKUP(2,1/([1]!SABADO[[CEDULA ]]=[1]!Tabla9[[#This Row],[CEDULA ]]),[1]!SABADO[HORA]),"No registró")</f>
        <v>No registró</v>
      </c>
      <c r="O317" s="359" t="str">
        <f>IFERROR(VLOOKUP([1]!Tabla9[[CEDULA ]],[1]!DOMINGO[#Data],5,0),"No registró")</f>
        <v>No registró</v>
      </c>
      <c r="P317" s="359" t="str">
        <f>IFERROR(LOOKUP(2,1/([1]!DOMINGO[[CEDULA ]]=[1]!Tabla9[[#This Row],[CEDULA ]]),[1]!DOMINGO[HORA]),"No registró")</f>
        <v>No registró</v>
      </c>
      <c r="Q317" s="240" t="str">
        <f>IFERROR(VLOOKUP(A317,DATOS[],10,0),"")</f>
        <v xml:space="preserve"> </v>
      </c>
    </row>
    <row r="318" spans="1:17" x14ac:dyDescent="0.25">
      <c r="A318" s="239">
        <v>18329156</v>
      </c>
      <c r="B318" s="239" t="s">
        <v>1291</v>
      </c>
      <c r="C318" s="359">
        <f>IFERROR(VLOOKUP([1]!Tabla9[[CEDULA ]],[1]!LUNES[#Data],5,0),"No registró")</f>
        <v>0.27608796296296295</v>
      </c>
      <c r="D318" s="359">
        <f>IFERROR(LOOKUP(2,1/([1]!LUNES[[CEDULA ]]=[1]!Tabla9[[#This Row],[CEDULA ]]),[1]!LUNES[HORA]),"No registró")</f>
        <v>0.55372685185185189</v>
      </c>
      <c r="E318" s="359">
        <f>IFERROR(VLOOKUP([1]!Tabla9[[CEDULA ]],[1]!MARTES[#Data],5,0),"No registró")</f>
        <v>0.27633101851851855</v>
      </c>
      <c r="F318" s="359">
        <f>IFERROR(LOOKUP(2,1/([1]!MARTES[[CEDULA ]]=[1]!Tabla9[[#This Row],[CEDULA ]]),[1]!MARTES[HORA]),"No Registró")</f>
        <v>0.55329861111111112</v>
      </c>
      <c r="G318" s="359" t="str">
        <f>IFERROR(VLOOKUP([1]!Tabla9[[CEDULA ]],[1]!MIERCOLES[#Data],5,0),"No registró")</f>
        <v>No registró</v>
      </c>
      <c r="H318" s="359" t="str">
        <f>IFERROR(LOOKUP(2,1/([1]!MIERCOLES[[CEDULA ]]=[1]!Tabla9[[#This Row],[CEDULA ]]),[1]!MIERCOLES[HORA]),"No registró")</f>
        <v>No registró</v>
      </c>
      <c r="I318" s="359" t="str">
        <f>IFERROR(VLOOKUP([1]!Tabla9[[CEDULA ]],[1]!JUEVES[#Data],5,0),"No Registró")</f>
        <v>No Registró</v>
      </c>
      <c r="J318" s="359" t="str">
        <f>IFERROR(LOOKUP(2,1/([1]!JUEVES[[CEDULA ]]=[1]!Tabla9[[#This Row],[CEDULA ]]),[1]!JUEVES[HORA]),"No registró")</f>
        <v>No registró</v>
      </c>
      <c r="K318" s="359" t="str">
        <f>IFERROR(VLOOKUP([1]!Tabla9[[CEDULA ]],[1]!VIERNES[#Data],5,0),"No registró")</f>
        <v>No registró</v>
      </c>
      <c r="L318" s="359" t="str">
        <f>IFERROR(LOOKUP(2,1/([1]!VIERNES[[CEDULA ]]=[1]!Tabla9[[#This Row],[CEDULA ]]),[1]!VIERNES[HORA]),"No registró")</f>
        <v>No registró</v>
      </c>
      <c r="M318" s="359" t="str">
        <f>IFERROR(VLOOKUP([1]!Tabla9[[CEDULA ]],[1]!SABADO[#Data],5,0),"No registró")</f>
        <v>No registró</v>
      </c>
      <c r="N318" s="359" t="str">
        <f>IFERROR(LOOKUP(2,1/([1]!SABADO[[CEDULA ]]=[1]!Tabla9[[#This Row],[CEDULA ]]),[1]!SABADO[HORA]),"No registró")</f>
        <v>No registró</v>
      </c>
      <c r="O318" s="359" t="str">
        <f>IFERROR(VLOOKUP([1]!Tabla9[[CEDULA ]],[1]!DOMINGO[#Data],5,0),"No registró")</f>
        <v>No registró</v>
      </c>
      <c r="P318" s="359" t="str">
        <f>IFERROR(LOOKUP(2,1/([1]!DOMINGO[[CEDULA ]]=[1]!Tabla9[[#This Row],[CEDULA ]]),[1]!DOMINGO[HORA]),"No registró")</f>
        <v>No registró</v>
      </c>
      <c r="Q318" s="240">
        <f>IFERROR(VLOOKUP(A318,DATOS[],10,0),"")</f>
        <v>0</v>
      </c>
    </row>
    <row r="319" spans="1:17" x14ac:dyDescent="0.25">
      <c r="A319" s="239">
        <v>18500002</v>
      </c>
      <c r="B319" s="239" t="s">
        <v>1292</v>
      </c>
      <c r="C319" s="359">
        <f>IFERROR(VLOOKUP([1]!Tabla9[[CEDULA ]],[1]!LUNES[#Data],5,0),"No registró")</f>
        <v>0.28894675925925922</v>
      </c>
      <c r="D319" s="359">
        <f>IFERROR(LOOKUP(2,1/([1]!LUNES[[CEDULA ]]=[1]!Tabla9[[#This Row],[CEDULA ]]),[1]!LUNES[HORA]),"No registró")</f>
        <v>0.55359953703703701</v>
      </c>
      <c r="E319" s="359">
        <f>IFERROR(VLOOKUP([1]!Tabla9[[CEDULA ]],[1]!MARTES[#Data],5,0),"No registró")</f>
        <v>0.28600694444444447</v>
      </c>
      <c r="F319" s="359">
        <f>IFERROR(LOOKUP(2,1/([1]!MARTES[[CEDULA ]]=[1]!Tabla9[[#This Row],[CEDULA ]]),[1]!MARTES[HORA]),"No Registró")</f>
        <v>0.55427083333333338</v>
      </c>
      <c r="G319" s="359" t="str">
        <f>IFERROR(VLOOKUP([1]!Tabla9[[CEDULA ]],[1]!MIERCOLES[#Data],5,0),"No registró")</f>
        <v>No registró</v>
      </c>
      <c r="H319" s="359" t="str">
        <f>IFERROR(LOOKUP(2,1/([1]!MIERCOLES[[CEDULA ]]=[1]!Tabla9[[#This Row],[CEDULA ]]),[1]!MIERCOLES[HORA]),"No registró")</f>
        <v>No registró</v>
      </c>
      <c r="I319" s="359" t="str">
        <f>IFERROR(VLOOKUP([1]!Tabla9[[CEDULA ]],[1]!JUEVES[#Data],5,0),"No Registró")</f>
        <v>No Registró</v>
      </c>
      <c r="J319" s="359" t="str">
        <f>IFERROR(LOOKUP(2,1/([1]!JUEVES[[CEDULA ]]=[1]!Tabla9[[#This Row],[CEDULA ]]),[1]!JUEVES[HORA]),"No registró")</f>
        <v>No registró</v>
      </c>
      <c r="K319" s="359" t="str">
        <f>IFERROR(VLOOKUP([1]!Tabla9[[CEDULA ]],[1]!VIERNES[#Data],5,0),"No registró")</f>
        <v>No registró</v>
      </c>
      <c r="L319" s="359" t="str">
        <f>IFERROR(LOOKUP(2,1/([1]!VIERNES[[CEDULA ]]=[1]!Tabla9[[#This Row],[CEDULA ]]),[1]!VIERNES[HORA]),"No registró")</f>
        <v>No registró</v>
      </c>
      <c r="M319" s="359" t="str">
        <f>IFERROR(VLOOKUP([1]!Tabla9[[CEDULA ]],[1]!SABADO[#Data],5,0),"No registró")</f>
        <v>No registró</v>
      </c>
      <c r="N319" s="359" t="str">
        <f>IFERROR(LOOKUP(2,1/([1]!SABADO[[CEDULA ]]=[1]!Tabla9[[#This Row],[CEDULA ]]),[1]!SABADO[HORA]),"No registró")</f>
        <v>No registró</v>
      </c>
      <c r="O319" s="359" t="str">
        <f>IFERROR(VLOOKUP([1]!Tabla9[[CEDULA ]],[1]!DOMINGO[#Data],5,0),"No registró")</f>
        <v>No registró</v>
      </c>
      <c r="P319" s="359" t="str">
        <f>IFERROR(LOOKUP(2,1/([1]!DOMINGO[[CEDULA ]]=[1]!Tabla9[[#This Row],[CEDULA ]]),[1]!DOMINGO[HORA]),"No registró")</f>
        <v>No registró</v>
      </c>
      <c r="Q319" s="240">
        <f>IFERROR(VLOOKUP(A319,DATOS[],10,0),"")</f>
        <v>0</v>
      </c>
    </row>
    <row r="320" spans="1:17" x14ac:dyDescent="0.25">
      <c r="A320" s="239">
        <v>18541368</v>
      </c>
      <c r="B320" s="239" t="s">
        <v>1293</v>
      </c>
      <c r="C320" s="359">
        <f>IFERROR(VLOOKUP([1]!Tabla9[[CEDULA ]],[1]!LUNES[#Data],5,0),"No registró")</f>
        <v>0.30864583333333334</v>
      </c>
      <c r="D320" s="359">
        <f>IFERROR(LOOKUP(2,1/([1]!LUNES[[CEDULA ]]=[1]!Tabla9[[#This Row],[CEDULA ]]),[1]!LUNES[HORA]),"No registró")</f>
        <v>0.38332175925925926</v>
      </c>
      <c r="E320" s="359">
        <f>IFERROR(VLOOKUP([1]!Tabla9[[CEDULA ]],[1]!MARTES[#Data],5,0),"No registró")</f>
        <v>0.33762731481481478</v>
      </c>
      <c r="F320" s="360" t="s">
        <v>988</v>
      </c>
      <c r="G320" s="359" t="str">
        <f>IFERROR(VLOOKUP([1]!Tabla9[[CEDULA ]],[1]!MIERCOLES[#Data],5,0),"No registró")</f>
        <v>No registró</v>
      </c>
      <c r="H320" s="359" t="str">
        <f>IFERROR(LOOKUP(2,1/([1]!MIERCOLES[[CEDULA ]]=[1]!Tabla9[[#This Row],[CEDULA ]]),[1]!MIERCOLES[HORA]),"No registró")</f>
        <v>No registró</v>
      </c>
      <c r="I320" s="359" t="str">
        <f>IFERROR(VLOOKUP([1]!Tabla9[[CEDULA ]],[1]!JUEVES[#Data],5,0),"No Registró")</f>
        <v>No Registró</v>
      </c>
      <c r="J320" s="359" t="str">
        <f>IFERROR(LOOKUP(2,1/([1]!JUEVES[[CEDULA ]]=[1]!Tabla9[[#This Row],[CEDULA ]]),[1]!JUEVES[HORA]),"No registró")</f>
        <v>No registró</v>
      </c>
      <c r="K320" s="359" t="str">
        <f>IFERROR(VLOOKUP([1]!Tabla9[[CEDULA ]],[1]!VIERNES[#Data],5,0),"No registró")</f>
        <v>No registró</v>
      </c>
      <c r="L320" s="359" t="str">
        <f>IFERROR(LOOKUP(2,1/([1]!VIERNES[[CEDULA ]]=[1]!Tabla9[[#This Row],[CEDULA ]]),[1]!VIERNES[HORA]),"No registró")</f>
        <v>No registró</v>
      </c>
      <c r="M320" s="359" t="str">
        <f>IFERROR(VLOOKUP([1]!Tabla9[[CEDULA ]],[1]!SABADO[#Data],5,0),"No registró")</f>
        <v>No registró</v>
      </c>
      <c r="N320" s="359" t="str">
        <f>IFERROR(LOOKUP(2,1/([1]!SABADO[[CEDULA ]]=[1]!Tabla9[[#This Row],[CEDULA ]]),[1]!SABADO[HORA]),"No registró")</f>
        <v>No registró</v>
      </c>
      <c r="O320" s="359" t="str">
        <f>IFERROR(VLOOKUP([1]!Tabla9[[CEDULA ]],[1]!DOMINGO[#Data],5,0),"No registró")</f>
        <v>No registró</v>
      </c>
      <c r="P320" s="359" t="str">
        <f>IFERROR(LOOKUP(2,1/([1]!DOMINGO[[CEDULA ]]=[1]!Tabla9[[#This Row],[CEDULA ]]),[1]!DOMINGO[HORA]),"No registró")</f>
        <v>No registró</v>
      </c>
      <c r="Q320" s="240" t="str">
        <f>IFERROR(VLOOKUP(A320,DATOS[],10,0),"")</f>
        <v>4. VALLES DEL TUY</v>
      </c>
    </row>
    <row r="321" spans="1:17" x14ac:dyDescent="0.25">
      <c r="A321" s="239">
        <v>18597674</v>
      </c>
      <c r="B321" s="239" t="s">
        <v>1294</v>
      </c>
      <c r="C321" s="359" t="str">
        <f>IFERROR(VLOOKUP([1]!Tabla9[[CEDULA ]],[1]!LUNES[#Data],5,0),"No registró")</f>
        <v>No registró</v>
      </c>
      <c r="D321" s="359" t="str">
        <f>IFERROR(LOOKUP(2,1/([1]!LUNES[[CEDULA ]]=[1]!Tabla9[[#This Row],[CEDULA ]]),[1]!LUNES[HORA]),"No registró")</f>
        <v>No registró</v>
      </c>
      <c r="E321" s="359">
        <f>IFERROR(VLOOKUP([1]!Tabla9[[CEDULA ]],[1]!MARTES[#Data],5,0),"No registró")</f>
        <v>0.31659722222222225</v>
      </c>
      <c r="F321" s="359">
        <f>IFERROR(LOOKUP(2,1/([1]!MARTES[[CEDULA ]]=[1]!Tabla9[[#This Row],[CEDULA ]]),[1]!MARTES[HORA]),"No Registró")</f>
        <v>0.57784722222222229</v>
      </c>
      <c r="G321" s="359" t="str">
        <f>IFERROR(VLOOKUP([1]!Tabla9[[CEDULA ]],[1]!MIERCOLES[#Data],5,0),"No registró")</f>
        <v>No registró</v>
      </c>
      <c r="H321" s="359" t="str">
        <f>IFERROR(LOOKUP(2,1/([1]!MIERCOLES[[CEDULA ]]=[1]!Tabla9[[#This Row],[CEDULA ]]),[1]!MIERCOLES[HORA]),"No registró")</f>
        <v>No registró</v>
      </c>
      <c r="I321" s="359" t="str">
        <f>IFERROR(VLOOKUP([1]!Tabla9[[CEDULA ]],[1]!JUEVES[#Data],5,0),"No Registró")</f>
        <v>No Registró</v>
      </c>
      <c r="J321" s="359" t="str">
        <f>IFERROR(LOOKUP(2,1/([1]!JUEVES[[CEDULA ]]=[1]!Tabla9[[#This Row],[CEDULA ]]),[1]!JUEVES[HORA]),"No registró")</f>
        <v>No registró</v>
      </c>
      <c r="K321" s="359" t="str">
        <f>IFERROR(VLOOKUP([1]!Tabla9[[CEDULA ]],[1]!VIERNES[#Data],5,0),"No registró")</f>
        <v>No registró</v>
      </c>
      <c r="L321" s="359" t="str">
        <f>IFERROR(LOOKUP(2,1/([1]!VIERNES[[CEDULA ]]=[1]!Tabla9[[#This Row],[CEDULA ]]),[1]!VIERNES[HORA]),"No registró")</f>
        <v>No registró</v>
      </c>
      <c r="M321" s="359" t="str">
        <f>IFERROR(VLOOKUP([1]!Tabla9[[CEDULA ]],[1]!SABADO[#Data],5,0),"No registró")</f>
        <v>No registró</v>
      </c>
      <c r="N321" s="359" t="str">
        <f>IFERROR(LOOKUP(2,1/([1]!SABADO[[CEDULA ]]=[1]!Tabla9[[#This Row],[CEDULA ]]),[1]!SABADO[HORA]),"No registró")</f>
        <v>No registró</v>
      </c>
      <c r="O321" s="359" t="str">
        <f>IFERROR(VLOOKUP([1]!Tabla9[[CEDULA ]],[1]!DOMINGO[#Data],5,0),"No registró")</f>
        <v>No registró</v>
      </c>
      <c r="P321" s="359" t="str">
        <f>IFERROR(LOOKUP(2,1/([1]!DOMINGO[[CEDULA ]]=[1]!Tabla9[[#This Row],[CEDULA ]]),[1]!DOMINGO[HORA]),"No registró")</f>
        <v>No registró</v>
      </c>
      <c r="Q321" s="240">
        <f>IFERROR(VLOOKUP(A321,DATOS[],10,0),"")</f>
        <v>0</v>
      </c>
    </row>
    <row r="322" spans="1:17" x14ac:dyDescent="0.25">
      <c r="A322" s="239">
        <v>18708245</v>
      </c>
      <c r="B322" s="239" t="s">
        <v>1295</v>
      </c>
      <c r="C322" s="359">
        <f>IFERROR(VLOOKUP([1]!Tabla9[[CEDULA ]],[1]!LUNES[#Data],5,0),"No registró")</f>
        <v>0.30939814814814814</v>
      </c>
      <c r="D322" s="359">
        <f>IFERROR(LOOKUP(2,1/([1]!LUNES[[CEDULA ]]=[1]!Tabla9[[#This Row],[CEDULA ]]),[1]!LUNES[HORA]),"No registró")</f>
        <v>0.5519560185185185</v>
      </c>
      <c r="E322" s="359">
        <f>IFERROR(VLOOKUP([1]!Tabla9[[CEDULA ]],[1]!MARTES[#Data],5,0),"No registró")</f>
        <v>0.33770833333333333</v>
      </c>
      <c r="F322" s="359">
        <f>IFERROR(LOOKUP(2,1/([1]!MARTES[[CEDULA ]]=[1]!Tabla9[[#This Row],[CEDULA ]]),[1]!MARTES[HORA]),"No Registró")</f>
        <v>0.55076388888888894</v>
      </c>
      <c r="G322" s="359" t="str">
        <f>IFERROR(VLOOKUP([1]!Tabla9[[CEDULA ]],[1]!MIERCOLES[#Data],5,0),"No registró")</f>
        <v>No registró</v>
      </c>
      <c r="H322" s="359" t="str">
        <f>IFERROR(LOOKUP(2,1/([1]!MIERCOLES[[CEDULA ]]=[1]!Tabla9[[#This Row],[CEDULA ]]),[1]!MIERCOLES[HORA]),"No registró")</f>
        <v>No registró</v>
      </c>
      <c r="I322" s="359" t="str">
        <f>IFERROR(VLOOKUP([1]!Tabla9[[CEDULA ]],[1]!JUEVES[#Data],5,0),"No Registró")</f>
        <v>No Registró</v>
      </c>
      <c r="J322" s="359" t="str">
        <f>IFERROR(LOOKUP(2,1/([1]!JUEVES[[CEDULA ]]=[1]!Tabla9[[#This Row],[CEDULA ]]),[1]!JUEVES[HORA]),"No registró")</f>
        <v>No registró</v>
      </c>
      <c r="K322" s="359" t="str">
        <f>IFERROR(VLOOKUP([1]!Tabla9[[CEDULA ]],[1]!VIERNES[#Data],5,0),"No registró")</f>
        <v>No registró</v>
      </c>
      <c r="L322" s="359" t="str">
        <f>IFERROR(LOOKUP(2,1/([1]!VIERNES[[CEDULA ]]=[1]!Tabla9[[#This Row],[CEDULA ]]),[1]!VIERNES[HORA]),"No registró")</f>
        <v>No registró</v>
      </c>
      <c r="M322" s="359" t="str">
        <f>IFERROR(VLOOKUP([1]!Tabla9[[CEDULA ]],[1]!SABADO[#Data],5,0),"No registró")</f>
        <v>No registró</v>
      </c>
      <c r="N322" s="359" t="str">
        <f>IFERROR(LOOKUP(2,1/([1]!SABADO[[CEDULA ]]=[1]!Tabla9[[#This Row],[CEDULA ]]),[1]!SABADO[HORA]),"No registró")</f>
        <v>No registró</v>
      </c>
      <c r="O322" s="359" t="str">
        <f>IFERROR(VLOOKUP([1]!Tabla9[[CEDULA ]],[1]!DOMINGO[#Data],5,0),"No registró")</f>
        <v>No registró</v>
      </c>
      <c r="P322" s="359" t="str">
        <f>IFERROR(LOOKUP(2,1/([1]!DOMINGO[[CEDULA ]]=[1]!Tabla9[[#This Row],[CEDULA ]]),[1]!DOMINGO[HORA]),"No registró")</f>
        <v>No registró</v>
      </c>
      <c r="Q322" s="240" t="str">
        <f>IFERROR(VLOOKUP(A322,DATOS[],10,0),"")</f>
        <v>4. VALLES DEL TUY</v>
      </c>
    </row>
    <row r="323" spans="1:17" x14ac:dyDescent="0.25">
      <c r="A323" s="239">
        <v>18750804</v>
      </c>
      <c r="B323" s="239" t="s">
        <v>1296</v>
      </c>
      <c r="C323" s="359">
        <f>IFERROR(VLOOKUP([1]!Tabla9[[CEDULA ]],[1]!LUNES[#Data],5,0),"No registró")</f>
        <v>0.28486111111111112</v>
      </c>
      <c r="D323" s="359">
        <f>IFERROR(LOOKUP(2,1/([1]!LUNES[[CEDULA ]]=[1]!Tabla9[[#This Row],[CEDULA ]]),[1]!LUNES[HORA]),"No registró")</f>
        <v>0.55112268518518526</v>
      </c>
      <c r="E323" s="359">
        <f>IFERROR(VLOOKUP([1]!Tabla9[[CEDULA ]],[1]!MARTES[#Data],5,0),"No registró")</f>
        <v>0.25655092592592593</v>
      </c>
      <c r="F323" s="359">
        <f>IFERROR(LOOKUP(2,1/([1]!MARTES[[CEDULA ]]=[1]!Tabla9[[#This Row],[CEDULA ]]),[1]!MARTES[HORA]),"No Registró")</f>
        <v>0.54956018518518512</v>
      </c>
      <c r="G323" s="359" t="str">
        <f>IFERROR(VLOOKUP([1]!Tabla9[[CEDULA ]],[1]!MIERCOLES[#Data],5,0),"No registró")</f>
        <v>No registró</v>
      </c>
      <c r="H323" s="359" t="str">
        <f>IFERROR(LOOKUP(2,1/([1]!MIERCOLES[[CEDULA ]]=[1]!Tabla9[[#This Row],[CEDULA ]]),[1]!MIERCOLES[HORA]),"No registró")</f>
        <v>No registró</v>
      </c>
      <c r="I323" s="359" t="str">
        <f>IFERROR(VLOOKUP([1]!Tabla9[[CEDULA ]],[1]!JUEVES[#Data],5,0),"No Registró")</f>
        <v>No Registró</v>
      </c>
      <c r="J323" s="359" t="str">
        <f>IFERROR(LOOKUP(2,1/([1]!JUEVES[[CEDULA ]]=[1]!Tabla9[[#This Row],[CEDULA ]]),[1]!JUEVES[HORA]),"No registró")</f>
        <v>No registró</v>
      </c>
      <c r="K323" s="359" t="str">
        <f>IFERROR(VLOOKUP([1]!Tabla9[[CEDULA ]],[1]!VIERNES[#Data],5,0),"No registró")</f>
        <v>No registró</v>
      </c>
      <c r="L323" s="359" t="str">
        <f>IFERROR(LOOKUP(2,1/([1]!VIERNES[[CEDULA ]]=[1]!Tabla9[[#This Row],[CEDULA ]]),[1]!VIERNES[HORA]),"No registró")</f>
        <v>No registró</v>
      </c>
      <c r="M323" s="359" t="str">
        <f>IFERROR(VLOOKUP([1]!Tabla9[[CEDULA ]],[1]!SABADO[#Data],5,0),"No registró")</f>
        <v>No registró</v>
      </c>
      <c r="N323" s="359" t="str">
        <f>IFERROR(LOOKUP(2,1/([1]!SABADO[[CEDULA ]]=[1]!Tabla9[[#This Row],[CEDULA ]]),[1]!SABADO[HORA]),"No registró")</f>
        <v>No registró</v>
      </c>
      <c r="O323" s="359" t="str">
        <f>IFERROR(VLOOKUP([1]!Tabla9[[CEDULA ]],[1]!DOMINGO[#Data],5,0),"No registró")</f>
        <v>No registró</v>
      </c>
      <c r="P323" s="359" t="str">
        <f>IFERROR(LOOKUP(2,1/([1]!DOMINGO[[CEDULA ]]=[1]!Tabla9[[#This Row],[CEDULA ]]),[1]!DOMINGO[HORA]),"No registró")</f>
        <v>No registró</v>
      </c>
      <c r="Q323" s="240" t="str">
        <f>IFERROR(VLOOKUP(A323,DATOS[],10,0),"")</f>
        <v>1. COCHE</v>
      </c>
    </row>
    <row r="324" spans="1:17" x14ac:dyDescent="0.25">
      <c r="A324" s="239">
        <v>18760583</v>
      </c>
      <c r="B324" s="239" t="s">
        <v>1297</v>
      </c>
      <c r="C324" s="359">
        <f>IFERROR(VLOOKUP([1]!Tabla9[[CEDULA ]],[1]!LUNES[#Data],5,0),"No registró")</f>
        <v>0.29200231481481481</v>
      </c>
      <c r="D324" s="359">
        <f>IFERROR(LOOKUP(2,1/([1]!LUNES[[CEDULA ]]=[1]!Tabla9[[#This Row],[CEDULA ]]),[1]!LUNES[HORA]),"No registró")</f>
        <v>0.5417939814814815</v>
      </c>
      <c r="E324" s="359">
        <f>IFERROR(VLOOKUP([1]!Tabla9[[CEDULA ]],[1]!MARTES[#Data],5,0),"No registró")</f>
        <v>0.29375000000000001</v>
      </c>
      <c r="F324" s="359">
        <f>IFERROR(LOOKUP(2,1/([1]!MARTES[[CEDULA ]]=[1]!Tabla9[[#This Row],[CEDULA ]]),[1]!MARTES[HORA]),"No Registró")</f>
        <v>0.55407407407407405</v>
      </c>
      <c r="G324" s="359" t="str">
        <f>IFERROR(VLOOKUP([1]!Tabla9[[CEDULA ]],[1]!MIERCOLES[#Data],5,0),"No registró")</f>
        <v>No registró</v>
      </c>
      <c r="H324" s="359" t="str">
        <f>IFERROR(LOOKUP(2,1/([1]!MIERCOLES[[CEDULA ]]=[1]!Tabla9[[#This Row],[CEDULA ]]),[1]!MIERCOLES[HORA]),"No registró")</f>
        <v>No registró</v>
      </c>
      <c r="I324" s="359" t="str">
        <f>IFERROR(VLOOKUP([1]!Tabla9[[CEDULA ]],[1]!JUEVES[#Data],5,0),"No Registró")</f>
        <v>No Registró</v>
      </c>
      <c r="J324" s="359" t="str">
        <f>IFERROR(LOOKUP(2,1/([1]!JUEVES[[CEDULA ]]=[1]!Tabla9[[#This Row],[CEDULA ]]),[1]!JUEVES[HORA]),"No registró")</f>
        <v>No registró</v>
      </c>
      <c r="K324" s="359" t="str">
        <f>IFERROR(VLOOKUP([1]!Tabla9[[CEDULA ]],[1]!VIERNES[#Data],5,0),"No registró")</f>
        <v>No registró</v>
      </c>
      <c r="L324" s="359" t="str">
        <f>IFERROR(LOOKUP(2,1/([1]!VIERNES[[CEDULA ]]=[1]!Tabla9[[#This Row],[CEDULA ]]),[1]!VIERNES[HORA]),"No registró")</f>
        <v>No registró</v>
      </c>
      <c r="M324" s="359" t="str">
        <f>IFERROR(VLOOKUP([1]!Tabla9[[CEDULA ]],[1]!SABADO[#Data],5,0),"No registró")</f>
        <v>No registró</v>
      </c>
      <c r="N324" s="359" t="str">
        <f>IFERROR(LOOKUP(2,1/([1]!SABADO[[CEDULA ]]=[1]!Tabla9[[#This Row],[CEDULA ]]),[1]!SABADO[HORA]),"No registró")</f>
        <v>No registró</v>
      </c>
      <c r="O324" s="359" t="str">
        <f>IFERROR(VLOOKUP([1]!Tabla9[[CEDULA ]],[1]!DOMINGO[#Data],5,0),"No registró")</f>
        <v>No registró</v>
      </c>
      <c r="P324" s="359" t="str">
        <f>IFERROR(LOOKUP(2,1/([1]!DOMINGO[[CEDULA ]]=[1]!Tabla9[[#This Row],[CEDULA ]]),[1]!DOMINGO[HORA]),"No registró")</f>
        <v>No registró</v>
      </c>
      <c r="Q324" s="240">
        <f>IFERROR(VLOOKUP(A324,DATOS[],10,0),"")</f>
        <v>0</v>
      </c>
    </row>
    <row r="325" spans="1:17" x14ac:dyDescent="0.25">
      <c r="A325" s="239">
        <v>18791565</v>
      </c>
      <c r="B325" s="239" t="s">
        <v>1298</v>
      </c>
      <c r="C325" s="359">
        <f>IFERROR(VLOOKUP([1]!Tabla9[[CEDULA ]],[1]!LUNES[#Data],5,0),"No registró")</f>
        <v>0.31723379629629628</v>
      </c>
      <c r="D325" s="359">
        <f>IFERROR(LOOKUP(2,1/([1]!LUNES[[CEDULA ]]=[1]!Tabla9[[#This Row],[CEDULA ]]),[1]!LUNES[HORA]),"No registró")</f>
        <v>0.60354166666666664</v>
      </c>
      <c r="E325" s="359">
        <f>IFERROR(VLOOKUP([1]!Tabla9[[CEDULA ]],[1]!MARTES[#Data],5,0),"No registró")</f>
        <v>0.30437500000000001</v>
      </c>
      <c r="F325" s="359">
        <f>IFERROR(LOOKUP(2,1/([1]!MARTES[[CEDULA ]]=[1]!Tabla9[[#This Row],[CEDULA ]]),[1]!MARTES[HORA]),"No Registró")</f>
        <v>0.55651620370370369</v>
      </c>
      <c r="G325" s="359" t="str">
        <f>IFERROR(VLOOKUP([1]!Tabla9[[CEDULA ]],[1]!MIERCOLES[#Data],5,0),"No registró")</f>
        <v>No registró</v>
      </c>
      <c r="H325" s="359" t="str">
        <f>IFERROR(LOOKUP(2,1/([1]!MIERCOLES[[CEDULA ]]=[1]!Tabla9[[#This Row],[CEDULA ]]),[1]!MIERCOLES[HORA]),"No registró")</f>
        <v>No registró</v>
      </c>
      <c r="I325" s="359" t="str">
        <f>IFERROR(VLOOKUP([1]!Tabla9[[CEDULA ]],[1]!JUEVES[#Data],5,0),"No Registró")</f>
        <v>No Registró</v>
      </c>
      <c r="J325" s="359" t="str">
        <f>IFERROR(LOOKUP(2,1/([1]!JUEVES[[CEDULA ]]=[1]!Tabla9[[#This Row],[CEDULA ]]),[1]!JUEVES[HORA]),"No registró")</f>
        <v>No registró</v>
      </c>
      <c r="K325" s="359" t="str">
        <f>IFERROR(VLOOKUP([1]!Tabla9[[CEDULA ]],[1]!VIERNES[#Data],5,0),"No registró")</f>
        <v>No registró</v>
      </c>
      <c r="L325" s="359" t="str">
        <f>IFERROR(LOOKUP(2,1/([1]!VIERNES[[CEDULA ]]=[1]!Tabla9[[#This Row],[CEDULA ]]),[1]!VIERNES[HORA]),"No registró")</f>
        <v>No registró</v>
      </c>
      <c r="M325" s="359" t="str">
        <f>IFERROR(VLOOKUP([1]!Tabla9[[CEDULA ]],[1]!SABADO[#Data],5,0),"No registró")</f>
        <v>No registró</v>
      </c>
      <c r="N325" s="359" t="str">
        <f>IFERROR(LOOKUP(2,1/([1]!SABADO[[CEDULA ]]=[1]!Tabla9[[#This Row],[CEDULA ]]),[1]!SABADO[HORA]),"No registró")</f>
        <v>No registró</v>
      </c>
      <c r="O325" s="359" t="str">
        <f>IFERROR(VLOOKUP([1]!Tabla9[[CEDULA ]],[1]!DOMINGO[#Data],5,0),"No registró")</f>
        <v>No registró</v>
      </c>
      <c r="P325" s="359" t="str">
        <f>IFERROR(LOOKUP(2,1/([1]!DOMINGO[[CEDULA ]]=[1]!Tabla9[[#This Row],[CEDULA ]]),[1]!DOMINGO[HORA]),"No registró")</f>
        <v>No registró</v>
      </c>
      <c r="Q325" s="240">
        <f>IFERROR(VLOOKUP(A325,DATOS[],10,0),"")</f>
        <v>0</v>
      </c>
    </row>
    <row r="326" spans="1:17" x14ac:dyDescent="0.25">
      <c r="A326" s="239">
        <v>18837159</v>
      </c>
      <c r="B326" s="239" t="s">
        <v>1416</v>
      </c>
      <c r="C326" s="359">
        <f>IFERROR(VLOOKUP([1]!Tabla9[[CEDULA ]],[1]!LUNES[#Data],5,0),"No registró")</f>
        <v>0.27771990740740743</v>
      </c>
      <c r="D326" s="359">
        <f>IFERROR(LOOKUP(2,1/([1]!LUNES[[CEDULA ]]=[1]!Tabla9[[#This Row],[CEDULA ]]),[1]!LUNES[HORA]),"No registró")</f>
        <v>0.55238425925925927</v>
      </c>
      <c r="E326" s="359">
        <f>IFERROR(VLOOKUP([1]!Tabla9[[CEDULA ]],[1]!MARTES[#Data],5,0),"No registró")</f>
        <v>0.27741898148148147</v>
      </c>
      <c r="F326" s="359">
        <f>IFERROR(LOOKUP(2,1/([1]!MARTES[[CEDULA ]]=[1]!Tabla9[[#This Row],[CEDULA ]]),[1]!MARTES[HORA]),"No Registró")</f>
        <v>0.55100694444444442</v>
      </c>
      <c r="G326" s="359" t="str">
        <f>IFERROR(VLOOKUP([1]!Tabla9[[CEDULA ]],[1]!MIERCOLES[#Data],5,0),"No registró")</f>
        <v>No registró</v>
      </c>
      <c r="H326" s="359" t="str">
        <f>IFERROR(LOOKUP(2,1/([1]!MIERCOLES[[CEDULA ]]=[1]!Tabla9[[#This Row],[CEDULA ]]),[1]!MIERCOLES[HORA]),"No registró")</f>
        <v>No registró</v>
      </c>
      <c r="I326" s="359" t="str">
        <f>IFERROR(VLOOKUP([1]!Tabla9[[CEDULA ]],[1]!JUEVES[#Data],5,0),"No Registró")</f>
        <v>No Registró</v>
      </c>
      <c r="J326" s="359" t="str">
        <f>IFERROR(LOOKUP(2,1/([1]!JUEVES[[CEDULA ]]=[1]!Tabla9[[#This Row],[CEDULA ]]),[1]!JUEVES[HORA]),"No registró")</f>
        <v>No registró</v>
      </c>
      <c r="K326" s="359" t="str">
        <f>IFERROR(VLOOKUP([1]!Tabla9[[CEDULA ]],[1]!VIERNES[#Data],5,0),"No registró")</f>
        <v>No registró</v>
      </c>
      <c r="L326" s="359" t="str">
        <f>IFERROR(LOOKUP(2,1/([1]!VIERNES[[CEDULA ]]=[1]!Tabla9[[#This Row],[CEDULA ]]),[1]!VIERNES[HORA]),"No registró")</f>
        <v>No registró</v>
      </c>
      <c r="M326" s="359" t="str">
        <f>IFERROR(VLOOKUP([1]!Tabla9[[CEDULA ]],[1]!SABADO[#Data],5,0),"No registró")</f>
        <v>No registró</v>
      </c>
      <c r="N326" s="359" t="str">
        <f>IFERROR(LOOKUP(2,1/([1]!SABADO[[CEDULA ]]=[1]!Tabla9[[#This Row],[CEDULA ]]),[1]!SABADO[HORA]),"No registró")</f>
        <v>No registró</v>
      </c>
      <c r="O326" s="359" t="str">
        <f>IFERROR(VLOOKUP([1]!Tabla9[[CEDULA ]],[1]!DOMINGO[#Data],5,0),"No registró")</f>
        <v>No registró</v>
      </c>
      <c r="P326" s="359" t="str">
        <f>IFERROR(LOOKUP(2,1/([1]!DOMINGO[[CEDULA ]]=[1]!Tabla9[[#This Row],[CEDULA ]]),[1]!DOMINGO[HORA]),"No registró")</f>
        <v>No registró</v>
      </c>
      <c r="Q326" s="240">
        <f>IFERROR(VLOOKUP(A326,DATOS[],10,0),"")</f>
        <v>0</v>
      </c>
    </row>
    <row r="327" spans="1:17" x14ac:dyDescent="0.25">
      <c r="A327" s="239">
        <v>19200366</v>
      </c>
      <c r="B327" s="239" t="s">
        <v>1299</v>
      </c>
      <c r="C327" s="359">
        <f>IFERROR(VLOOKUP([1]!Tabla9[[CEDULA ]],[1]!LUNES[#Data],5,0),"No registró")</f>
        <v>0.28756944444444443</v>
      </c>
      <c r="D327" s="359">
        <f>IFERROR(LOOKUP(2,1/([1]!LUNES[[CEDULA ]]=[1]!Tabla9[[#This Row],[CEDULA ]]),[1]!LUNES[HORA]),"No registró")</f>
        <v>0.54732638888888896</v>
      </c>
      <c r="E327" s="359">
        <f>IFERROR(VLOOKUP([1]!Tabla9[[CEDULA ]],[1]!MARTES[#Data],5,0),"No registró")</f>
        <v>0.28245370370370371</v>
      </c>
      <c r="F327" s="359">
        <f>IFERROR(LOOKUP(2,1/([1]!MARTES[[CEDULA ]]=[1]!Tabla9[[#This Row],[CEDULA ]]),[1]!MARTES[HORA]),"No Registró")</f>
        <v>0.54833333333333334</v>
      </c>
      <c r="G327" s="359" t="str">
        <f>IFERROR(VLOOKUP([1]!Tabla9[[CEDULA ]],[1]!MIERCOLES[#Data],5,0),"No registró")</f>
        <v>No registró</v>
      </c>
      <c r="H327" s="359" t="str">
        <f>IFERROR(LOOKUP(2,1/([1]!MIERCOLES[[CEDULA ]]=[1]!Tabla9[[#This Row],[CEDULA ]]),[1]!MIERCOLES[HORA]),"No registró")</f>
        <v>No registró</v>
      </c>
      <c r="I327" s="359" t="str">
        <f>IFERROR(VLOOKUP([1]!Tabla9[[CEDULA ]],[1]!JUEVES[#Data],5,0),"No Registró")</f>
        <v>No Registró</v>
      </c>
      <c r="J327" s="359" t="str">
        <f>IFERROR(LOOKUP(2,1/([1]!JUEVES[[CEDULA ]]=[1]!Tabla9[[#This Row],[CEDULA ]]),[1]!JUEVES[HORA]),"No registró")</f>
        <v>No registró</v>
      </c>
      <c r="K327" s="359" t="str">
        <f>IFERROR(VLOOKUP([1]!Tabla9[[CEDULA ]],[1]!VIERNES[#Data],5,0),"No registró")</f>
        <v>No registró</v>
      </c>
      <c r="L327" s="359" t="str">
        <f>IFERROR(LOOKUP(2,1/([1]!VIERNES[[CEDULA ]]=[1]!Tabla9[[#This Row],[CEDULA ]]),[1]!VIERNES[HORA]),"No registró")</f>
        <v>No registró</v>
      </c>
      <c r="M327" s="359" t="str">
        <f>IFERROR(VLOOKUP([1]!Tabla9[[CEDULA ]],[1]!SABADO[#Data],5,0),"No registró")</f>
        <v>No registró</v>
      </c>
      <c r="N327" s="359" t="str">
        <f>IFERROR(LOOKUP(2,1/([1]!SABADO[[CEDULA ]]=[1]!Tabla9[[#This Row],[CEDULA ]]),[1]!SABADO[HORA]),"No registró")</f>
        <v>No registró</v>
      </c>
      <c r="O327" s="359" t="str">
        <f>IFERROR(VLOOKUP([1]!Tabla9[[CEDULA ]],[1]!DOMINGO[#Data],5,0),"No registró")</f>
        <v>No registró</v>
      </c>
      <c r="P327" s="359" t="str">
        <f>IFERROR(LOOKUP(2,1/([1]!DOMINGO[[CEDULA ]]=[1]!Tabla9[[#This Row],[CEDULA ]]),[1]!DOMINGO[HORA]),"No registró")</f>
        <v>No registró</v>
      </c>
      <c r="Q327" s="240" t="str">
        <f>IFERROR(VLOOKUP(A327,DATOS[],10,0),"")</f>
        <v>5. GUARENAS</v>
      </c>
    </row>
    <row r="328" spans="1:17" x14ac:dyDescent="0.25">
      <c r="A328" s="239">
        <v>19270878</v>
      </c>
      <c r="B328" s="239" t="s">
        <v>1300</v>
      </c>
      <c r="C328" s="359">
        <f>IFERROR(VLOOKUP([1]!Tabla9[[CEDULA ]],[1]!LUNES[#Data],5,0),"No registró")</f>
        <v>0.33847222222222223</v>
      </c>
      <c r="D328" s="359">
        <f>IFERROR(LOOKUP(2,1/([1]!LUNES[[CEDULA ]]=[1]!Tabla9[[#This Row],[CEDULA ]]),[1]!LUNES[HORA]),"No registró")</f>
        <v>0.55137731481481478</v>
      </c>
      <c r="E328" s="359">
        <f>IFERROR(VLOOKUP([1]!Tabla9[[CEDULA ]],[1]!MARTES[#Data],5,0),"No registró")</f>
        <v>0.3439699074074074</v>
      </c>
      <c r="F328" s="359">
        <f>IFERROR(LOOKUP(2,1/([1]!MARTES[[CEDULA ]]=[1]!Tabla9[[#This Row],[CEDULA ]]),[1]!MARTES[HORA]),"No Registró")</f>
        <v>0.55243055555555554</v>
      </c>
      <c r="G328" s="359" t="str">
        <f>IFERROR(VLOOKUP([1]!Tabla9[[CEDULA ]],[1]!MIERCOLES[#Data],5,0),"No registró")</f>
        <v>No registró</v>
      </c>
      <c r="H328" s="359" t="str">
        <f>IFERROR(LOOKUP(2,1/([1]!MIERCOLES[[CEDULA ]]=[1]!Tabla9[[#This Row],[CEDULA ]]),[1]!MIERCOLES[HORA]),"No registró")</f>
        <v>No registró</v>
      </c>
      <c r="I328" s="359" t="str">
        <f>IFERROR(VLOOKUP([1]!Tabla9[[CEDULA ]],[1]!JUEVES[#Data],5,0),"No Registró")</f>
        <v>No Registró</v>
      </c>
      <c r="J328" s="359" t="str">
        <f>IFERROR(LOOKUP(2,1/([1]!JUEVES[[CEDULA ]]=[1]!Tabla9[[#This Row],[CEDULA ]]),[1]!JUEVES[HORA]),"No registró")</f>
        <v>No registró</v>
      </c>
      <c r="K328" s="359" t="str">
        <f>IFERROR(VLOOKUP([1]!Tabla9[[CEDULA ]],[1]!VIERNES[#Data],5,0),"No registró")</f>
        <v>No registró</v>
      </c>
      <c r="L328" s="359" t="str">
        <f>IFERROR(LOOKUP(2,1/([1]!VIERNES[[CEDULA ]]=[1]!Tabla9[[#This Row],[CEDULA ]]),[1]!VIERNES[HORA]),"No registró")</f>
        <v>No registró</v>
      </c>
      <c r="M328" s="359" t="str">
        <f>IFERROR(VLOOKUP([1]!Tabla9[[CEDULA ]],[1]!SABADO[#Data],5,0),"No registró")</f>
        <v>No registró</v>
      </c>
      <c r="N328" s="359" t="str">
        <f>IFERROR(LOOKUP(2,1/([1]!SABADO[[CEDULA ]]=[1]!Tabla9[[#This Row],[CEDULA ]]),[1]!SABADO[HORA]),"No registró")</f>
        <v>No registró</v>
      </c>
      <c r="O328" s="359" t="str">
        <f>IFERROR(VLOOKUP([1]!Tabla9[[CEDULA ]],[1]!DOMINGO[#Data],5,0),"No registró")</f>
        <v>No registró</v>
      </c>
      <c r="P328" s="359" t="str">
        <f>IFERROR(LOOKUP(2,1/([1]!DOMINGO[[CEDULA ]]=[1]!Tabla9[[#This Row],[CEDULA ]]),[1]!DOMINGO[HORA]),"No registró")</f>
        <v>No registró</v>
      </c>
      <c r="Q328" s="240">
        <f>IFERROR(VLOOKUP(A328,DATOS[],10,0),"")</f>
        <v>0</v>
      </c>
    </row>
    <row r="329" spans="1:17" x14ac:dyDescent="0.25">
      <c r="A329" s="239">
        <v>19349783</v>
      </c>
      <c r="B329" s="239" t="s">
        <v>1301</v>
      </c>
      <c r="C329" s="359">
        <f>IFERROR(VLOOKUP([1]!Tabla9[[CEDULA ]],[1]!LUNES[#Data],5,0),"No registró")</f>
        <v>0.28802083333333334</v>
      </c>
      <c r="D329" s="359">
        <f>IFERROR(LOOKUP(2,1/([1]!LUNES[[CEDULA ]]=[1]!Tabla9[[#This Row],[CEDULA ]]),[1]!LUNES[HORA]),"No registró")</f>
        <v>0.55201388888888892</v>
      </c>
      <c r="E329" s="359">
        <f>IFERROR(VLOOKUP([1]!Tabla9[[CEDULA ]],[1]!MARTES[#Data],5,0),"No registró")</f>
        <v>0.28285879629629629</v>
      </c>
      <c r="F329" s="359">
        <f>IFERROR(LOOKUP(2,1/([1]!MARTES[[CEDULA ]]=[1]!Tabla9[[#This Row],[CEDULA ]]),[1]!MARTES[HORA]),"No Registró")</f>
        <v>0.55208333333333337</v>
      </c>
      <c r="G329" s="359" t="str">
        <f>IFERROR(VLOOKUP([1]!Tabla9[[CEDULA ]],[1]!MIERCOLES[#Data],5,0),"No registró")</f>
        <v>No registró</v>
      </c>
      <c r="H329" s="359" t="str">
        <f>IFERROR(LOOKUP(2,1/([1]!MIERCOLES[[CEDULA ]]=[1]!Tabla9[[#This Row],[CEDULA ]]),[1]!MIERCOLES[HORA]),"No registró")</f>
        <v>No registró</v>
      </c>
      <c r="I329" s="359" t="str">
        <f>IFERROR(VLOOKUP([1]!Tabla9[[CEDULA ]],[1]!JUEVES[#Data],5,0),"No Registró")</f>
        <v>No Registró</v>
      </c>
      <c r="J329" s="359" t="str">
        <f>IFERROR(LOOKUP(2,1/([1]!JUEVES[[CEDULA ]]=[1]!Tabla9[[#This Row],[CEDULA ]]),[1]!JUEVES[HORA]),"No registró")</f>
        <v>No registró</v>
      </c>
      <c r="K329" s="359" t="str">
        <f>IFERROR(VLOOKUP([1]!Tabla9[[CEDULA ]],[1]!VIERNES[#Data],5,0),"No registró")</f>
        <v>No registró</v>
      </c>
      <c r="L329" s="359" t="str">
        <f>IFERROR(LOOKUP(2,1/([1]!VIERNES[[CEDULA ]]=[1]!Tabla9[[#This Row],[CEDULA ]]),[1]!VIERNES[HORA]),"No registró")</f>
        <v>No registró</v>
      </c>
      <c r="M329" s="359" t="str">
        <f>IFERROR(VLOOKUP([1]!Tabla9[[CEDULA ]],[1]!SABADO[#Data],5,0),"No registró")</f>
        <v>No registró</v>
      </c>
      <c r="N329" s="359" t="str">
        <f>IFERROR(LOOKUP(2,1/([1]!SABADO[[CEDULA ]]=[1]!Tabla9[[#This Row],[CEDULA ]]),[1]!SABADO[HORA]),"No registró")</f>
        <v>No registró</v>
      </c>
      <c r="O329" s="359" t="str">
        <f>IFERROR(VLOOKUP([1]!Tabla9[[CEDULA ]],[1]!DOMINGO[#Data],5,0),"No registró")</f>
        <v>No registró</v>
      </c>
      <c r="P329" s="359" t="str">
        <f>IFERROR(LOOKUP(2,1/([1]!DOMINGO[[CEDULA ]]=[1]!Tabla9[[#This Row],[CEDULA ]]),[1]!DOMINGO[HORA]),"No registró")</f>
        <v>No registró</v>
      </c>
      <c r="Q329" s="240" t="str">
        <f>IFERROR(VLOOKUP(A329,DATOS[],10,0),"")</f>
        <v>5. GUARENAS</v>
      </c>
    </row>
    <row r="330" spans="1:17" x14ac:dyDescent="0.25">
      <c r="A330" s="239">
        <v>19380901</v>
      </c>
      <c r="B330" s="239" t="s">
        <v>1302</v>
      </c>
      <c r="C330" s="359">
        <f>IFERROR(VLOOKUP([1]!Tabla9[[CEDULA ]],[1]!LUNES[#Data],5,0),"No registró")</f>
        <v>0.34354166666666663</v>
      </c>
      <c r="D330" s="359">
        <f>IFERROR(LOOKUP(2,1/([1]!LUNES[[CEDULA ]]=[1]!Tabla9[[#This Row],[CEDULA ]]),[1]!LUNES[HORA]),"No registró")</f>
        <v>0.56166666666666665</v>
      </c>
      <c r="E330" s="359">
        <f>IFERROR(VLOOKUP([1]!Tabla9[[CEDULA ]],[1]!MARTES[#Data],5,0),"No registró")</f>
        <v>0.33878472222222222</v>
      </c>
      <c r="F330" s="359">
        <f>IFERROR(LOOKUP(2,1/([1]!MARTES[[CEDULA ]]=[1]!Tabla9[[#This Row],[CEDULA ]]),[1]!MARTES[HORA]),"No Registró")</f>
        <v>0.58216435185185189</v>
      </c>
      <c r="G330" s="359" t="str">
        <f>IFERROR(VLOOKUP([1]!Tabla9[[CEDULA ]],[1]!MIERCOLES[#Data],5,0),"No registró")</f>
        <v>No registró</v>
      </c>
      <c r="H330" s="359" t="str">
        <f>IFERROR(LOOKUP(2,1/([1]!MIERCOLES[[CEDULA ]]=[1]!Tabla9[[#This Row],[CEDULA ]]),[1]!MIERCOLES[HORA]),"No registró")</f>
        <v>No registró</v>
      </c>
      <c r="I330" s="359" t="str">
        <f>IFERROR(VLOOKUP([1]!Tabla9[[CEDULA ]],[1]!JUEVES[#Data],5,0),"No Registró")</f>
        <v>No Registró</v>
      </c>
      <c r="J330" s="359" t="str">
        <f>IFERROR(LOOKUP(2,1/([1]!JUEVES[[CEDULA ]]=[1]!Tabla9[[#This Row],[CEDULA ]]),[1]!JUEVES[HORA]),"No registró")</f>
        <v>No registró</v>
      </c>
      <c r="K330" s="359" t="str">
        <f>IFERROR(VLOOKUP([1]!Tabla9[[CEDULA ]],[1]!VIERNES[#Data],5,0),"No registró")</f>
        <v>No registró</v>
      </c>
      <c r="L330" s="359" t="str">
        <f>IFERROR(LOOKUP(2,1/([1]!VIERNES[[CEDULA ]]=[1]!Tabla9[[#This Row],[CEDULA ]]),[1]!VIERNES[HORA]),"No registró")</f>
        <v>No registró</v>
      </c>
      <c r="M330" s="359" t="str">
        <f>IFERROR(VLOOKUP([1]!Tabla9[[CEDULA ]],[1]!SABADO[#Data],5,0),"No registró")</f>
        <v>No registró</v>
      </c>
      <c r="N330" s="359" t="str">
        <f>IFERROR(LOOKUP(2,1/([1]!SABADO[[CEDULA ]]=[1]!Tabla9[[#This Row],[CEDULA ]]),[1]!SABADO[HORA]),"No registró")</f>
        <v>No registró</v>
      </c>
      <c r="O330" s="359" t="str">
        <f>IFERROR(VLOOKUP([1]!Tabla9[[CEDULA ]],[1]!DOMINGO[#Data],5,0),"No registró")</f>
        <v>No registró</v>
      </c>
      <c r="P330" s="359" t="str">
        <f>IFERROR(LOOKUP(2,1/([1]!DOMINGO[[CEDULA ]]=[1]!Tabla9[[#This Row],[CEDULA ]]),[1]!DOMINGO[HORA]),"No registró")</f>
        <v>No registró</v>
      </c>
      <c r="Q330" s="240">
        <f>IFERROR(VLOOKUP(A330,DATOS[],10,0),"")</f>
        <v>0</v>
      </c>
    </row>
    <row r="331" spans="1:17" x14ac:dyDescent="0.25">
      <c r="A331" s="239">
        <v>19508114</v>
      </c>
      <c r="B331" s="239" t="s">
        <v>1303</v>
      </c>
      <c r="C331" s="359">
        <f>IFERROR(VLOOKUP([1]!Tabla9[[CEDULA ]],[1]!LUNES[#Data],5,0),"No registró")</f>
        <v>0.28769675925925925</v>
      </c>
      <c r="D331" s="359">
        <f>IFERROR(LOOKUP(2,1/([1]!LUNES[[CEDULA ]]=[1]!Tabla9[[#This Row],[CEDULA ]]),[1]!LUNES[HORA]),"No registró")</f>
        <v>0.54965277777777777</v>
      </c>
      <c r="E331" s="359">
        <f>IFERROR(VLOOKUP([1]!Tabla9[[CEDULA ]],[1]!MARTES[#Data],5,0),"No registró")</f>
        <v>0.28247685185185184</v>
      </c>
      <c r="F331" s="359">
        <f>IFERROR(LOOKUP(2,1/([1]!MARTES[[CEDULA ]]=[1]!Tabla9[[#This Row],[CEDULA ]]),[1]!MARTES[HORA]),"No Registró")</f>
        <v>0.55296296296296299</v>
      </c>
      <c r="G331" s="359" t="str">
        <f>IFERROR(VLOOKUP([1]!Tabla9[[CEDULA ]],[1]!MIERCOLES[#Data],5,0),"No registró")</f>
        <v>No registró</v>
      </c>
      <c r="H331" s="359" t="str">
        <f>IFERROR(LOOKUP(2,1/([1]!MIERCOLES[[CEDULA ]]=[1]!Tabla9[[#This Row],[CEDULA ]]),[1]!MIERCOLES[HORA]),"No registró")</f>
        <v>No registró</v>
      </c>
      <c r="I331" s="359" t="str">
        <f>IFERROR(VLOOKUP([1]!Tabla9[[CEDULA ]],[1]!JUEVES[#Data],5,0),"No Registró")</f>
        <v>No Registró</v>
      </c>
      <c r="J331" s="359" t="str">
        <f>IFERROR(LOOKUP(2,1/([1]!JUEVES[[CEDULA ]]=[1]!Tabla9[[#This Row],[CEDULA ]]),[1]!JUEVES[HORA]),"No registró")</f>
        <v>No registró</v>
      </c>
      <c r="K331" s="359" t="str">
        <f>IFERROR(VLOOKUP([1]!Tabla9[[CEDULA ]],[1]!VIERNES[#Data],5,0),"No registró")</f>
        <v>No registró</v>
      </c>
      <c r="L331" s="359" t="str">
        <f>IFERROR(LOOKUP(2,1/([1]!VIERNES[[CEDULA ]]=[1]!Tabla9[[#This Row],[CEDULA ]]),[1]!VIERNES[HORA]),"No registró")</f>
        <v>No registró</v>
      </c>
      <c r="M331" s="359" t="str">
        <f>IFERROR(VLOOKUP([1]!Tabla9[[CEDULA ]],[1]!SABADO[#Data],5,0),"No registró")</f>
        <v>No registró</v>
      </c>
      <c r="N331" s="359" t="str">
        <f>IFERROR(LOOKUP(2,1/([1]!SABADO[[CEDULA ]]=[1]!Tabla9[[#This Row],[CEDULA ]]),[1]!SABADO[HORA]),"No registró")</f>
        <v>No registró</v>
      </c>
      <c r="O331" s="359" t="str">
        <f>IFERROR(VLOOKUP([1]!Tabla9[[CEDULA ]],[1]!DOMINGO[#Data],5,0),"No registró")</f>
        <v>No registró</v>
      </c>
      <c r="P331" s="359" t="str">
        <f>IFERROR(LOOKUP(2,1/([1]!DOMINGO[[CEDULA ]]=[1]!Tabla9[[#This Row],[CEDULA ]]),[1]!DOMINGO[HORA]),"No registró")</f>
        <v>No registró</v>
      </c>
      <c r="Q331" s="240" t="str">
        <f>IFERROR(VLOOKUP(A331,DATOS[],10,0),"")</f>
        <v>5. GUARENAS</v>
      </c>
    </row>
    <row r="332" spans="1:17" x14ac:dyDescent="0.25">
      <c r="A332" s="239">
        <v>19560257</v>
      </c>
      <c r="B332" s="239" t="s">
        <v>1304</v>
      </c>
      <c r="C332" s="359">
        <f>IFERROR(VLOOKUP([1]!Tabla9[[CEDULA ]],[1]!LUNES[#Data],5,0),"No registró")</f>
        <v>0.28826388888888888</v>
      </c>
      <c r="D332" s="359">
        <f>IFERROR(LOOKUP(2,1/([1]!LUNES[[CEDULA ]]=[1]!Tabla9[[#This Row],[CEDULA ]]),[1]!LUNES[HORA]),"No registró")</f>
        <v>0.55384259259259261</v>
      </c>
      <c r="E332" s="359">
        <f>IFERROR(VLOOKUP([1]!Tabla9[[CEDULA ]],[1]!MARTES[#Data],5,0),"No registró")</f>
        <v>0.29899305555555555</v>
      </c>
      <c r="F332" s="359">
        <f>IFERROR(LOOKUP(2,1/([1]!MARTES[[CEDULA ]]=[1]!Tabla9[[#This Row],[CEDULA ]]),[1]!MARTES[HORA]),"No Registró")</f>
        <v>0.5524768518518518</v>
      </c>
      <c r="G332" s="359" t="str">
        <f>IFERROR(VLOOKUP([1]!Tabla9[[CEDULA ]],[1]!MIERCOLES[#Data],5,0),"No registró")</f>
        <v>No registró</v>
      </c>
      <c r="H332" s="359" t="str">
        <f>IFERROR(LOOKUP(2,1/([1]!MIERCOLES[[CEDULA ]]=[1]!Tabla9[[#This Row],[CEDULA ]]),[1]!MIERCOLES[HORA]),"No registró")</f>
        <v>No registró</v>
      </c>
      <c r="I332" s="359" t="str">
        <f>IFERROR(VLOOKUP([1]!Tabla9[[CEDULA ]],[1]!JUEVES[#Data],5,0),"No Registró")</f>
        <v>No Registró</v>
      </c>
      <c r="J332" s="359" t="str">
        <f>IFERROR(LOOKUP(2,1/([1]!JUEVES[[CEDULA ]]=[1]!Tabla9[[#This Row],[CEDULA ]]),[1]!JUEVES[HORA]),"No registró")</f>
        <v>No registró</v>
      </c>
      <c r="K332" s="359" t="str">
        <f>IFERROR(VLOOKUP([1]!Tabla9[[CEDULA ]],[1]!VIERNES[#Data],5,0),"No registró")</f>
        <v>No registró</v>
      </c>
      <c r="L332" s="359" t="str">
        <f>IFERROR(LOOKUP(2,1/([1]!VIERNES[[CEDULA ]]=[1]!Tabla9[[#This Row],[CEDULA ]]),[1]!VIERNES[HORA]),"No registró")</f>
        <v>No registró</v>
      </c>
      <c r="M332" s="359" t="str">
        <f>IFERROR(VLOOKUP([1]!Tabla9[[CEDULA ]],[1]!SABADO[#Data],5,0),"No registró")</f>
        <v>No registró</v>
      </c>
      <c r="N332" s="359" t="str">
        <f>IFERROR(LOOKUP(2,1/([1]!SABADO[[CEDULA ]]=[1]!Tabla9[[#This Row],[CEDULA ]]),[1]!SABADO[HORA]),"No registró")</f>
        <v>No registró</v>
      </c>
      <c r="O332" s="359" t="str">
        <f>IFERROR(VLOOKUP([1]!Tabla9[[CEDULA ]],[1]!DOMINGO[#Data],5,0),"No registró")</f>
        <v>No registró</v>
      </c>
      <c r="P332" s="359" t="str">
        <f>IFERROR(LOOKUP(2,1/([1]!DOMINGO[[CEDULA ]]=[1]!Tabla9[[#This Row],[CEDULA ]]),[1]!DOMINGO[HORA]),"No registró")</f>
        <v>No registró</v>
      </c>
      <c r="Q332" s="240" t="str">
        <f>IFERROR(VLOOKUP(A332,DATOS[],10,0),"")</f>
        <v>5. GUARENAS</v>
      </c>
    </row>
    <row r="333" spans="1:17" x14ac:dyDescent="0.25">
      <c r="A333" s="239">
        <v>19666874</v>
      </c>
      <c r="B333" s="239" t="s">
        <v>1305</v>
      </c>
      <c r="C333" s="359">
        <f>IFERROR(VLOOKUP([1]!Tabla9[[CEDULA ]],[1]!LUNES[#Data],5,0),"No registró")</f>
        <v>0.29412037037037037</v>
      </c>
      <c r="D333" s="359">
        <f>IFERROR(LOOKUP(2,1/([1]!LUNES[[CEDULA ]]=[1]!Tabla9[[#This Row],[CEDULA ]]),[1]!LUNES[HORA]),"No registró")</f>
        <v>0.55155092592592592</v>
      </c>
      <c r="E333" s="359">
        <f>IFERROR(VLOOKUP([1]!Tabla9[[CEDULA ]],[1]!MARTES[#Data],5,0),"No registró")</f>
        <v>0.28162037037037035</v>
      </c>
      <c r="F333" s="359">
        <f>IFERROR(LOOKUP(2,1/([1]!MARTES[[CEDULA ]]=[1]!Tabla9[[#This Row],[CEDULA ]]),[1]!MARTES[HORA]),"No Registró")</f>
        <v>0.554224537037037</v>
      </c>
      <c r="G333" s="359" t="str">
        <f>IFERROR(VLOOKUP([1]!Tabla9[[CEDULA ]],[1]!MIERCOLES[#Data],5,0),"No registró")</f>
        <v>No registró</v>
      </c>
      <c r="H333" s="359" t="str">
        <f>IFERROR(LOOKUP(2,1/([1]!MIERCOLES[[CEDULA ]]=[1]!Tabla9[[#This Row],[CEDULA ]]),[1]!MIERCOLES[HORA]),"No registró")</f>
        <v>No registró</v>
      </c>
      <c r="I333" s="359" t="str">
        <f>IFERROR(VLOOKUP([1]!Tabla9[[CEDULA ]],[1]!JUEVES[#Data],5,0),"No Registró")</f>
        <v>No Registró</v>
      </c>
      <c r="J333" s="359" t="str">
        <f>IFERROR(LOOKUP(2,1/([1]!JUEVES[[CEDULA ]]=[1]!Tabla9[[#This Row],[CEDULA ]]),[1]!JUEVES[HORA]),"No registró")</f>
        <v>No registró</v>
      </c>
      <c r="K333" s="359" t="str">
        <f>IFERROR(VLOOKUP([1]!Tabla9[[CEDULA ]],[1]!VIERNES[#Data],5,0),"No registró")</f>
        <v>No registró</v>
      </c>
      <c r="L333" s="359" t="str">
        <f>IFERROR(LOOKUP(2,1/([1]!VIERNES[[CEDULA ]]=[1]!Tabla9[[#This Row],[CEDULA ]]),[1]!VIERNES[HORA]),"No registró")</f>
        <v>No registró</v>
      </c>
      <c r="M333" s="359" t="str">
        <f>IFERROR(VLOOKUP([1]!Tabla9[[CEDULA ]],[1]!SABADO[#Data],5,0),"No registró")</f>
        <v>No registró</v>
      </c>
      <c r="N333" s="359" t="str">
        <f>IFERROR(LOOKUP(2,1/([1]!SABADO[[CEDULA ]]=[1]!Tabla9[[#This Row],[CEDULA ]]),[1]!SABADO[HORA]),"No registró")</f>
        <v>No registró</v>
      </c>
      <c r="O333" s="359" t="str">
        <f>IFERROR(VLOOKUP([1]!Tabla9[[CEDULA ]],[1]!DOMINGO[#Data],5,0),"No registró")</f>
        <v>No registró</v>
      </c>
      <c r="P333" s="359" t="str">
        <f>IFERROR(LOOKUP(2,1/([1]!DOMINGO[[CEDULA ]]=[1]!Tabla9[[#This Row],[CEDULA ]]),[1]!DOMINGO[HORA]),"No registró")</f>
        <v>No registró</v>
      </c>
      <c r="Q333" s="240">
        <f>IFERROR(VLOOKUP(A333,DATOS[],10,0),"")</f>
        <v>0</v>
      </c>
    </row>
    <row r="334" spans="1:17" x14ac:dyDescent="0.25">
      <c r="A334" s="239">
        <v>19735201</v>
      </c>
      <c r="B334" s="239" t="s">
        <v>1306</v>
      </c>
      <c r="C334" s="359">
        <f>IFERROR(VLOOKUP([1]!Tabla9[[CEDULA ]],[1]!LUNES[#Data],5,0),"No registró")</f>
        <v>0.28287037037037038</v>
      </c>
      <c r="D334" s="359">
        <f>IFERROR(LOOKUP(2,1/([1]!LUNES[[CEDULA ]]=[1]!Tabla9[[#This Row],[CEDULA ]]),[1]!LUNES[HORA]),"No registró")</f>
        <v>0.55177083333333332</v>
      </c>
      <c r="E334" s="359">
        <f>IFERROR(VLOOKUP([1]!Tabla9[[CEDULA ]],[1]!MARTES[#Data],5,0),"No registró")</f>
        <v>0.28342592592592591</v>
      </c>
      <c r="F334" s="359">
        <f>IFERROR(LOOKUP(2,1/([1]!MARTES[[CEDULA ]]=[1]!Tabla9[[#This Row],[CEDULA ]]),[1]!MARTES[HORA]),"No Registró")</f>
        <v>0.55230324074074078</v>
      </c>
      <c r="G334" s="359" t="str">
        <f>IFERROR(VLOOKUP([1]!Tabla9[[CEDULA ]],[1]!MIERCOLES[#Data],5,0),"No registró")</f>
        <v>No registró</v>
      </c>
      <c r="H334" s="359" t="str">
        <f>IFERROR(LOOKUP(2,1/([1]!MIERCOLES[[CEDULA ]]=[1]!Tabla9[[#This Row],[CEDULA ]]),[1]!MIERCOLES[HORA]),"No registró")</f>
        <v>No registró</v>
      </c>
      <c r="I334" s="359" t="str">
        <f>IFERROR(VLOOKUP([1]!Tabla9[[CEDULA ]],[1]!JUEVES[#Data],5,0),"No Registró")</f>
        <v>No Registró</v>
      </c>
      <c r="J334" s="359" t="str">
        <f>IFERROR(LOOKUP(2,1/([1]!JUEVES[[CEDULA ]]=[1]!Tabla9[[#This Row],[CEDULA ]]),[1]!JUEVES[HORA]),"No registró")</f>
        <v>No registró</v>
      </c>
      <c r="K334" s="359" t="str">
        <f>IFERROR(VLOOKUP([1]!Tabla9[[CEDULA ]],[1]!VIERNES[#Data],5,0),"No registró")</f>
        <v>No registró</v>
      </c>
      <c r="L334" s="359" t="str">
        <f>IFERROR(LOOKUP(2,1/([1]!VIERNES[[CEDULA ]]=[1]!Tabla9[[#This Row],[CEDULA ]]),[1]!VIERNES[HORA]),"No registró")</f>
        <v>No registró</v>
      </c>
      <c r="M334" s="359" t="str">
        <f>IFERROR(VLOOKUP([1]!Tabla9[[CEDULA ]],[1]!SABADO[#Data],5,0),"No registró")</f>
        <v>No registró</v>
      </c>
      <c r="N334" s="359" t="str">
        <f>IFERROR(LOOKUP(2,1/([1]!SABADO[[CEDULA ]]=[1]!Tabla9[[#This Row],[CEDULA ]]),[1]!SABADO[HORA]),"No registró")</f>
        <v>No registró</v>
      </c>
      <c r="O334" s="359" t="str">
        <f>IFERROR(VLOOKUP([1]!Tabla9[[CEDULA ]],[1]!DOMINGO[#Data],5,0),"No registró")</f>
        <v>No registró</v>
      </c>
      <c r="P334" s="359" t="str">
        <f>IFERROR(LOOKUP(2,1/([1]!DOMINGO[[CEDULA ]]=[1]!Tabla9[[#This Row],[CEDULA ]]),[1]!DOMINGO[HORA]),"No registró")</f>
        <v>No registró</v>
      </c>
      <c r="Q334" s="240" t="str">
        <f>IFERROR(VLOOKUP(A334,DATOS[],10,0),"")</f>
        <v>3. CARICUAO</v>
      </c>
    </row>
    <row r="335" spans="1:17" x14ac:dyDescent="0.25">
      <c r="A335" s="239">
        <v>19762086</v>
      </c>
      <c r="B335" s="239" t="s">
        <v>1307</v>
      </c>
      <c r="C335" s="359">
        <f>IFERROR(VLOOKUP([1]!Tabla9[[CEDULA ]],[1]!LUNES[#Data],5,0),"No registró")</f>
        <v>0.30922453703703706</v>
      </c>
      <c r="D335" s="359">
        <f>IFERROR(LOOKUP(2,1/([1]!LUNES[[CEDULA ]]=[1]!Tabla9[[#This Row],[CEDULA ]]),[1]!LUNES[HORA]),"No registró")</f>
        <v>0.56002314814814813</v>
      </c>
      <c r="E335" s="359">
        <f>IFERROR(VLOOKUP([1]!Tabla9[[CEDULA ]],[1]!MARTES[#Data],5,0),"No registró")</f>
        <v>0.30498842592592595</v>
      </c>
      <c r="F335" s="359">
        <f>IFERROR(LOOKUP(2,1/([1]!MARTES[[CEDULA ]]=[1]!Tabla9[[#This Row],[CEDULA ]]),[1]!MARTES[HORA]),"No Registró")</f>
        <v>0.45230324074074074</v>
      </c>
      <c r="G335" s="359" t="str">
        <f>IFERROR(VLOOKUP([1]!Tabla9[[CEDULA ]],[1]!MIERCOLES[#Data],5,0),"No registró")</f>
        <v>No registró</v>
      </c>
      <c r="H335" s="359" t="str">
        <f>IFERROR(LOOKUP(2,1/([1]!MIERCOLES[[CEDULA ]]=[1]!Tabla9[[#This Row],[CEDULA ]]),[1]!MIERCOLES[HORA]),"No registró")</f>
        <v>No registró</v>
      </c>
      <c r="I335" s="359" t="str">
        <f>IFERROR(VLOOKUP([1]!Tabla9[[CEDULA ]],[1]!JUEVES[#Data],5,0),"No Registró")</f>
        <v>No Registró</v>
      </c>
      <c r="J335" s="359" t="str">
        <f>IFERROR(LOOKUP(2,1/([1]!JUEVES[[CEDULA ]]=[1]!Tabla9[[#This Row],[CEDULA ]]),[1]!JUEVES[HORA]),"No registró")</f>
        <v>No registró</v>
      </c>
      <c r="K335" s="359" t="str">
        <f>IFERROR(VLOOKUP([1]!Tabla9[[CEDULA ]],[1]!VIERNES[#Data],5,0),"No registró")</f>
        <v>No registró</v>
      </c>
      <c r="L335" s="359" t="str">
        <f>IFERROR(LOOKUP(2,1/([1]!VIERNES[[CEDULA ]]=[1]!Tabla9[[#This Row],[CEDULA ]]),[1]!VIERNES[HORA]),"No registró")</f>
        <v>No registró</v>
      </c>
      <c r="M335" s="359" t="str">
        <f>IFERROR(VLOOKUP([1]!Tabla9[[CEDULA ]],[1]!SABADO[#Data],5,0),"No registró")</f>
        <v>No registró</v>
      </c>
      <c r="N335" s="359" t="str">
        <f>IFERROR(LOOKUP(2,1/([1]!SABADO[[CEDULA ]]=[1]!Tabla9[[#This Row],[CEDULA ]]),[1]!SABADO[HORA]),"No registró")</f>
        <v>No registró</v>
      </c>
      <c r="O335" s="359" t="str">
        <f>IFERROR(VLOOKUP([1]!Tabla9[[CEDULA ]],[1]!DOMINGO[#Data],5,0),"No registró")</f>
        <v>No registró</v>
      </c>
      <c r="P335" s="359" t="str">
        <f>IFERROR(LOOKUP(2,1/([1]!DOMINGO[[CEDULA ]]=[1]!Tabla9[[#This Row],[CEDULA ]]),[1]!DOMINGO[HORA]),"No registró")</f>
        <v>No registró</v>
      </c>
      <c r="Q335" s="240" t="str">
        <f>IFERROR(VLOOKUP(A335,DATOS[],10,0),"")</f>
        <v>1. COCHE</v>
      </c>
    </row>
    <row r="336" spans="1:17" x14ac:dyDescent="0.25">
      <c r="A336" s="239">
        <v>19813602</v>
      </c>
      <c r="B336" s="239" t="s">
        <v>1308</v>
      </c>
      <c r="C336" s="359">
        <f>IFERROR(VLOOKUP([1]!Tabla9[[CEDULA ]],[1]!LUNES[#Data],5,0),"No registró")</f>
        <v>0.29321759259259256</v>
      </c>
      <c r="D336" s="359">
        <f>IFERROR(LOOKUP(2,1/([1]!LUNES[[CEDULA ]]=[1]!Tabla9[[#This Row],[CEDULA ]]),[1]!LUNES[HORA]),"No registró")</f>
        <v>0.57498842592592592</v>
      </c>
      <c r="E336" s="359">
        <f>IFERROR(VLOOKUP([1]!Tabla9[[CEDULA ]],[1]!MARTES[#Data],5,0),"No registró")</f>
        <v>0.28837962962962965</v>
      </c>
      <c r="F336" s="359">
        <f>IFERROR(LOOKUP(2,1/([1]!MARTES[[CEDULA ]]=[1]!Tabla9[[#This Row],[CEDULA ]]),[1]!MARTES[HORA]),"No Registró")</f>
        <v>0.56196759259259255</v>
      </c>
      <c r="G336" s="359" t="str">
        <f>IFERROR(VLOOKUP([1]!Tabla9[[CEDULA ]],[1]!MIERCOLES[#Data],5,0),"No registró")</f>
        <v>No registró</v>
      </c>
      <c r="H336" s="359" t="str">
        <f>IFERROR(LOOKUP(2,1/([1]!MIERCOLES[[CEDULA ]]=[1]!Tabla9[[#This Row],[CEDULA ]]),[1]!MIERCOLES[HORA]),"No registró")</f>
        <v>No registró</v>
      </c>
      <c r="I336" s="359" t="str">
        <f>IFERROR(VLOOKUP([1]!Tabla9[[CEDULA ]],[1]!JUEVES[#Data],5,0),"No Registró")</f>
        <v>No Registró</v>
      </c>
      <c r="J336" s="359" t="str">
        <f>IFERROR(LOOKUP(2,1/([1]!JUEVES[[CEDULA ]]=[1]!Tabla9[[#This Row],[CEDULA ]]),[1]!JUEVES[HORA]),"No registró")</f>
        <v>No registró</v>
      </c>
      <c r="K336" s="359" t="str">
        <f>IFERROR(VLOOKUP([1]!Tabla9[[CEDULA ]],[1]!VIERNES[#Data],5,0),"No registró")</f>
        <v>No registró</v>
      </c>
      <c r="L336" s="359" t="str">
        <f>IFERROR(LOOKUP(2,1/([1]!VIERNES[[CEDULA ]]=[1]!Tabla9[[#This Row],[CEDULA ]]),[1]!VIERNES[HORA]),"No registró")</f>
        <v>No registró</v>
      </c>
      <c r="M336" s="359" t="str">
        <f>IFERROR(VLOOKUP([1]!Tabla9[[CEDULA ]],[1]!SABADO[#Data],5,0),"No registró")</f>
        <v>No registró</v>
      </c>
      <c r="N336" s="359" t="str">
        <f>IFERROR(LOOKUP(2,1/([1]!SABADO[[CEDULA ]]=[1]!Tabla9[[#This Row],[CEDULA ]]),[1]!SABADO[HORA]),"No registró")</f>
        <v>No registró</v>
      </c>
      <c r="O336" s="359" t="str">
        <f>IFERROR(VLOOKUP([1]!Tabla9[[CEDULA ]],[1]!DOMINGO[#Data],5,0),"No registró")</f>
        <v>No registró</v>
      </c>
      <c r="P336" s="359" t="str">
        <f>IFERROR(LOOKUP(2,1/([1]!DOMINGO[[CEDULA ]]=[1]!Tabla9[[#This Row],[CEDULA ]]),[1]!DOMINGO[HORA]),"No registró")</f>
        <v>No registró</v>
      </c>
      <c r="Q336" s="240">
        <f>IFERROR(VLOOKUP(A336,DATOS[],10,0),"")</f>
        <v>0</v>
      </c>
    </row>
    <row r="337" spans="1:17" x14ac:dyDescent="0.25">
      <c r="A337" s="239">
        <v>19966314</v>
      </c>
      <c r="B337" s="239" t="s">
        <v>1309</v>
      </c>
      <c r="C337" s="359">
        <f>IFERROR(VLOOKUP([1]!Tabla9[[CEDULA ]],[1]!LUNES[#Data],5,0),"No registró")</f>
        <v>0.30891203703703701</v>
      </c>
      <c r="D337" s="359">
        <f>IFERROR(LOOKUP(2,1/([1]!LUNES[[CEDULA ]]=[1]!Tabla9[[#This Row],[CEDULA ]]),[1]!LUNES[HORA]),"No registró")</f>
        <v>0.55579861111111117</v>
      </c>
      <c r="E337" s="359">
        <f>IFERROR(VLOOKUP([1]!Tabla9[[CEDULA ]],[1]!MARTES[#Data],5,0),"No registró")</f>
        <v>0.35674768518518518</v>
      </c>
      <c r="F337" s="359">
        <f>IFERROR(LOOKUP(2,1/([1]!MARTES[[CEDULA ]]=[1]!Tabla9[[#This Row],[CEDULA ]]),[1]!MARTES[HORA]),"No Registró")</f>
        <v>0.55297453703703703</v>
      </c>
      <c r="G337" s="359" t="str">
        <f>IFERROR(VLOOKUP([1]!Tabla9[[CEDULA ]],[1]!MIERCOLES[#Data],5,0),"No registró")</f>
        <v>No registró</v>
      </c>
      <c r="H337" s="359" t="str">
        <f>IFERROR(LOOKUP(2,1/([1]!MIERCOLES[[CEDULA ]]=[1]!Tabla9[[#This Row],[CEDULA ]]),[1]!MIERCOLES[HORA]),"No registró")</f>
        <v>No registró</v>
      </c>
      <c r="I337" s="359" t="str">
        <f>IFERROR(VLOOKUP([1]!Tabla9[[CEDULA ]],[1]!JUEVES[#Data],5,0),"No Registró")</f>
        <v>No Registró</v>
      </c>
      <c r="J337" s="359" t="str">
        <f>IFERROR(LOOKUP(2,1/([1]!JUEVES[[CEDULA ]]=[1]!Tabla9[[#This Row],[CEDULA ]]),[1]!JUEVES[HORA]),"No registró")</f>
        <v>No registró</v>
      </c>
      <c r="K337" s="359" t="str">
        <f>IFERROR(VLOOKUP([1]!Tabla9[[CEDULA ]],[1]!VIERNES[#Data],5,0),"No registró")</f>
        <v>No registró</v>
      </c>
      <c r="L337" s="359" t="str">
        <f>IFERROR(LOOKUP(2,1/([1]!VIERNES[[CEDULA ]]=[1]!Tabla9[[#This Row],[CEDULA ]]),[1]!VIERNES[HORA]),"No registró")</f>
        <v>No registró</v>
      </c>
      <c r="M337" s="359" t="str">
        <f>IFERROR(VLOOKUP([1]!Tabla9[[CEDULA ]],[1]!SABADO[#Data],5,0),"No registró")</f>
        <v>No registró</v>
      </c>
      <c r="N337" s="359" t="str">
        <f>IFERROR(LOOKUP(2,1/([1]!SABADO[[CEDULA ]]=[1]!Tabla9[[#This Row],[CEDULA ]]),[1]!SABADO[HORA]),"No registró")</f>
        <v>No registró</v>
      </c>
      <c r="O337" s="359" t="str">
        <f>IFERROR(VLOOKUP([1]!Tabla9[[CEDULA ]],[1]!DOMINGO[#Data],5,0),"No registró")</f>
        <v>No registró</v>
      </c>
      <c r="P337" s="359" t="str">
        <f>IFERROR(LOOKUP(2,1/([1]!DOMINGO[[CEDULA ]]=[1]!Tabla9[[#This Row],[CEDULA ]]),[1]!DOMINGO[HORA]),"No registró")</f>
        <v>No registró</v>
      </c>
      <c r="Q337" s="240" t="str">
        <f>IFERROR(VLOOKUP(A337,DATOS[],10,0),"")</f>
        <v>4. VALLES DEL TUY</v>
      </c>
    </row>
    <row r="338" spans="1:17" x14ac:dyDescent="0.25">
      <c r="A338" s="239">
        <v>20027152</v>
      </c>
      <c r="B338" s="239" t="s">
        <v>1310</v>
      </c>
      <c r="C338" s="359">
        <f>IFERROR(VLOOKUP([1]!Tabla9[[CEDULA ]],[1]!LUNES[#Data],5,0),"No registró")</f>
        <v>0.28766203703703702</v>
      </c>
      <c r="D338" s="359">
        <f>IFERROR(LOOKUP(2,1/([1]!LUNES[[CEDULA ]]=[1]!Tabla9[[#This Row],[CEDULA ]]),[1]!LUNES[HORA]),"No registró")</f>
        <v>0.54184027777777777</v>
      </c>
      <c r="E338" s="359">
        <f>IFERROR(VLOOKUP([1]!Tabla9[[CEDULA ]],[1]!MARTES[#Data],5,0),"No registró")</f>
        <v>0.28270833333333334</v>
      </c>
      <c r="F338" s="359">
        <f>IFERROR(LOOKUP(2,1/([1]!MARTES[[CEDULA ]]=[1]!Tabla9[[#This Row],[CEDULA ]]),[1]!MARTES[HORA]),"No Registró")</f>
        <v>0.54319444444444442</v>
      </c>
      <c r="G338" s="359" t="str">
        <f>IFERROR(VLOOKUP([1]!Tabla9[[CEDULA ]],[1]!MIERCOLES[#Data],5,0),"No registró")</f>
        <v>No registró</v>
      </c>
      <c r="H338" s="359" t="str">
        <f>IFERROR(LOOKUP(2,1/([1]!MIERCOLES[[CEDULA ]]=[1]!Tabla9[[#This Row],[CEDULA ]]),[1]!MIERCOLES[HORA]),"No registró")</f>
        <v>No registró</v>
      </c>
      <c r="I338" s="359" t="str">
        <f>IFERROR(VLOOKUP([1]!Tabla9[[CEDULA ]],[1]!JUEVES[#Data],5,0),"No Registró")</f>
        <v>No Registró</v>
      </c>
      <c r="J338" s="359" t="str">
        <f>IFERROR(LOOKUP(2,1/([1]!JUEVES[[CEDULA ]]=[1]!Tabla9[[#This Row],[CEDULA ]]),[1]!JUEVES[HORA]),"No registró")</f>
        <v>No registró</v>
      </c>
      <c r="K338" s="359" t="str">
        <f>IFERROR(VLOOKUP([1]!Tabla9[[CEDULA ]],[1]!VIERNES[#Data],5,0),"No registró")</f>
        <v>No registró</v>
      </c>
      <c r="L338" s="359" t="str">
        <f>IFERROR(LOOKUP(2,1/([1]!VIERNES[[CEDULA ]]=[1]!Tabla9[[#This Row],[CEDULA ]]),[1]!VIERNES[HORA]),"No registró")</f>
        <v>No registró</v>
      </c>
      <c r="M338" s="359" t="str">
        <f>IFERROR(VLOOKUP([1]!Tabla9[[CEDULA ]],[1]!SABADO[#Data],5,0),"No registró")</f>
        <v>No registró</v>
      </c>
      <c r="N338" s="359" t="str">
        <f>IFERROR(LOOKUP(2,1/([1]!SABADO[[CEDULA ]]=[1]!Tabla9[[#This Row],[CEDULA ]]),[1]!SABADO[HORA]),"No registró")</f>
        <v>No registró</v>
      </c>
      <c r="O338" s="359" t="str">
        <f>IFERROR(VLOOKUP([1]!Tabla9[[CEDULA ]],[1]!DOMINGO[#Data],5,0),"No registró")</f>
        <v>No registró</v>
      </c>
      <c r="P338" s="359" t="str">
        <f>IFERROR(LOOKUP(2,1/([1]!DOMINGO[[CEDULA ]]=[1]!Tabla9[[#This Row],[CEDULA ]]),[1]!DOMINGO[HORA]),"No registró")</f>
        <v>No registró</v>
      </c>
      <c r="Q338" s="240" t="str">
        <f>IFERROR(VLOOKUP(A338,DATOS[],10,0),"")</f>
        <v>5. GUARENAS</v>
      </c>
    </row>
    <row r="339" spans="1:17" x14ac:dyDescent="0.25">
      <c r="A339" s="239">
        <v>20116083</v>
      </c>
      <c r="B339" s="239" t="s">
        <v>1311</v>
      </c>
      <c r="C339" s="359">
        <f>IFERROR(VLOOKUP([1]!Tabla9[[CEDULA ]],[1]!LUNES[#Data],5,0),"No registró")</f>
        <v>0.30542824074074076</v>
      </c>
      <c r="D339" s="359">
        <f>IFERROR(LOOKUP(2,1/([1]!LUNES[[CEDULA ]]=[1]!Tabla9[[#This Row],[CEDULA ]]),[1]!LUNES[HORA]),"No registró")</f>
        <v>0.56039351851851849</v>
      </c>
      <c r="E339" s="359">
        <f>IFERROR(VLOOKUP([1]!Tabla9[[CEDULA ]],[1]!MARTES[#Data],5,0),"No registró")</f>
        <v>0.28510416666666666</v>
      </c>
      <c r="F339" s="359">
        <f>IFERROR(LOOKUP(2,1/([1]!MARTES[[CEDULA ]]=[1]!Tabla9[[#This Row],[CEDULA ]]),[1]!MARTES[HORA]),"No Registró")</f>
        <v>0.57872685185185191</v>
      </c>
      <c r="G339" s="359" t="str">
        <f>IFERROR(VLOOKUP([1]!Tabla9[[CEDULA ]],[1]!MIERCOLES[#Data],5,0),"No registró")</f>
        <v>No registró</v>
      </c>
      <c r="H339" s="359" t="str">
        <f>IFERROR(LOOKUP(2,1/([1]!MIERCOLES[[CEDULA ]]=[1]!Tabla9[[#This Row],[CEDULA ]]),[1]!MIERCOLES[HORA]),"No registró")</f>
        <v>No registró</v>
      </c>
      <c r="I339" s="359" t="str">
        <f>IFERROR(VLOOKUP([1]!Tabla9[[CEDULA ]],[1]!JUEVES[#Data],5,0),"No Registró")</f>
        <v>No Registró</v>
      </c>
      <c r="J339" s="359" t="str">
        <f>IFERROR(LOOKUP(2,1/([1]!JUEVES[[CEDULA ]]=[1]!Tabla9[[#This Row],[CEDULA ]]),[1]!JUEVES[HORA]),"No registró")</f>
        <v>No registró</v>
      </c>
      <c r="K339" s="359" t="str">
        <f>IFERROR(VLOOKUP([1]!Tabla9[[CEDULA ]],[1]!VIERNES[#Data],5,0),"No registró")</f>
        <v>No registró</v>
      </c>
      <c r="L339" s="359" t="str">
        <f>IFERROR(LOOKUP(2,1/([1]!VIERNES[[CEDULA ]]=[1]!Tabla9[[#This Row],[CEDULA ]]),[1]!VIERNES[HORA]),"No registró")</f>
        <v>No registró</v>
      </c>
      <c r="M339" s="359" t="str">
        <f>IFERROR(VLOOKUP([1]!Tabla9[[CEDULA ]],[1]!SABADO[#Data],5,0),"No registró")</f>
        <v>No registró</v>
      </c>
      <c r="N339" s="359" t="str">
        <f>IFERROR(LOOKUP(2,1/([1]!SABADO[[CEDULA ]]=[1]!Tabla9[[#This Row],[CEDULA ]]),[1]!SABADO[HORA]),"No registró")</f>
        <v>No registró</v>
      </c>
      <c r="O339" s="359" t="str">
        <f>IFERROR(VLOOKUP([1]!Tabla9[[CEDULA ]],[1]!DOMINGO[#Data],5,0),"No registró")</f>
        <v>No registró</v>
      </c>
      <c r="P339" s="359" t="str">
        <f>IFERROR(LOOKUP(2,1/([1]!DOMINGO[[CEDULA ]]=[1]!Tabla9[[#This Row],[CEDULA ]]),[1]!DOMINGO[HORA]),"No registró")</f>
        <v>No registró</v>
      </c>
      <c r="Q339" s="240">
        <f>IFERROR(VLOOKUP(A339,DATOS[],10,0),"")</f>
        <v>0</v>
      </c>
    </row>
    <row r="340" spans="1:17" x14ac:dyDescent="0.25">
      <c r="A340" s="239">
        <v>20220489</v>
      </c>
      <c r="B340" s="239" t="s">
        <v>1384</v>
      </c>
      <c r="C340" s="359">
        <f>IFERROR(VLOOKUP([1]!Tabla9[[CEDULA ]],[1]!LUNES[#Data],5,0),"No registró")</f>
        <v>0.32489583333333333</v>
      </c>
      <c r="D340" s="359">
        <f>IFERROR(LOOKUP(2,1/([1]!LUNES[[CEDULA ]]=[1]!Tabla9[[#This Row],[CEDULA ]]),[1]!LUNES[HORA]),"No registró")</f>
        <v>0.55666666666666664</v>
      </c>
      <c r="E340" s="359">
        <f>IFERROR(VLOOKUP([1]!Tabla9[[CEDULA ]],[1]!MARTES[#Data],5,0),"No registró")</f>
        <v>0.34658564814814818</v>
      </c>
      <c r="F340" s="359">
        <f>IFERROR(LOOKUP(2,1/([1]!MARTES[[CEDULA ]]=[1]!Tabla9[[#This Row],[CEDULA ]]),[1]!MARTES[HORA]),"No Registró")</f>
        <v>0.55509259259259258</v>
      </c>
      <c r="G340" s="359" t="str">
        <f>IFERROR(VLOOKUP([1]!Tabla9[[CEDULA ]],[1]!MIERCOLES[#Data],5,0),"No registró")</f>
        <v>No registró</v>
      </c>
      <c r="H340" s="359" t="str">
        <f>IFERROR(LOOKUP(2,1/([1]!MIERCOLES[[CEDULA ]]=[1]!Tabla9[[#This Row],[CEDULA ]]),[1]!MIERCOLES[HORA]),"No registró")</f>
        <v>No registró</v>
      </c>
      <c r="I340" s="359" t="str">
        <f>IFERROR(VLOOKUP([1]!Tabla9[[CEDULA ]],[1]!JUEVES[#Data],5,0),"No Registró")</f>
        <v>No Registró</v>
      </c>
      <c r="J340" s="359" t="str">
        <f>IFERROR(LOOKUP(2,1/([1]!JUEVES[[CEDULA ]]=[1]!Tabla9[[#This Row],[CEDULA ]]),[1]!JUEVES[HORA]),"No registró")</f>
        <v>No registró</v>
      </c>
      <c r="K340" s="359" t="str">
        <f>IFERROR(VLOOKUP([1]!Tabla9[[CEDULA ]],[1]!VIERNES[#Data],5,0),"No registró")</f>
        <v>No registró</v>
      </c>
      <c r="L340" s="359" t="str">
        <f>IFERROR(LOOKUP(2,1/([1]!VIERNES[[CEDULA ]]=[1]!Tabla9[[#This Row],[CEDULA ]]),[1]!VIERNES[HORA]),"No registró")</f>
        <v>No registró</v>
      </c>
      <c r="M340" s="359" t="str">
        <f>IFERROR(VLOOKUP([1]!Tabla9[[CEDULA ]],[1]!SABADO[#Data],5,0),"No registró")</f>
        <v>No registró</v>
      </c>
      <c r="N340" s="359" t="str">
        <f>IFERROR(LOOKUP(2,1/([1]!SABADO[[CEDULA ]]=[1]!Tabla9[[#This Row],[CEDULA ]]),[1]!SABADO[HORA]),"No registró")</f>
        <v>No registró</v>
      </c>
      <c r="O340" s="359" t="str">
        <f>IFERROR(VLOOKUP([1]!Tabla9[[CEDULA ]],[1]!DOMINGO[#Data],5,0),"No registró")</f>
        <v>No registró</v>
      </c>
      <c r="P340" s="359" t="str">
        <f>IFERROR(LOOKUP(2,1/([1]!DOMINGO[[CEDULA ]]=[1]!Tabla9[[#This Row],[CEDULA ]]),[1]!DOMINGO[HORA]),"No registró")</f>
        <v>No registró</v>
      </c>
      <c r="Q340" s="240">
        <f>IFERROR(VLOOKUP(A340,DATOS[],10,0),"")</f>
        <v>0</v>
      </c>
    </row>
    <row r="341" spans="1:17" x14ac:dyDescent="0.25">
      <c r="A341" s="239">
        <v>20365316</v>
      </c>
      <c r="B341" s="239" t="s">
        <v>1312</v>
      </c>
      <c r="C341" s="359">
        <f>IFERROR(VLOOKUP([1]!Tabla9[[CEDULA ]],[1]!LUNES[#Data],5,0),"No registró")</f>
        <v>0.30958333333333332</v>
      </c>
      <c r="D341" s="360" t="s">
        <v>989</v>
      </c>
      <c r="E341" s="359">
        <f>IFERROR(VLOOKUP([1]!Tabla9[[CEDULA ]],[1]!MARTES[#Data],5,0),"No registró")</f>
        <v>0.28583333333333333</v>
      </c>
      <c r="F341" s="359">
        <f>IFERROR(LOOKUP(2,1/([1]!MARTES[[CEDULA ]]=[1]!Tabla9[[#This Row],[CEDULA ]]),[1]!MARTES[HORA]),"No Registró")</f>
        <v>0.55335648148148142</v>
      </c>
      <c r="G341" s="359" t="str">
        <f>IFERROR(VLOOKUP([1]!Tabla9[[CEDULA ]],[1]!MIERCOLES[#Data],5,0),"No registró")</f>
        <v>No registró</v>
      </c>
      <c r="H341" s="359" t="str">
        <f>IFERROR(LOOKUP(2,1/([1]!MIERCOLES[[CEDULA ]]=[1]!Tabla9[[#This Row],[CEDULA ]]),[1]!MIERCOLES[HORA]),"No registró")</f>
        <v>No registró</v>
      </c>
      <c r="I341" s="359" t="str">
        <f>IFERROR(VLOOKUP([1]!Tabla9[[CEDULA ]],[1]!JUEVES[#Data],5,0),"No Registró")</f>
        <v>No Registró</v>
      </c>
      <c r="J341" s="359" t="str">
        <f>IFERROR(LOOKUP(2,1/([1]!JUEVES[[CEDULA ]]=[1]!Tabla9[[#This Row],[CEDULA ]]),[1]!JUEVES[HORA]),"No registró")</f>
        <v>No registró</v>
      </c>
      <c r="K341" s="359" t="str">
        <f>IFERROR(VLOOKUP([1]!Tabla9[[CEDULA ]],[1]!VIERNES[#Data],5,0),"No registró")</f>
        <v>No registró</v>
      </c>
      <c r="L341" s="359" t="str">
        <f>IFERROR(LOOKUP(2,1/([1]!VIERNES[[CEDULA ]]=[1]!Tabla9[[#This Row],[CEDULA ]]),[1]!VIERNES[HORA]),"No registró")</f>
        <v>No registró</v>
      </c>
      <c r="M341" s="359" t="str">
        <f>IFERROR(VLOOKUP([1]!Tabla9[[CEDULA ]],[1]!SABADO[#Data],5,0),"No registró")</f>
        <v>No registró</v>
      </c>
      <c r="N341" s="359" t="str">
        <f>IFERROR(LOOKUP(2,1/([1]!SABADO[[CEDULA ]]=[1]!Tabla9[[#This Row],[CEDULA ]]),[1]!SABADO[HORA]),"No registró")</f>
        <v>No registró</v>
      </c>
      <c r="O341" s="359" t="str">
        <f>IFERROR(VLOOKUP([1]!Tabla9[[CEDULA ]],[1]!DOMINGO[#Data],5,0),"No registró")</f>
        <v>No registró</v>
      </c>
      <c r="P341" s="359" t="str">
        <f>IFERROR(LOOKUP(2,1/([1]!DOMINGO[[CEDULA ]]=[1]!Tabla9[[#This Row],[CEDULA ]]),[1]!DOMINGO[HORA]),"No registró")</f>
        <v>No registró</v>
      </c>
      <c r="Q341" s="240" t="str">
        <f>IFERROR(VLOOKUP(A341,DATOS[],10,0),"")</f>
        <v>4. VALLES DEL TUY</v>
      </c>
    </row>
    <row r="342" spans="1:17" x14ac:dyDescent="0.25">
      <c r="A342" s="239">
        <v>20465602</v>
      </c>
      <c r="B342" s="239" t="s">
        <v>1313</v>
      </c>
      <c r="C342" s="359">
        <f>IFERROR(VLOOKUP([1]!Tabla9[[CEDULA ]],[1]!LUNES[#Data],5,0),"No registró")</f>
        <v>0.32825231481481482</v>
      </c>
      <c r="D342" s="359">
        <f>IFERROR(LOOKUP(2,1/([1]!LUNES[[CEDULA ]]=[1]!Tabla9[[#This Row],[CEDULA ]]),[1]!LUNES[HORA]),"No registró")</f>
        <v>0.5543055555555555</v>
      </c>
      <c r="E342" s="359">
        <f>IFERROR(VLOOKUP([1]!Tabla9[[CEDULA ]],[1]!MARTES[#Data],5,0),"No registró")</f>
        <v>0.30550925925925926</v>
      </c>
      <c r="F342" s="359">
        <f>IFERROR(LOOKUP(2,1/([1]!MARTES[[CEDULA ]]=[1]!Tabla9[[#This Row],[CEDULA ]]),[1]!MARTES[HORA]),"No Registró")</f>
        <v>0.55166666666666664</v>
      </c>
      <c r="G342" s="359" t="str">
        <f>IFERROR(VLOOKUP([1]!Tabla9[[CEDULA ]],[1]!MIERCOLES[#Data],5,0),"No registró")</f>
        <v>No registró</v>
      </c>
      <c r="H342" s="359" t="str">
        <f>IFERROR(LOOKUP(2,1/([1]!MIERCOLES[[CEDULA ]]=[1]!Tabla9[[#This Row],[CEDULA ]]),[1]!MIERCOLES[HORA]),"No registró")</f>
        <v>No registró</v>
      </c>
      <c r="I342" s="359" t="str">
        <f>IFERROR(VLOOKUP([1]!Tabla9[[CEDULA ]],[1]!JUEVES[#Data],5,0),"No Registró")</f>
        <v>No Registró</v>
      </c>
      <c r="J342" s="359" t="str">
        <f>IFERROR(LOOKUP(2,1/([1]!JUEVES[[CEDULA ]]=[1]!Tabla9[[#This Row],[CEDULA ]]),[1]!JUEVES[HORA]),"No registró")</f>
        <v>No registró</v>
      </c>
      <c r="K342" s="359" t="str">
        <f>IFERROR(VLOOKUP([1]!Tabla9[[CEDULA ]],[1]!VIERNES[#Data],5,0),"No registró")</f>
        <v>No registró</v>
      </c>
      <c r="L342" s="359" t="str">
        <f>IFERROR(LOOKUP(2,1/([1]!VIERNES[[CEDULA ]]=[1]!Tabla9[[#This Row],[CEDULA ]]),[1]!VIERNES[HORA]),"No registró")</f>
        <v>No registró</v>
      </c>
      <c r="M342" s="359" t="str">
        <f>IFERROR(VLOOKUP([1]!Tabla9[[CEDULA ]],[1]!SABADO[#Data],5,0),"No registró")</f>
        <v>No registró</v>
      </c>
      <c r="N342" s="359" t="str">
        <f>IFERROR(LOOKUP(2,1/([1]!SABADO[[CEDULA ]]=[1]!Tabla9[[#This Row],[CEDULA ]]),[1]!SABADO[HORA]),"No registró")</f>
        <v>No registró</v>
      </c>
      <c r="O342" s="359" t="str">
        <f>IFERROR(VLOOKUP([1]!Tabla9[[CEDULA ]],[1]!DOMINGO[#Data],5,0),"No registró")</f>
        <v>No registró</v>
      </c>
      <c r="P342" s="359" t="str">
        <f>IFERROR(LOOKUP(2,1/([1]!DOMINGO[[CEDULA ]]=[1]!Tabla9[[#This Row],[CEDULA ]]),[1]!DOMINGO[HORA]),"No registró")</f>
        <v>No registró</v>
      </c>
      <c r="Q342" s="240">
        <f>IFERROR(VLOOKUP(A342,DATOS[],10,0),"")</f>
        <v>0</v>
      </c>
    </row>
    <row r="343" spans="1:17" x14ac:dyDescent="0.25">
      <c r="A343" s="239">
        <v>20604506</v>
      </c>
      <c r="B343" s="239" t="s">
        <v>1314</v>
      </c>
      <c r="C343" s="359">
        <f>IFERROR(VLOOKUP([1]!Tabla9[[CEDULA ]],[1]!LUNES[#Data],5,0),"No registró")</f>
        <v>0.28099537037037037</v>
      </c>
      <c r="D343" s="359">
        <f>IFERROR(LOOKUP(2,1/([1]!LUNES[[CEDULA ]]=[1]!Tabla9[[#This Row],[CEDULA ]]),[1]!LUNES[HORA]),"No registró")</f>
        <v>0.55625000000000002</v>
      </c>
      <c r="E343" s="359">
        <f>IFERROR(VLOOKUP([1]!Tabla9[[CEDULA ]],[1]!MARTES[#Data],5,0),"No registró")</f>
        <v>0.28743055555555558</v>
      </c>
      <c r="F343" s="359">
        <f>IFERROR(LOOKUP(2,1/([1]!MARTES[[CEDULA ]]=[1]!Tabla9[[#This Row],[CEDULA ]]),[1]!MARTES[HORA]),"No Registró")</f>
        <v>0.55311342592592594</v>
      </c>
      <c r="G343" s="359" t="str">
        <f>IFERROR(VLOOKUP([1]!Tabla9[[CEDULA ]],[1]!MIERCOLES[#Data],5,0),"No registró")</f>
        <v>No registró</v>
      </c>
      <c r="H343" s="359" t="str">
        <f>IFERROR(LOOKUP(2,1/([1]!MIERCOLES[[CEDULA ]]=[1]!Tabla9[[#This Row],[CEDULA ]]),[1]!MIERCOLES[HORA]),"No registró")</f>
        <v>No registró</v>
      </c>
      <c r="I343" s="359" t="str">
        <f>IFERROR(VLOOKUP([1]!Tabla9[[CEDULA ]],[1]!JUEVES[#Data],5,0),"No Registró")</f>
        <v>No Registró</v>
      </c>
      <c r="J343" s="359" t="str">
        <f>IFERROR(LOOKUP(2,1/([1]!JUEVES[[CEDULA ]]=[1]!Tabla9[[#This Row],[CEDULA ]]),[1]!JUEVES[HORA]),"No registró")</f>
        <v>No registró</v>
      </c>
      <c r="K343" s="359" t="str">
        <f>IFERROR(VLOOKUP([1]!Tabla9[[CEDULA ]],[1]!VIERNES[#Data],5,0),"No registró")</f>
        <v>No registró</v>
      </c>
      <c r="L343" s="359" t="str">
        <f>IFERROR(LOOKUP(2,1/([1]!VIERNES[[CEDULA ]]=[1]!Tabla9[[#This Row],[CEDULA ]]),[1]!VIERNES[HORA]),"No registró")</f>
        <v>No registró</v>
      </c>
      <c r="M343" s="359" t="str">
        <f>IFERROR(VLOOKUP([1]!Tabla9[[CEDULA ]],[1]!SABADO[#Data],5,0),"No registró")</f>
        <v>No registró</v>
      </c>
      <c r="N343" s="359" t="str">
        <f>IFERROR(LOOKUP(2,1/([1]!SABADO[[CEDULA ]]=[1]!Tabla9[[#This Row],[CEDULA ]]),[1]!SABADO[HORA]),"No registró")</f>
        <v>No registró</v>
      </c>
      <c r="O343" s="359" t="str">
        <f>IFERROR(VLOOKUP([1]!Tabla9[[CEDULA ]],[1]!DOMINGO[#Data],5,0),"No registró")</f>
        <v>No registró</v>
      </c>
      <c r="P343" s="359" t="str">
        <f>IFERROR(LOOKUP(2,1/([1]!DOMINGO[[CEDULA ]]=[1]!Tabla9[[#This Row],[CEDULA ]]),[1]!DOMINGO[HORA]),"No registró")</f>
        <v>No registró</v>
      </c>
      <c r="Q343" s="240" t="str">
        <f>IFERROR(VLOOKUP(A343,DATOS[],10,0),"")</f>
        <v>2. CATIA</v>
      </c>
    </row>
    <row r="344" spans="1:17" x14ac:dyDescent="0.25">
      <c r="A344" s="239">
        <v>20716034</v>
      </c>
      <c r="B344" s="239" t="s">
        <v>1315</v>
      </c>
      <c r="C344" s="359">
        <f>IFERROR(VLOOKUP([1]!Tabla9[[CEDULA ]],[1]!LUNES[#Data],5,0),"No registró")</f>
        <v>0.3303935185185185</v>
      </c>
      <c r="D344" s="359">
        <f>IFERROR(LOOKUP(2,1/([1]!LUNES[[CEDULA ]]=[1]!Tabla9[[#This Row],[CEDULA ]]),[1]!LUNES[HORA]),"No registró")</f>
        <v>0.56373842592592593</v>
      </c>
      <c r="E344" s="359" t="str">
        <f>IFERROR(VLOOKUP([1]!Tabla9[[CEDULA ]],[1]!MARTES[#Data],5,0),"No registró")</f>
        <v>No registró</v>
      </c>
      <c r="F344" s="359" t="str">
        <f>IFERROR(LOOKUP(2,1/([1]!MARTES[[CEDULA ]]=[1]!Tabla9[[#This Row],[CEDULA ]]),[1]!MARTES[HORA]),"No Registró")</f>
        <v>No Registró</v>
      </c>
      <c r="G344" s="359" t="str">
        <f>IFERROR(VLOOKUP([1]!Tabla9[[CEDULA ]],[1]!MIERCOLES[#Data],5,0),"No registró")</f>
        <v>No registró</v>
      </c>
      <c r="H344" s="359" t="str">
        <f>IFERROR(LOOKUP(2,1/([1]!MIERCOLES[[CEDULA ]]=[1]!Tabla9[[#This Row],[CEDULA ]]),[1]!MIERCOLES[HORA]),"No registró")</f>
        <v>No registró</v>
      </c>
      <c r="I344" s="359" t="str">
        <f>IFERROR(VLOOKUP([1]!Tabla9[[CEDULA ]],[1]!JUEVES[#Data],5,0),"No Registró")</f>
        <v>No Registró</v>
      </c>
      <c r="J344" s="359" t="str">
        <f>IFERROR(LOOKUP(2,1/([1]!JUEVES[[CEDULA ]]=[1]!Tabla9[[#This Row],[CEDULA ]]),[1]!JUEVES[HORA]),"No registró")</f>
        <v>No registró</v>
      </c>
      <c r="K344" s="359" t="str">
        <f>IFERROR(VLOOKUP([1]!Tabla9[[CEDULA ]],[1]!VIERNES[#Data],5,0),"No registró")</f>
        <v>No registró</v>
      </c>
      <c r="L344" s="359" t="str">
        <f>IFERROR(LOOKUP(2,1/([1]!VIERNES[[CEDULA ]]=[1]!Tabla9[[#This Row],[CEDULA ]]),[1]!VIERNES[HORA]),"No registró")</f>
        <v>No registró</v>
      </c>
      <c r="M344" s="359" t="str">
        <f>IFERROR(VLOOKUP([1]!Tabla9[[CEDULA ]],[1]!SABADO[#Data],5,0),"No registró")</f>
        <v>No registró</v>
      </c>
      <c r="N344" s="359" t="str">
        <f>IFERROR(LOOKUP(2,1/([1]!SABADO[[CEDULA ]]=[1]!Tabla9[[#This Row],[CEDULA ]]),[1]!SABADO[HORA]),"No registró")</f>
        <v>No registró</v>
      </c>
      <c r="O344" s="359" t="str">
        <f>IFERROR(VLOOKUP([1]!Tabla9[[CEDULA ]],[1]!DOMINGO[#Data],5,0),"No registró")</f>
        <v>No registró</v>
      </c>
      <c r="P344" s="359" t="str">
        <f>IFERROR(LOOKUP(2,1/([1]!DOMINGO[[CEDULA ]]=[1]!Tabla9[[#This Row],[CEDULA ]]),[1]!DOMINGO[HORA]),"No registró")</f>
        <v>No registró</v>
      </c>
      <c r="Q344" s="240" t="str">
        <f>IFERROR(VLOOKUP(A344,DATOS[],10,0),"")</f>
        <v/>
      </c>
    </row>
    <row r="345" spans="1:17" x14ac:dyDescent="0.25">
      <c r="A345" s="239">
        <v>20755465</v>
      </c>
      <c r="B345" s="239" t="s">
        <v>1316</v>
      </c>
      <c r="C345" s="359">
        <f>IFERROR(VLOOKUP([1]!Tabla9[[CEDULA ]],[1]!LUNES[#Data],5,0),"No registró")</f>
        <v>0.27773148148148147</v>
      </c>
      <c r="D345" s="359">
        <f>IFERROR(LOOKUP(2,1/([1]!LUNES[[CEDULA ]]=[1]!Tabla9[[#This Row],[CEDULA ]]),[1]!LUNES[HORA]),"No registró")</f>
        <v>0.55475694444444446</v>
      </c>
      <c r="E345" s="359">
        <f>IFERROR(VLOOKUP([1]!Tabla9[[CEDULA ]],[1]!MARTES[#Data],5,0),"No registró")</f>
        <v>0.28850694444444441</v>
      </c>
      <c r="F345" s="359">
        <f>IFERROR(LOOKUP(2,1/([1]!MARTES[[CEDULA ]]=[1]!Tabla9[[#This Row],[CEDULA ]]),[1]!MARTES[HORA]),"No Registró")</f>
        <v>0.55228009259259259</v>
      </c>
      <c r="G345" s="359" t="str">
        <f>IFERROR(VLOOKUP([1]!Tabla9[[CEDULA ]],[1]!MIERCOLES[#Data],5,0),"No registró")</f>
        <v>No registró</v>
      </c>
      <c r="H345" s="359" t="str">
        <f>IFERROR(LOOKUP(2,1/([1]!MIERCOLES[[CEDULA ]]=[1]!Tabla9[[#This Row],[CEDULA ]]),[1]!MIERCOLES[HORA]),"No registró")</f>
        <v>No registró</v>
      </c>
      <c r="I345" s="359" t="str">
        <f>IFERROR(VLOOKUP([1]!Tabla9[[CEDULA ]],[1]!JUEVES[#Data],5,0),"No Registró")</f>
        <v>No Registró</v>
      </c>
      <c r="J345" s="359" t="str">
        <f>IFERROR(LOOKUP(2,1/([1]!JUEVES[[CEDULA ]]=[1]!Tabla9[[#This Row],[CEDULA ]]),[1]!JUEVES[HORA]),"No registró")</f>
        <v>No registró</v>
      </c>
      <c r="K345" s="359" t="str">
        <f>IFERROR(VLOOKUP([1]!Tabla9[[CEDULA ]],[1]!VIERNES[#Data],5,0),"No registró")</f>
        <v>No registró</v>
      </c>
      <c r="L345" s="359" t="str">
        <f>IFERROR(LOOKUP(2,1/([1]!VIERNES[[CEDULA ]]=[1]!Tabla9[[#This Row],[CEDULA ]]),[1]!VIERNES[HORA]),"No registró")</f>
        <v>No registró</v>
      </c>
      <c r="M345" s="359" t="str">
        <f>IFERROR(VLOOKUP([1]!Tabla9[[CEDULA ]],[1]!SABADO[#Data],5,0),"No registró")</f>
        <v>No registró</v>
      </c>
      <c r="N345" s="359" t="str">
        <f>IFERROR(LOOKUP(2,1/([1]!SABADO[[CEDULA ]]=[1]!Tabla9[[#This Row],[CEDULA ]]),[1]!SABADO[HORA]),"No registró")</f>
        <v>No registró</v>
      </c>
      <c r="O345" s="359" t="str">
        <f>IFERROR(VLOOKUP([1]!Tabla9[[CEDULA ]],[1]!DOMINGO[#Data],5,0),"No registró")</f>
        <v>No registró</v>
      </c>
      <c r="P345" s="359" t="str">
        <f>IFERROR(LOOKUP(2,1/([1]!DOMINGO[[CEDULA ]]=[1]!Tabla9[[#This Row],[CEDULA ]]),[1]!DOMINGO[HORA]),"No registró")</f>
        <v>No registró</v>
      </c>
      <c r="Q345" s="240" t="str">
        <f>IFERROR(VLOOKUP(A345,DATOS[],10,0),"")</f>
        <v>1. COCHE</v>
      </c>
    </row>
    <row r="346" spans="1:17" x14ac:dyDescent="0.25">
      <c r="A346" s="239">
        <v>20838191</v>
      </c>
      <c r="B346" s="239" t="s">
        <v>1317</v>
      </c>
      <c r="C346" s="359">
        <f>IFERROR(VLOOKUP([1]!Tabla9[[CEDULA ]],[1]!LUNES[#Data],5,0),"No registró")</f>
        <v>0.30943287037037037</v>
      </c>
      <c r="D346" s="359">
        <f>IFERROR(LOOKUP(2,1/([1]!LUNES[[CEDULA ]]=[1]!Tabla9[[#This Row],[CEDULA ]]),[1]!LUNES[HORA]),"No registró")</f>
        <v>0.55142361111111116</v>
      </c>
      <c r="E346" s="359">
        <f>IFERROR(VLOOKUP([1]!Tabla9[[CEDULA ]],[1]!MARTES[#Data],5,0),"No registró")</f>
        <v>0.33799768518518519</v>
      </c>
      <c r="F346" s="359">
        <f>IFERROR(LOOKUP(2,1/([1]!MARTES[[CEDULA ]]=[1]!Tabla9[[#This Row],[CEDULA ]]),[1]!MARTES[HORA]),"No Registró")</f>
        <v>0.55027777777777775</v>
      </c>
      <c r="G346" s="359" t="str">
        <f>IFERROR(VLOOKUP([1]!Tabla9[[CEDULA ]],[1]!MIERCOLES[#Data],5,0),"No registró")</f>
        <v>No registró</v>
      </c>
      <c r="H346" s="359" t="str">
        <f>IFERROR(LOOKUP(2,1/([1]!MIERCOLES[[CEDULA ]]=[1]!Tabla9[[#This Row],[CEDULA ]]),[1]!MIERCOLES[HORA]),"No registró")</f>
        <v>No registró</v>
      </c>
      <c r="I346" s="359" t="str">
        <f>IFERROR(VLOOKUP([1]!Tabla9[[CEDULA ]],[1]!JUEVES[#Data],5,0),"No Registró")</f>
        <v>No Registró</v>
      </c>
      <c r="J346" s="359" t="str">
        <f>IFERROR(LOOKUP(2,1/([1]!JUEVES[[CEDULA ]]=[1]!Tabla9[[#This Row],[CEDULA ]]),[1]!JUEVES[HORA]),"No registró")</f>
        <v>No registró</v>
      </c>
      <c r="K346" s="359" t="str">
        <f>IFERROR(VLOOKUP([1]!Tabla9[[CEDULA ]],[1]!VIERNES[#Data],5,0),"No registró")</f>
        <v>No registró</v>
      </c>
      <c r="L346" s="359" t="str">
        <f>IFERROR(LOOKUP(2,1/([1]!VIERNES[[CEDULA ]]=[1]!Tabla9[[#This Row],[CEDULA ]]),[1]!VIERNES[HORA]),"No registró")</f>
        <v>No registró</v>
      </c>
      <c r="M346" s="359" t="str">
        <f>IFERROR(VLOOKUP([1]!Tabla9[[CEDULA ]],[1]!SABADO[#Data],5,0),"No registró")</f>
        <v>No registró</v>
      </c>
      <c r="N346" s="359" t="str">
        <f>IFERROR(LOOKUP(2,1/([1]!SABADO[[CEDULA ]]=[1]!Tabla9[[#This Row],[CEDULA ]]),[1]!SABADO[HORA]),"No registró")</f>
        <v>No registró</v>
      </c>
      <c r="O346" s="359" t="str">
        <f>IFERROR(VLOOKUP([1]!Tabla9[[CEDULA ]],[1]!DOMINGO[#Data],5,0),"No registró")</f>
        <v>No registró</v>
      </c>
      <c r="P346" s="359" t="str">
        <f>IFERROR(LOOKUP(2,1/([1]!DOMINGO[[CEDULA ]]=[1]!Tabla9[[#This Row],[CEDULA ]]),[1]!DOMINGO[HORA]),"No registró")</f>
        <v>No registró</v>
      </c>
      <c r="Q346" s="240" t="str">
        <f>IFERROR(VLOOKUP(A346,DATOS[],10,0),"")</f>
        <v>4. VALLES DEL TUY</v>
      </c>
    </row>
    <row r="347" spans="1:17" x14ac:dyDescent="0.25">
      <c r="A347" s="239">
        <v>21130556</v>
      </c>
      <c r="B347" s="239" t="s">
        <v>1318</v>
      </c>
      <c r="C347" s="359">
        <f>IFERROR(VLOOKUP([1]!Tabla9[[CEDULA ]],[1]!LUNES[#Data],5,0),"No registró")</f>
        <v>0.29736111111111113</v>
      </c>
      <c r="D347" s="359">
        <f>IFERROR(LOOKUP(2,1/([1]!LUNES[[CEDULA ]]=[1]!Tabla9[[#This Row],[CEDULA ]]),[1]!LUNES[HORA]),"No registró")</f>
        <v>0.55366898148148147</v>
      </c>
      <c r="E347" s="359">
        <f>IFERROR(VLOOKUP([1]!Tabla9[[CEDULA ]],[1]!MARTES[#Data],5,0),"No registró")</f>
        <v>0.29837962962962966</v>
      </c>
      <c r="F347" s="359">
        <f>IFERROR(LOOKUP(2,1/([1]!MARTES[[CEDULA ]]=[1]!Tabla9[[#This Row],[CEDULA ]]),[1]!MARTES[HORA]),"No Registró")</f>
        <v>0.56440972222222219</v>
      </c>
      <c r="G347" s="359" t="str">
        <f>IFERROR(VLOOKUP([1]!Tabla9[[CEDULA ]],[1]!MIERCOLES[#Data],5,0),"No registró")</f>
        <v>No registró</v>
      </c>
      <c r="H347" s="359" t="str">
        <f>IFERROR(LOOKUP(2,1/([1]!MIERCOLES[[CEDULA ]]=[1]!Tabla9[[#This Row],[CEDULA ]]),[1]!MIERCOLES[HORA]),"No registró")</f>
        <v>No registró</v>
      </c>
      <c r="I347" s="359" t="str">
        <f>IFERROR(VLOOKUP([1]!Tabla9[[CEDULA ]],[1]!JUEVES[#Data],5,0),"No Registró")</f>
        <v>No Registró</v>
      </c>
      <c r="J347" s="359" t="str">
        <f>IFERROR(LOOKUP(2,1/([1]!JUEVES[[CEDULA ]]=[1]!Tabla9[[#This Row],[CEDULA ]]),[1]!JUEVES[HORA]),"No registró")</f>
        <v>No registró</v>
      </c>
      <c r="K347" s="359" t="str">
        <f>IFERROR(VLOOKUP([1]!Tabla9[[CEDULA ]],[1]!VIERNES[#Data],5,0),"No registró")</f>
        <v>No registró</v>
      </c>
      <c r="L347" s="359" t="str">
        <f>IFERROR(LOOKUP(2,1/([1]!VIERNES[[CEDULA ]]=[1]!Tabla9[[#This Row],[CEDULA ]]),[1]!VIERNES[HORA]),"No registró")</f>
        <v>No registró</v>
      </c>
      <c r="M347" s="359" t="str">
        <f>IFERROR(VLOOKUP([1]!Tabla9[[CEDULA ]],[1]!SABADO[#Data],5,0),"No registró")</f>
        <v>No registró</v>
      </c>
      <c r="N347" s="359" t="str">
        <f>IFERROR(LOOKUP(2,1/([1]!SABADO[[CEDULA ]]=[1]!Tabla9[[#This Row],[CEDULA ]]),[1]!SABADO[HORA]),"No registró")</f>
        <v>No registró</v>
      </c>
      <c r="O347" s="359" t="str">
        <f>IFERROR(VLOOKUP([1]!Tabla9[[CEDULA ]],[1]!DOMINGO[#Data],5,0),"No registró")</f>
        <v>No registró</v>
      </c>
      <c r="P347" s="359" t="str">
        <f>IFERROR(LOOKUP(2,1/([1]!DOMINGO[[CEDULA ]]=[1]!Tabla9[[#This Row],[CEDULA ]]),[1]!DOMINGO[HORA]),"No registró")</f>
        <v>No registró</v>
      </c>
      <c r="Q347" s="240">
        <f>IFERROR(VLOOKUP(A347,DATOS[],10,0),"")</f>
        <v>0</v>
      </c>
    </row>
    <row r="348" spans="1:17" x14ac:dyDescent="0.25">
      <c r="A348" s="239">
        <v>21254964</v>
      </c>
      <c r="B348" s="239" t="s">
        <v>1319</v>
      </c>
      <c r="C348" s="359">
        <f>IFERROR(VLOOKUP([1]!Tabla9[[CEDULA ]],[1]!LUNES[#Data],5,0),"No registró")</f>
        <v>0.33423611111111112</v>
      </c>
      <c r="D348" s="359">
        <f>IFERROR(LOOKUP(2,1/([1]!LUNES[[CEDULA ]]=[1]!Tabla9[[#This Row],[CEDULA ]]),[1]!LUNES[HORA]),"No registró")</f>
        <v>0.33532407407407411</v>
      </c>
      <c r="E348" s="359">
        <f>IFERROR(VLOOKUP([1]!Tabla9[[CEDULA ]],[1]!MARTES[#Data],5,0),"No registró")</f>
        <v>0.30045138888888889</v>
      </c>
      <c r="F348" s="359">
        <f>IFERROR(LOOKUP(2,1/([1]!MARTES[[CEDULA ]]=[1]!Tabla9[[#This Row],[CEDULA ]]),[1]!MARTES[HORA]),"No Registró")</f>
        <v>0.30202546296296295</v>
      </c>
      <c r="G348" s="359" t="str">
        <f>IFERROR(VLOOKUP([1]!Tabla9[[CEDULA ]],[1]!MIERCOLES[#Data],5,0),"No registró")</f>
        <v>No registró</v>
      </c>
      <c r="H348" s="359" t="str">
        <f>IFERROR(LOOKUP(2,1/([1]!MIERCOLES[[CEDULA ]]=[1]!Tabla9[[#This Row],[CEDULA ]]),[1]!MIERCOLES[HORA]),"No registró")</f>
        <v>No registró</v>
      </c>
      <c r="I348" s="359" t="str">
        <f>IFERROR(VLOOKUP([1]!Tabla9[[CEDULA ]],[1]!JUEVES[#Data],5,0),"No Registró")</f>
        <v>No Registró</v>
      </c>
      <c r="J348" s="359" t="str">
        <f>IFERROR(LOOKUP(2,1/([1]!JUEVES[[CEDULA ]]=[1]!Tabla9[[#This Row],[CEDULA ]]),[1]!JUEVES[HORA]),"No registró")</f>
        <v>No registró</v>
      </c>
      <c r="K348" s="359" t="str">
        <f>IFERROR(VLOOKUP([1]!Tabla9[[CEDULA ]],[1]!VIERNES[#Data],5,0),"No registró")</f>
        <v>No registró</v>
      </c>
      <c r="L348" s="359" t="str">
        <f>IFERROR(LOOKUP(2,1/([1]!VIERNES[[CEDULA ]]=[1]!Tabla9[[#This Row],[CEDULA ]]),[1]!VIERNES[HORA]),"No registró")</f>
        <v>No registró</v>
      </c>
      <c r="M348" s="359" t="str">
        <f>IFERROR(VLOOKUP([1]!Tabla9[[CEDULA ]],[1]!SABADO[#Data],5,0),"No registró")</f>
        <v>No registró</v>
      </c>
      <c r="N348" s="359" t="str">
        <f>IFERROR(LOOKUP(2,1/([1]!SABADO[[CEDULA ]]=[1]!Tabla9[[#This Row],[CEDULA ]]),[1]!SABADO[HORA]),"No registró")</f>
        <v>No registró</v>
      </c>
      <c r="O348" s="359" t="str">
        <f>IFERROR(VLOOKUP([1]!Tabla9[[CEDULA ]],[1]!DOMINGO[#Data],5,0),"No registró")</f>
        <v>No registró</v>
      </c>
      <c r="P348" s="359" t="str">
        <f>IFERROR(LOOKUP(2,1/([1]!DOMINGO[[CEDULA ]]=[1]!Tabla9[[#This Row],[CEDULA ]]),[1]!DOMINGO[HORA]),"No registró")</f>
        <v>No registró</v>
      </c>
      <c r="Q348" s="240">
        <f>IFERROR(VLOOKUP(A348,DATOS[],10,0),"")</f>
        <v>0</v>
      </c>
    </row>
    <row r="349" spans="1:17" x14ac:dyDescent="0.25">
      <c r="A349" s="239">
        <v>21345770</v>
      </c>
      <c r="B349" s="239" t="s">
        <v>1320</v>
      </c>
      <c r="C349" s="359">
        <f>IFERROR(VLOOKUP([1]!Tabla9[[CEDULA ]],[1]!LUNES[#Data],5,0),"No registró")</f>
        <v>0.31577546296296294</v>
      </c>
      <c r="D349" s="359">
        <f>IFERROR(LOOKUP(2,1/([1]!LUNES[[CEDULA ]]=[1]!Tabla9[[#This Row],[CEDULA ]]),[1]!LUNES[HORA]),"No registró")</f>
        <v>0.55811342592592594</v>
      </c>
      <c r="E349" s="359">
        <f>IFERROR(VLOOKUP([1]!Tabla9[[CEDULA ]],[1]!MARTES[#Data],5,0),"No registró")</f>
        <v>0.31717592592592592</v>
      </c>
      <c r="F349" s="359">
        <f>IFERROR(LOOKUP(2,1/([1]!MARTES[[CEDULA ]]=[1]!Tabla9[[#This Row],[CEDULA ]]),[1]!MARTES[HORA]),"No Registró")</f>
        <v>0.57150462962962967</v>
      </c>
      <c r="G349" s="359" t="str">
        <f>IFERROR(VLOOKUP([1]!Tabla9[[CEDULA ]],[1]!MIERCOLES[#Data],5,0),"No registró")</f>
        <v>No registró</v>
      </c>
      <c r="H349" s="359" t="str">
        <f>IFERROR(LOOKUP(2,1/([1]!MIERCOLES[[CEDULA ]]=[1]!Tabla9[[#This Row],[CEDULA ]]),[1]!MIERCOLES[HORA]),"No registró")</f>
        <v>No registró</v>
      </c>
      <c r="I349" s="359" t="str">
        <f>IFERROR(VLOOKUP([1]!Tabla9[[CEDULA ]],[1]!JUEVES[#Data],5,0),"No Registró")</f>
        <v>No Registró</v>
      </c>
      <c r="J349" s="359" t="str">
        <f>IFERROR(LOOKUP(2,1/([1]!JUEVES[[CEDULA ]]=[1]!Tabla9[[#This Row],[CEDULA ]]),[1]!JUEVES[HORA]),"No registró")</f>
        <v>No registró</v>
      </c>
      <c r="K349" s="359" t="str">
        <f>IFERROR(VLOOKUP([1]!Tabla9[[CEDULA ]],[1]!VIERNES[#Data],5,0),"No registró")</f>
        <v>No registró</v>
      </c>
      <c r="L349" s="359" t="str">
        <f>IFERROR(LOOKUP(2,1/([1]!VIERNES[[CEDULA ]]=[1]!Tabla9[[#This Row],[CEDULA ]]),[1]!VIERNES[HORA]),"No registró")</f>
        <v>No registró</v>
      </c>
      <c r="M349" s="359" t="str">
        <f>IFERROR(VLOOKUP([1]!Tabla9[[CEDULA ]],[1]!SABADO[#Data],5,0),"No registró")</f>
        <v>No registró</v>
      </c>
      <c r="N349" s="359" t="str">
        <f>IFERROR(LOOKUP(2,1/([1]!SABADO[[CEDULA ]]=[1]!Tabla9[[#This Row],[CEDULA ]]),[1]!SABADO[HORA]),"No registró")</f>
        <v>No registró</v>
      </c>
      <c r="O349" s="359" t="str">
        <f>IFERROR(VLOOKUP([1]!Tabla9[[CEDULA ]],[1]!DOMINGO[#Data],5,0),"No registró")</f>
        <v>No registró</v>
      </c>
      <c r="P349" s="359" t="str">
        <f>IFERROR(LOOKUP(2,1/([1]!DOMINGO[[CEDULA ]]=[1]!Tabla9[[#This Row],[CEDULA ]]),[1]!DOMINGO[HORA]),"No registró")</f>
        <v>No registró</v>
      </c>
      <c r="Q349" s="240">
        <f>IFERROR(VLOOKUP(A349,DATOS[],10,0),"")</f>
        <v>0</v>
      </c>
    </row>
    <row r="350" spans="1:17" x14ac:dyDescent="0.25">
      <c r="A350" s="239">
        <v>21346927</v>
      </c>
      <c r="B350" s="239" t="s">
        <v>1321</v>
      </c>
      <c r="C350" s="359">
        <f>IFERROR(VLOOKUP([1]!Tabla9[[CEDULA ]],[1]!LUNES[#Data],5,0),"No registró")</f>
        <v>0.29689814814814813</v>
      </c>
      <c r="D350" s="359">
        <f>IFERROR(LOOKUP(2,1/([1]!LUNES[[CEDULA ]]=[1]!Tabla9[[#This Row],[CEDULA ]]),[1]!LUNES[HORA]),"No registró")</f>
        <v>0.55317129629629636</v>
      </c>
      <c r="E350" s="359">
        <f>IFERROR(VLOOKUP([1]!Tabla9[[CEDULA ]],[1]!MARTES[#Data],5,0),"No registró")</f>
        <v>0.29430555555555554</v>
      </c>
      <c r="F350" s="359">
        <f>IFERROR(LOOKUP(2,1/([1]!MARTES[[CEDULA ]]=[1]!Tabla9[[#This Row],[CEDULA ]]),[1]!MARTES[HORA]),"No Registró")</f>
        <v>0.55325231481481485</v>
      </c>
      <c r="G350" s="359" t="str">
        <f>IFERROR(VLOOKUP([1]!Tabla9[[CEDULA ]],[1]!MIERCOLES[#Data],5,0),"No registró")</f>
        <v>No registró</v>
      </c>
      <c r="H350" s="359" t="str">
        <f>IFERROR(LOOKUP(2,1/([1]!MIERCOLES[[CEDULA ]]=[1]!Tabla9[[#This Row],[CEDULA ]]),[1]!MIERCOLES[HORA]),"No registró")</f>
        <v>No registró</v>
      </c>
      <c r="I350" s="359" t="str">
        <f>IFERROR(VLOOKUP([1]!Tabla9[[CEDULA ]],[1]!JUEVES[#Data],5,0),"No Registró")</f>
        <v>No Registró</v>
      </c>
      <c r="J350" s="359" t="str">
        <f>IFERROR(LOOKUP(2,1/([1]!JUEVES[[CEDULA ]]=[1]!Tabla9[[#This Row],[CEDULA ]]),[1]!JUEVES[HORA]),"No registró")</f>
        <v>No registró</v>
      </c>
      <c r="K350" s="359" t="str">
        <f>IFERROR(VLOOKUP([1]!Tabla9[[CEDULA ]],[1]!VIERNES[#Data],5,0),"No registró")</f>
        <v>No registró</v>
      </c>
      <c r="L350" s="359" t="str">
        <f>IFERROR(LOOKUP(2,1/([1]!VIERNES[[CEDULA ]]=[1]!Tabla9[[#This Row],[CEDULA ]]),[1]!VIERNES[HORA]),"No registró")</f>
        <v>No registró</v>
      </c>
      <c r="M350" s="359" t="str">
        <f>IFERROR(VLOOKUP([1]!Tabla9[[CEDULA ]],[1]!SABADO[#Data],5,0),"No registró")</f>
        <v>No registró</v>
      </c>
      <c r="N350" s="359" t="str">
        <f>IFERROR(LOOKUP(2,1/([1]!SABADO[[CEDULA ]]=[1]!Tabla9[[#This Row],[CEDULA ]]),[1]!SABADO[HORA]),"No registró")</f>
        <v>No registró</v>
      </c>
      <c r="O350" s="359" t="str">
        <f>IFERROR(VLOOKUP([1]!Tabla9[[CEDULA ]],[1]!DOMINGO[#Data],5,0),"No registró")</f>
        <v>No registró</v>
      </c>
      <c r="P350" s="359" t="str">
        <f>IFERROR(LOOKUP(2,1/([1]!DOMINGO[[CEDULA ]]=[1]!Tabla9[[#This Row],[CEDULA ]]),[1]!DOMINGO[HORA]),"No registró")</f>
        <v>No registró</v>
      </c>
      <c r="Q350" s="240">
        <f>IFERROR(VLOOKUP(A350,DATOS[],10,0),"")</f>
        <v>0</v>
      </c>
    </row>
    <row r="351" spans="1:17" x14ac:dyDescent="0.25">
      <c r="A351" s="239">
        <v>21375509</v>
      </c>
      <c r="B351" s="239" t="s">
        <v>1322</v>
      </c>
      <c r="C351" s="359">
        <f>IFERROR(VLOOKUP([1]!Tabla9[[CEDULA ]],[1]!LUNES[#Data],5,0),"No registró")</f>
        <v>0.30525462962962963</v>
      </c>
      <c r="D351" s="359">
        <f>IFERROR(LOOKUP(2,1/([1]!LUNES[[CEDULA ]]=[1]!Tabla9[[#This Row],[CEDULA ]]),[1]!LUNES[HORA]),"No registró")</f>
        <v>0.56008101851851855</v>
      </c>
      <c r="E351" s="359">
        <f>IFERROR(VLOOKUP([1]!Tabla9[[CEDULA ]],[1]!MARTES[#Data],5,0),"No registró")</f>
        <v>0.32844907407407409</v>
      </c>
      <c r="F351" s="359">
        <f>IFERROR(LOOKUP(2,1/([1]!MARTES[[CEDULA ]]=[1]!Tabla9[[#This Row],[CEDULA ]]),[1]!MARTES[HORA]),"No Registró")</f>
        <v>0.56744212962962959</v>
      </c>
      <c r="G351" s="359" t="str">
        <f>IFERROR(VLOOKUP([1]!Tabla9[[CEDULA ]],[1]!MIERCOLES[#Data],5,0),"No registró")</f>
        <v>No registró</v>
      </c>
      <c r="H351" s="359" t="str">
        <f>IFERROR(LOOKUP(2,1/([1]!MIERCOLES[[CEDULA ]]=[1]!Tabla9[[#This Row],[CEDULA ]]),[1]!MIERCOLES[HORA]),"No registró")</f>
        <v>No registró</v>
      </c>
      <c r="I351" s="359" t="str">
        <f>IFERROR(VLOOKUP([1]!Tabla9[[CEDULA ]],[1]!JUEVES[#Data],5,0),"No Registró")</f>
        <v>No Registró</v>
      </c>
      <c r="J351" s="359" t="str">
        <f>IFERROR(LOOKUP(2,1/([1]!JUEVES[[CEDULA ]]=[1]!Tabla9[[#This Row],[CEDULA ]]),[1]!JUEVES[HORA]),"No registró")</f>
        <v>No registró</v>
      </c>
      <c r="K351" s="359" t="str">
        <f>IFERROR(VLOOKUP([1]!Tabla9[[CEDULA ]],[1]!VIERNES[#Data],5,0),"No registró")</f>
        <v>No registró</v>
      </c>
      <c r="L351" s="359" t="str">
        <f>IFERROR(LOOKUP(2,1/([1]!VIERNES[[CEDULA ]]=[1]!Tabla9[[#This Row],[CEDULA ]]),[1]!VIERNES[HORA]),"No registró")</f>
        <v>No registró</v>
      </c>
      <c r="M351" s="359" t="str">
        <f>IFERROR(VLOOKUP([1]!Tabla9[[CEDULA ]],[1]!SABADO[#Data],5,0),"No registró")</f>
        <v>No registró</v>
      </c>
      <c r="N351" s="359" t="str">
        <f>IFERROR(LOOKUP(2,1/([1]!SABADO[[CEDULA ]]=[1]!Tabla9[[#This Row],[CEDULA ]]),[1]!SABADO[HORA]),"No registró")</f>
        <v>No registró</v>
      </c>
      <c r="O351" s="359" t="str">
        <f>IFERROR(VLOOKUP([1]!Tabla9[[CEDULA ]],[1]!DOMINGO[#Data],5,0),"No registró")</f>
        <v>No registró</v>
      </c>
      <c r="P351" s="359" t="str">
        <f>IFERROR(LOOKUP(2,1/([1]!DOMINGO[[CEDULA ]]=[1]!Tabla9[[#This Row],[CEDULA ]]),[1]!DOMINGO[HORA]),"No registró")</f>
        <v>No registró</v>
      </c>
      <c r="Q351" s="240">
        <f>IFERROR(VLOOKUP(A351,DATOS[],10,0),"")</f>
        <v>0</v>
      </c>
    </row>
    <row r="352" spans="1:17" x14ac:dyDescent="0.25">
      <c r="A352" s="239">
        <v>21437039</v>
      </c>
      <c r="B352" s="239" t="s">
        <v>1323</v>
      </c>
      <c r="C352" s="359">
        <f>IFERROR(VLOOKUP([1]!Tabla9[[CEDULA ]],[1]!LUNES[#Data],5,0),"No registró")</f>
        <v>0.28229166666666666</v>
      </c>
      <c r="D352" s="359">
        <f>IFERROR(LOOKUP(2,1/([1]!LUNES[[CEDULA ]]=[1]!Tabla9[[#This Row],[CEDULA ]]),[1]!LUNES[HORA]),"No registró")</f>
        <v>0.55736111111111108</v>
      </c>
      <c r="E352" s="359">
        <f>IFERROR(VLOOKUP([1]!Tabla9[[CEDULA ]],[1]!MARTES[#Data],5,0),"No registró")</f>
        <v>0.2822337962962963</v>
      </c>
      <c r="F352" s="359">
        <f>IFERROR(LOOKUP(2,1/([1]!MARTES[[CEDULA ]]=[1]!Tabla9[[#This Row],[CEDULA ]]),[1]!MARTES[HORA]),"No Registró")</f>
        <v>0.55619212962962961</v>
      </c>
      <c r="G352" s="359" t="str">
        <f>IFERROR(VLOOKUP([1]!Tabla9[[CEDULA ]],[1]!MIERCOLES[#Data],5,0),"No registró")</f>
        <v>No registró</v>
      </c>
      <c r="H352" s="359" t="str">
        <f>IFERROR(LOOKUP(2,1/([1]!MIERCOLES[[CEDULA ]]=[1]!Tabla9[[#This Row],[CEDULA ]]),[1]!MIERCOLES[HORA]),"No registró")</f>
        <v>No registró</v>
      </c>
      <c r="I352" s="359" t="str">
        <f>IFERROR(VLOOKUP([1]!Tabla9[[CEDULA ]],[1]!JUEVES[#Data],5,0),"No Registró")</f>
        <v>No Registró</v>
      </c>
      <c r="J352" s="359" t="str">
        <f>IFERROR(LOOKUP(2,1/([1]!JUEVES[[CEDULA ]]=[1]!Tabla9[[#This Row],[CEDULA ]]),[1]!JUEVES[HORA]),"No registró")</f>
        <v>No registró</v>
      </c>
      <c r="K352" s="359" t="str">
        <f>IFERROR(VLOOKUP([1]!Tabla9[[CEDULA ]],[1]!VIERNES[#Data],5,0),"No registró")</f>
        <v>No registró</v>
      </c>
      <c r="L352" s="359" t="str">
        <f>IFERROR(LOOKUP(2,1/([1]!VIERNES[[CEDULA ]]=[1]!Tabla9[[#This Row],[CEDULA ]]),[1]!VIERNES[HORA]),"No registró")</f>
        <v>No registró</v>
      </c>
      <c r="M352" s="359" t="str">
        <f>IFERROR(VLOOKUP([1]!Tabla9[[CEDULA ]],[1]!SABADO[#Data],5,0),"No registró")</f>
        <v>No registró</v>
      </c>
      <c r="N352" s="359" t="str">
        <f>IFERROR(LOOKUP(2,1/([1]!SABADO[[CEDULA ]]=[1]!Tabla9[[#This Row],[CEDULA ]]),[1]!SABADO[HORA]),"No registró")</f>
        <v>No registró</v>
      </c>
      <c r="O352" s="359" t="str">
        <f>IFERROR(VLOOKUP([1]!Tabla9[[CEDULA ]],[1]!DOMINGO[#Data],5,0),"No registró")</f>
        <v>No registró</v>
      </c>
      <c r="P352" s="359" t="str">
        <f>IFERROR(LOOKUP(2,1/([1]!DOMINGO[[CEDULA ]]=[1]!Tabla9[[#This Row],[CEDULA ]]),[1]!DOMINGO[HORA]),"No registró")</f>
        <v>No registró</v>
      </c>
      <c r="Q352" s="240" t="str">
        <f>IFERROR(VLOOKUP(A352,DATOS[],10,0),"")</f>
        <v>3. CARICUAO</v>
      </c>
    </row>
    <row r="353" spans="1:17" x14ac:dyDescent="0.25">
      <c r="A353" s="239">
        <v>21470016</v>
      </c>
      <c r="B353" s="239" t="s">
        <v>1324</v>
      </c>
      <c r="C353" s="359">
        <f>IFERROR(VLOOKUP([1]!Tabla9[[CEDULA ]],[1]!LUNES[#Data],5,0),"No registró")</f>
        <v>0.29820601851851852</v>
      </c>
      <c r="D353" s="359">
        <f>IFERROR(LOOKUP(2,1/([1]!LUNES[[CEDULA ]]=[1]!Tabla9[[#This Row],[CEDULA ]]),[1]!LUNES[HORA]),"No registró")</f>
        <v>0.58307870370370374</v>
      </c>
      <c r="E353" s="359">
        <f>IFERROR(VLOOKUP([1]!Tabla9[[CEDULA ]],[1]!MARTES[#Data],5,0),"No registró")</f>
        <v>0.29637731481481483</v>
      </c>
      <c r="F353" s="359">
        <f>IFERROR(LOOKUP(2,1/([1]!MARTES[[CEDULA ]]=[1]!Tabla9[[#This Row],[CEDULA ]]),[1]!MARTES[HORA]),"No Registró")</f>
        <v>0.57879629629629636</v>
      </c>
      <c r="G353" s="359" t="str">
        <f>IFERROR(VLOOKUP([1]!Tabla9[[CEDULA ]],[1]!MIERCOLES[#Data],5,0),"No registró")</f>
        <v>No registró</v>
      </c>
      <c r="H353" s="359" t="str">
        <f>IFERROR(LOOKUP(2,1/([1]!MIERCOLES[[CEDULA ]]=[1]!Tabla9[[#This Row],[CEDULA ]]),[1]!MIERCOLES[HORA]),"No registró")</f>
        <v>No registró</v>
      </c>
      <c r="I353" s="359" t="str">
        <f>IFERROR(VLOOKUP([1]!Tabla9[[CEDULA ]],[1]!JUEVES[#Data],5,0),"No Registró")</f>
        <v>No Registró</v>
      </c>
      <c r="J353" s="359" t="str">
        <f>IFERROR(LOOKUP(2,1/([1]!JUEVES[[CEDULA ]]=[1]!Tabla9[[#This Row],[CEDULA ]]),[1]!JUEVES[HORA]),"No registró")</f>
        <v>No registró</v>
      </c>
      <c r="K353" s="359" t="str">
        <f>IFERROR(VLOOKUP([1]!Tabla9[[CEDULA ]],[1]!VIERNES[#Data],5,0),"No registró")</f>
        <v>No registró</v>
      </c>
      <c r="L353" s="359" t="str">
        <f>IFERROR(LOOKUP(2,1/([1]!VIERNES[[CEDULA ]]=[1]!Tabla9[[#This Row],[CEDULA ]]),[1]!VIERNES[HORA]),"No registró")</f>
        <v>No registró</v>
      </c>
      <c r="M353" s="359" t="str">
        <f>IFERROR(VLOOKUP([1]!Tabla9[[CEDULA ]],[1]!SABADO[#Data],5,0),"No registró")</f>
        <v>No registró</v>
      </c>
      <c r="N353" s="359" t="str">
        <f>IFERROR(LOOKUP(2,1/([1]!SABADO[[CEDULA ]]=[1]!Tabla9[[#This Row],[CEDULA ]]),[1]!SABADO[HORA]),"No registró")</f>
        <v>No registró</v>
      </c>
      <c r="O353" s="359" t="str">
        <f>IFERROR(VLOOKUP([1]!Tabla9[[CEDULA ]],[1]!DOMINGO[#Data],5,0),"No registró")</f>
        <v>No registró</v>
      </c>
      <c r="P353" s="359" t="str">
        <f>IFERROR(LOOKUP(2,1/([1]!DOMINGO[[CEDULA ]]=[1]!Tabla9[[#This Row],[CEDULA ]]),[1]!DOMINGO[HORA]),"No registró")</f>
        <v>No registró</v>
      </c>
      <c r="Q353" s="240">
        <f>IFERROR(VLOOKUP(A353,DATOS[],10,0),"")</f>
        <v>0</v>
      </c>
    </row>
    <row r="354" spans="1:17" x14ac:dyDescent="0.25">
      <c r="A354" s="239">
        <v>22348856</v>
      </c>
      <c r="B354" s="239" t="s">
        <v>1325</v>
      </c>
      <c r="C354" s="359">
        <f>IFERROR(VLOOKUP([1]!Tabla9[[CEDULA ]],[1]!LUNES[#Data],5,0),"No registró")</f>
        <v>0.31277777777777777</v>
      </c>
      <c r="D354" s="359">
        <f>IFERROR(LOOKUP(2,1/([1]!LUNES[[CEDULA ]]=[1]!Tabla9[[#This Row],[CEDULA ]]),[1]!LUNES[HORA]),"No registró")</f>
        <v>0.5584837962962963</v>
      </c>
      <c r="E354" s="359">
        <f>IFERROR(VLOOKUP([1]!Tabla9[[CEDULA ]],[1]!MARTES[#Data],5,0),"No registró")</f>
        <v>0.30570601851851853</v>
      </c>
      <c r="F354" s="359">
        <f>IFERROR(LOOKUP(2,1/([1]!MARTES[[CEDULA ]]=[1]!Tabla9[[#This Row],[CEDULA ]]),[1]!MARTES[HORA]),"No Registró")</f>
        <v>0.55359953703703701</v>
      </c>
      <c r="G354" s="359" t="str">
        <f>IFERROR(VLOOKUP([1]!Tabla9[[CEDULA ]],[1]!MIERCOLES[#Data],5,0),"No registró")</f>
        <v>No registró</v>
      </c>
      <c r="H354" s="359" t="str">
        <f>IFERROR(LOOKUP(2,1/([1]!MIERCOLES[[CEDULA ]]=[1]!Tabla9[[#This Row],[CEDULA ]]),[1]!MIERCOLES[HORA]),"No registró")</f>
        <v>No registró</v>
      </c>
      <c r="I354" s="359" t="str">
        <f>IFERROR(VLOOKUP([1]!Tabla9[[CEDULA ]],[1]!JUEVES[#Data],5,0),"No Registró")</f>
        <v>No Registró</v>
      </c>
      <c r="J354" s="359" t="str">
        <f>IFERROR(LOOKUP(2,1/([1]!JUEVES[[CEDULA ]]=[1]!Tabla9[[#This Row],[CEDULA ]]),[1]!JUEVES[HORA]),"No registró")</f>
        <v>No registró</v>
      </c>
      <c r="K354" s="359" t="str">
        <f>IFERROR(VLOOKUP([1]!Tabla9[[CEDULA ]],[1]!VIERNES[#Data],5,0),"No registró")</f>
        <v>No registró</v>
      </c>
      <c r="L354" s="359" t="str">
        <f>IFERROR(LOOKUP(2,1/([1]!VIERNES[[CEDULA ]]=[1]!Tabla9[[#This Row],[CEDULA ]]),[1]!VIERNES[HORA]),"No registró")</f>
        <v>No registró</v>
      </c>
      <c r="M354" s="359" t="str">
        <f>IFERROR(VLOOKUP([1]!Tabla9[[CEDULA ]],[1]!SABADO[#Data],5,0),"No registró")</f>
        <v>No registró</v>
      </c>
      <c r="N354" s="359" t="str">
        <f>IFERROR(LOOKUP(2,1/([1]!SABADO[[CEDULA ]]=[1]!Tabla9[[#This Row],[CEDULA ]]),[1]!SABADO[HORA]),"No registró")</f>
        <v>No registró</v>
      </c>
      <c r="O354" s="359" t="str">
        <f>IFERROR(VLOOKUP([1]!Tabla9[[CEDULA ]],[1]!DOMINGO[#Data],5,0),"No registró")</f>
        <v>No registró</v>
      </c>
      <c r="P354" s="359" t="str">
        <f>IFERROR(LOOKUP(2,1/([1]!DOMINGO[[CEDULA ]]=[1]!Tabla9[[#This Row],[CEDULA ]]),[1]!DOMINGO[HORA]),"No registró")</f>
        <v>No registró</v>
      </c>
      <c r="Q354" s="240" t="str">
        <f>IFERROR(VLOOKUP(A354,DATOS[],10,0),"")</f>
        <v>4. VALLES DEL TUY</v>
      </c>
    </row>
    <row r="355" spans="1:17" x14ac:dyDescent="0.25">
      <c r="A355" s="239">
        <v>22381833</v>
      </c>
      <c r="B355" s="239" t="s">
        <v>1326</v>
      </c>
      <c r="C355" s="359">
        <f>IFERROR(VLOOKUP([1]!Tabla9[[CEDULA ]],[1]!LUNES[#Data],5,0),"No registró")</f>
        <v>0.28819444444444448</v>
      </c>
      <c r="D355" s="359">
        <f>IFERROR(LOOKUP(2,1/([1]!LUNES[[CEDULA ]]=[1]!Tabla9[[#This Row],[CEDULA ]]),[1]!LUNES[HORA]),"No registró")</f>
        <v>0.54520833333333341</v>
      </c>
      <c r="E355" s="359">
        <f>IFERROR(VLOOKUP([1]!Tabla9[[CEDULA ]],[1]!MARTES[#Data],5,0),"No registró")</f>
        <v>0.28302083333333333</v>
      </c>
      <c r="F355" s="359">
        <f>IFERROR(LOOKUP(2,1/([1]!MARTES[[CEDULA ]]=[1]!Tabla9[[#This Row],[CEDULA ]]),[1]!MARTES[HORA]),"No Registró")</f>
        <v>0.5433796296296296</v>
      </c>
      <c r="G355" s="359" t="str">
        <f>IFERROR(VLOOKUP([1]!Tabla9[[CEDULA ]],[1]!MIERCOLES[#Data],5,0),"No registró")</f>
        <v>No registró</v>
      </c>
      <c r="H355" s="359" t="str">
        <f>IFERROR(LOOKUP(2,1/([1]!MIERCOLES[[CEDULA ]]=[1]!Tabla9[[#This Row],[CEDULA ]]),[1]!MIERCOLES[HORA]),"No registró")</f>
        <v>No registró</v>
      </c>
      <c r="I355" s="359" t="str">
        <f>IFERROR(VLOOKUP([1]!Tabla9[[CEDULA ]],[1]!JUEVES[#Data],5,0),"No Registró")</f>
        <v>No Registró</v>
      </c>
      <c r="J355" s="359" t="str">
        <f>IFERROR(LOOKUP(2,1/([1]!JUEVES[[CEDULA ]]=[1]!Tabla9[[#This Row],[CEDULA ]]),[1]!JUEVES[HORA]),"No registró")</f>
        <v>No registró</v>
      </c>
      <c r="K355" s="359" t="str">
        <f>IFERROR(VLOOKUP([1]!Tabla9[[CEDULA ]],[1]!VIERNES[#Data],5,0),"No registró")</f>
        <v>No registró</v>
      </c>
      <c r="L355" s="359" t="str">
        <f>IFERROR(LOOKUP(2,1/([1]!VIERNES[[CEDULA ]]=[1]!Tabla9[[#This Row],[CEDULA ]]),[1]!VIERNES[HORA]),"No registró")</f>
        <v>No registró</v>
      </c>
      <c r="M355" s="359" t="str">
        <f>IFERROR(VLOOKUP([1]!Tabla9[[CEDULA ]],[1]!SABADO[#Data],5,0),"No registró")</f>
        <v>No registró</v>
      </c>
      <c r="N355" s="359" t="str">
        <f>IFERROR(LOOKUP(2,1/([1]!SABADO[[CEDULA ]]=[1]!Tabla9[[#This Row],[CEDULA ]]),[1]!SABADO[HORA]),"No registró")</f>
        <v>No registró</v>
      </c>
      <c r="O355" s="359" t="str">
        <f>IFERROR(VLOOKUP([1]!Tabla9[[CEDULA ]],[1]!DOMINGO[#Data],5,0),"No registró")</f>
        <v>No registró</v>
      </c>
      <c r="P355" s="359" t="str">
        <f>IFERROR(LOOKUP(2,1/([1]!DOMINGO[[CEDULA ]]=[1]!Tabla9[[#This Row],[CEDULA ]]),[1]!DOMINGO[HORA]),"No registró")</f>
        <v>No registró</v>
      </c>
      <c r="Q355" s="240" t="str">
        <f>IFERROR(VLOOKUP(A355,DATOS[],10,0),"")</f>
        <v>5. GUARENAS</v>
      </c>
    </row>
    <row r="356" spans="1:17" x14ac:dyDescent="0.25">
      <c r="A356" s="239">
        <v>22388131</v>
      </c>
      <c r="B356" s="239" t="s">
        <v>1327</v>
      </c>
      <c r="C356" s="359">
        <f>IFERROR(VLOOKUP([1]!Tabla9[[CEDULA ]],[1]!LUNES[#Data],5,0),"No registró")</f>
        <v>0.44405092592592593</v>
      </c>
      <c r="D356" s="359">
        <f>IFERROR(LOOKUP(2,1/([1]!LUNES[[CEDULA ]]=[1]!Tabla9[[#This Row],[CEDULA ]]),[1]!LUNES[HORA]),"No registró")</f>
        <v>0.55487268518518518</v>
      </c>
      <c r="E356" s="359">
        <f>IFERROR(VLOOKUP([1]!Tabla9[[CEDULA ]],[1]!MARTES[#Data],5,0),"No registró")</f>
        <v>0.31421296296296297</v>
      </c>
      <c r="F356" s="359">
        <f>IFERROR(LOOKUP(2,1/([1]!MARTES[[CEDULA ]]=[1]!Tabla9[[#This Row],[CEDULA ]]),[1]!MARTES[HORA]),"No Registró")</f>
        <v>0.55266203703703709</v>
      </c>
      <c r="G356" s="359" t="str">
        <f>IFERROR(VLOOKUP([1]!Tabla9[[CEDULA ]],[1]!MIERCOLES[#Data],5,0),"No registró")</f>
        <v>No registró</v>
      </c>
      <c r="H356" s="359" t="str">
        <f>IFERROR(LOOKUP(2,1/([1]!MIERCOLES[[CEDULA ]]=[1]!Tabla9[[#This Row],[CEDULA ]]),[1]!MIERCOLES[HORA]),"No registró")</f>
        <v>No registró</v>
      </c>
      <c r="I356" s="359" t="str">
        <f>IFERROR(VLOOKUP([1]!Tabla9[[CEDULA ]],[1]!JUEVES[#Data],5,0),"No Registró")</f>
        <v>No Registró</v>
      </c>
      <c r="J356" s="359" t="str">
        <f>IFERROR(LOOKUP(2,1/([1]!JUEVES[[CEDULA ]]=[1]!Tabla9[[#This Row],[CEDULA ]]),[1]!JUEVES[HORA]),"No registró")</f>
        <v>No registró</v>
      </c>
      <c r="K356" s="359" t="str">
        <f>IFERROR(VLOOKUP([1]!Tabla9[[CEDULA ]],[1]!VIERNES[#Data],5,0),"No registró")</f>
        <v>No registró</v>
      </c>
      <c r="L356" s="359" t="str">
        <f>IFERROR(LOOKUP(2,1/([1]!VIERNES[[CEDULA ]]=[1]!Tabla9[[#This Row],[CEDULA ]]),[1]!VIERNES[HORA]),"No registró")</f>
        <v>No registró</v>
      </c>
      <c r="M356" s="359" t="str">
        <f>IFERROR(VLOOKUP([1]!Tabla9[[CEDULA ]],[1]!SABADO[#Data],5,0),"No registró")</f>
        <v>No registró</v>
      </c>
      <c r="N356" s="359" t="str">
        <f>IFERROR(LOOKUP(2,1/([1]!SABADO[[CEDULA ]]=[1]!Tabla9[[#This Row],[CEDULA ]]),[1]!SABADO[HORA]),"No registró")</f>
        <v>No registró</v>
      </c>
      <c r="O356" s="359" t="str">
        <f>IFERROR(VLOOKUP([1]!Tabla9[[CEDULA ]],[1]!DOMINGO[#Data],5,0),"No registró")</f>
        <v>No registró</v>
      </c>
      <c r="P356" s="359" t="str">
        <f>IFERROR(LOOKUP(2,1/([1]!DOMINGO[[CEDULA ]]=[1]!Tabla9[[#This Row],[CEDULA ]]),[1]!DOMINGO[HORA]),"No registró")</f>
        <v>No registró</v>
      </c>
      <c r="Q356" s="240">
        <f>IFERROR(VLOOKUP(A356,DATOS[],10,0),"")</f>
        <v>0</v>
      </c>
    </row>
    <row r="357" spans="1:17" x14ac:dyDescent="0.25">
      <c r="A357" s="239">
        <v>22492695</v>
      </c>
      <c r="B357" s="239" t="s">
        <v>1328</v>
      </c>
      <c r="C357" s="359">
        <f>IFERROR(VLOOKUP([1]!Tabla9[[CEDULA ]],[1]!LUNES[#Data],5,0),"No registró")</f>
        <v>0.28900462962962964</v>
      </c>
      <c r="D357" s="359">
        <f>IFERROR(LOOKUP(2,1/([1]!LUNES[[CEDULA ]]=[1]!Tabla9[[#This Row],[CEDULA ]]),[1]!LUNES[HORA]),"No registró")</f>
        <v>0.55503472222222217</v>
      </c>
      <c r="E357" s="359">
        <f>IFERROR(VLOOKUP([1]!Tabla9[[CEDULA ]],[1]!MARTES[#Data],5,0),"No registró")</f>
        <v>0.27864583333333331</v>
      </c>
      <c r="F357" s="359">
        <f>IFERROR(LOOKUP(2,1/([1]!MARTES[[CEDULA ]]=[1]!Tabla9[[#This Row],[CEDULA ]]),[1]!MARTES[HORA]),"No Registró")</f>
        <v>0.55335648148148142</v>
      </c>
      <c r="G357" s="359" t="str">
        <f>IFERROR(VLOOKUP([1]!Tabla9[[CEDULA ]],[1]!MIERCOLES[#Data],5,0),"No registró")</f>
        <v>No registró</v>
      </c>
      <c r="H357" s="359" t="str">
        <f>IFERROR(LOOKUP(2,1/([1]!MIERCOLES[[CEDULA ]]=[1]!Tabla9[[#This Row],[CEDULA ]]),[1]!MIERCOLES[HORA]),"No registró")</f>
        <v>No registró</v>
      </c>
      <c r="I357" s="359" t="str">
        <f>IFERROR(VLOOKUP([1]!Tabla9[[CEDULA ]],[1]!JUEVES[#Data],5,0),"No Registró")</f>
        <v>No Registró</v>
      </c>
      <c r="J357" s="359" t="str">
        <f>IFERROR(LOOKUP(2,1/([1]!JUEVES[[CEDULA ]]=[1]!Tabla9[[#This Row],[CEDULA ]]),[1]!JUEVES[HORA]),"No registró")</f>
        <v>No registró</v>
      </c>
      <c r="K357" s="359" t="str">
        <f>IFERROR(VLOOKUP([1]!Tabla9[[CEDULA ]],[1]!VIERNES[#Data],5,0),"No registró")</f>
        <v>No registró</v>
      </c>
      <c r="L357" s="359" t="str">
        <f>IFERROR(LOOKUP(2,1/([1]!VIERNES[[CEDULA ]]=[1]!Tabla9[[#This Row],[CEDULA ]]),[1]!VIERNES[HORA]),"No registró")</f>
        <v>No registró</v>
      </c>
      <c r="M357" s="359" t="str">
        <f>IFERROR(VLOOKUP([1]!Tabla9[[CEDULA ]],[1]!SABADO[#Data],5,0),"No registró")</f>
        <v>No registró</v>
      </c>
      <c r="N357" s="359" t="str">
        <f>IFERROR(LOOKUP(2,1/([1]!SABADO[[CEDULA ]]=[1]!Tabla9[[#This Row],[CEDULA ]]),[1]!SABADO[HORA]),"No registró")</f>
        <v>No registró</v>
      </c>
      <c r="O357" s="359" t="str">
        <f>IFERROR(VLOOKUP([1]!Tabla9[[CEDULA ]],[1]!DOMINGO[#Data],5,0),"No registró")</f>
        <v>No registró</v>
      </c>
      <c r="P357" s="359" t="str">
        <f>IFERROR(LOOKUP(2,1/([1]!DOMINGO[[CEDULA ]]=[1]!Tabla9[[#This Row],[CEDULA ]]),[1]!DOMINGO[HORA]),"No registró")</f>
        <v>No registró</v>
      </c>
      <c r="Q357" s="240">
        <f>IFERROR(VLOOKUP(A357,DATOS[],10,0),"")</f>
        <v>0</v>
      </c>
    </row>
    <row r="358" spans="1:17" x14ac:dyDescent="0.25">
      <c r="A358" s="239">
        <v>22760305</v>
      </c>
      <c r="B358" s="239" t="s">
        <v>1329</v>
      </c>
      <c r="C358" s="359">
        <f>IFERROR(VLOOKUP([1]!Tabla9[[CEDULA ]],[1]!LUNES[#Data],5,0),"No registró")</f>
        <v>0.3513310185185185</v>
      </c>
      <c r="D358" s="359">
        <f>IFERROR(LOOKUP(2,1/([1]!LUNES[[CEDULA ]]=[1]!Tabla9[[#This Row],[CEDULA ]]),[1]!LUNES[HORA]),"No registró")</f>
        <v>0.55361111111111116</v>
      </c>
      <c r="E358" s="359" t="str">
        <f>IFERROR(VLOOKUP([1]!Tabla9[[CEDULA ]],[1]!MARTES[#Data],5,0),"No registró")</f>
        <v>No registró</v>
      </c>
      <c r="F358" s="359" t="str">
        <f>IFERROR(LOOKUP(2,1/([1]!MARTES[[CEDULA ]]=[1]!Tabla9[[#This Row],[CEDULA ]]),[1]!MARTES[HORA]),"No Registró")</f>
        <v>No Registró</v>
      </c>
      <c r="G358" s="359" t="str">
        <f>IFERROR(VLOOKUP([1]!Tabla9[[CEDULA ]],[1]!MIERCOLES[#Data],5,0),"No registró")</f>
        <v>No registró</v>
      </c>
      <c r="H358" s="359" t="str">
        <f>IFERROR(LOOKUP(2,1/([1]!MIERCOLES[[CEDULA ]]=[1]!Tabla9[[#This Row],[CEDULA ]]),[1]!MIERCOLES[HORA]),"No registró")</f>
        <v>No registró</v>
      </c>
      <c r="I358" s="359" t="str">
        <f>IFERROR(VLOOKUP([1]!Tabla9[[CEDULA ]],[1]!JUEVES[#Data],5,0),"No Registró")</f>
        <v>No Registró</v>
      </c>
      <c r="J358" s="359" t="str">
        <f>IFERROR(LOOKUP(2,1/([1]!JUEVES[[CEDULA ]]=[1]!Tabla9[[#This Row],[CEDULA ]]),[1]!JUEVES[HORA]),"No registró")</f>
        <v>No registró</v>
      </c>
      <c r="K358" s="359" t="str">
        <f>IFERROR(VLOOKUP([1]!Tabla9[[CEDULA ]],[1]!VIERNES[#Data],5,0),"No registró")</f>
        <v>No registró</v>
      </c>
      <c r="L358" s="359" t="str">
        <f>IFERROR(LOOKUP(2,1/([1]!VIERNES[[CEDULA ]]=[1]!Tabla9[[#This Row],[CEDULA ]]),[1]!VIERNES[HORA]),"No registró")</f>
        <v>No registró</v>
      </c>
      <c r="M358" s="359" t="str">
        <f>IFERROR(VLOOKUP([1]!Tabla9[[CEDULA ]],[1]!SABADO[#Data],5,0),"No registró")</f>
        <v>No registró</v>
      </c>
      <c r="N358" s="359" t="str">
        <f>IFERROR(LOOKUP(2,1/([1]!SABADO[[CEDULA ]]=[1]!Tabla9[[#This Row],[CEDULA ]]),[1]!SABADO[HORA]),"No registró")</f>
        <v>No registró</v>
      </c>
      <c r="O358" s="359" t="str">
        <f>IFERROR(VLOOKUP([1]!Tabla9[[CEDULA ]],[1]!DOMINGO[#Data],5,0),"No registró")</f>
        <v>No registró</v>
      </c>
      <c r="P358" s="359" t="str">
        <f>IFERROR(LOOKUP(2,1/([1]!DOMINGO[[CEDULA ]]=[1]!Tabla9[[#This Row],[CEDULA ]]),[1]!DOMINGO[HORA]),"No registró")</f>
        <v>No registró</v>
      </c>
      <c r="Q358" s="240">
        <f>IFERROR(VLOOKUP(A358,DATOS[],10,0),"")</f>
        <v>0</v>
      </c>
    </row>
    <row r="359" spans="1:17" x14ac:dyDescent="0.25">
      <c r="A359" s="239">
        <v>22915227</v>
      </c>
      <c r="B359" s="239" t="s">
        <v>1330</v>
      </c>
      <c r="C359" s="359">
        <f>IFERROR(VLOOKUP([1]!Tabla9[[CEDULA ]],[1]!LUNES[#Data],5,0),"No registró")</f>
        <v>0.30938657407407405</v>
      </c>
      <c r="D359" s="359">
        <f>IFERROR(LOOKUP(2,1/([1]!LUNES[[CEDULA ]]=[1]!Tabla9[[#This Row],[CEDULA ]]),[1]!LUNES[HORA]),"No registró")</f>
        <v>0.55417824074074074</v>
      </c>
      <c r="E359" s="359">
        <f>IFERROR(VLOOKUP([1]!Tabla9[[CEDULA ]],[1]!MARTES[#Data],5,0),"No registró")</f>
        <v>0.33776620370370369</v>
      </c>
      <c r="F359" s="359">
        <f>IFERROR(LOOKUP(2,1/([1]!MARTES[[CEDULA ]]=[1]!Tabla9[[#This Row],[CEDULA ]]),[1]!MARTES[HORA]),"No Registró")</f>
        <v>0.55379629629629623</v>
      </c>
      <c r="G359" s="359" t="str">
        <f>IFERROR(VLOOKUP([1]!Tabla9[[CEDULA ]],[1]!MIERCOLES[#Data],5,0),"No registró")</f>
        <v>No registró</v>
      </c>
      <c r="H359" s="359" t="str">
        <f>IFERROR(LOOKUP(2,1/([1]!MIERCOLES[[CEDULA ]]=[1]!Tabla9[[#This Row],[CEDULA ]]),[1]!MIERCOLES[HORA]),"No registró")</f>
        <v>No registró</v>
      </c>
      <c r="I359" s="359" t="str">
        <f>IFERROR(VLOOKUP([1]!Tabla9[[CEDULA ]],[1]!JUEVES[#Data],5,0),"No Registró")</f>
        <v>No Registró</v>
      </c>
      <c r="J359" s="359" t="str">
        <f>IFERROR(LOOKUP(2,1/([1]!JUEVES[[CEDULA ]]=[1]!Tabla9[[#This Row],[CEDULA ]]),[1]!JUEVES[HORA]),"No registró")</f>
        <v>No registró</v>
      </c>
      <c r="K359" s="359" t="str">
        <f>IFERROR(VLOOKUP([1]!Tabla9[[CEDULA ]],[1]!VIERNES[#Data],5,0),"No registró")</f>
        <v>No registró</v>
      </c>
      <c r="L359" s="359" t="str">
        <f>IFERROR(LOOKUP(2,1/([1]!VIERNES[[CEDULA ]]=[1]!Tabla9[[#This Row],[CEDULA ]]),[1]!VIERNES[HORA]),"No registró")</f>
        <v>No registró</v>
      </c>
      <c r="M359" s="359" t="str">
        <f>IFERROR(VLOOKUP([1]!Tabla9[[CEDULA ]],[1]!SABADO[#Data],5,0),"No registró")</f>
        <v>No registró</v>
      </c>
      <c r="N359" s="359" t="str">
        <f>IFERROR(LOOKUP(2,1/([1]!SABADO[[CEDULA ]]=[1]!Tabla9[[#This Row],[CEDULA ]]),[1]!SABADO[HORA]),"No registró")</f>
        <v>No registró</v>
      </c>
      <c r="O359" s="359" t="str">
        <f>IFERROR(VLOOKUP([1]!Tabla9[[CEDULA ]],[1]!DOMINGO[#Data],5,0),"No registró")</f>
        <v>No registró</v>
      </c>
      <c r="P359" s="359" t="str">
        <f>IFERROR(LOOKUP(2,1/([1]!DOMINGO[[CEDULA ]]=[1]!Tabla9[[#This Row],[CEDULA ]]),[1]!DOMINGO[HORA]),"No registró")</f>
        <v>No registró</v>
      </c>
      <c r="Q359" s="240" t="str">
        <f>IFERROR(VLOOKUP(A359,DATOS[],10,0),"")</f>
        <v>4. VALLES DEL TUY</v>
      </c>
    </row>
    <row r="360" spans="1:17" x14ac:dyDescent="0.25">
      <c r="A360" s="239">
        <v>23000253</v>
      </c>
      <c r="B360" s="239" t="s">
        <v>1331</v>
      </c>
      <c r="C360" s="359">
        <f>IFERROR(VLOOKUP([1]!Tabla9[[CEDULA ]],[1]!LUNES[#Data],5,0),"No registró")</f>
        <v>0.25771990740740741</v>
      </c>
      <c r="D360" s="359">
        <f>IFERROR(LOOKUP(2,1/([1]!LUNES[[CEDULA ]]=[1]!Tabla9[[#This Row],[CEDULA ]]),[1]!LUNES[HORA]),"No registró")</f>
        <v>0.5546875</v>
      </c>
      <c r="E360" s="359">
        <f>IFERROR(VLOOKUP([1]!Tabla9[[CEDULA ]],[1]!MARTES[#Data],5,0),"No registró")</f>
        <v>0.26373842592592595</v>
      </c>
      <c r="F360" s="359">
        <f>IFERROR(LOOKUP(2,1/([1]!MARTES[[CEDULA ]]=[1]!Tabla9[[#This Row],[CEDULA ]]),[1]!MARTES[HORA]),"No Registró")</f>
        <v>0.55348379629629629</v>
      </c>
      <c r="G360" s="359" t="str">
        <f>IFERROR(VLOOKUP([1]!Tabla9[[CEDULA ]],[1]!MIERCOLES[#Data],5,0),"No registró")</f>
        <v>No registró</v>
      </c>
      <c r="H360" s="359" t="str">
        <f>IFERROR(LOOKUP(2,1/([1]!MIERCOLES[[CEDULA ]]=[1]!Tabla9[[#This Row],[CEDULA ]]),[1]!MIERCOLES[HORA]),"No registró")</f>
        <v>No registró</v>
      </c>
      <c r="I360" s="359" t="str">
        <f>IFERROR(VLOOKUP([1]!Tabla9[[CEDULA ]],[1]!JUEVES[#Data],5,0),"No Registró")</f>
        <v>No Registró</v>
      </c>
      <c r="J360" s="359" t="str">
        <f>IFERROR(LOOKUP(2,1/([1]!JUEVES[[CEDULA ]]=[1]!Tabla9[[#This Row],[CEDULA ]]),[1]!JUEVES[HORA]),"No registró")</f>
        <v>No registró</v>
      </c>
      <c r="K360" s="359" t="str">
        <f>IFERROR(VLOOKUP([1]!Tabla9[[CEDULA ]],[1]!VIERNES[#Data],5,0),"No registró")</f>
        <v>No registró</v>
      </c>
      <c r="L360" s="359" t="str">
        <f>IFERROR(LOOKUP(2,1/([1]!VIERNES[[CEDULA ]]=[1]!Tabla9[[#This Row],[CEDULA ]]),[1]!VIERNES[HORA]),"No registró")</f>
        <v>No registró</v>
      </c>
      <c r="M360" s="359">
        <f>IFERROR(VLOOKUP([1]!Tabla9[[CEDULA ]],[1]!SABADO[#Data],5,0),"No registró")</f>
        <v>0.2901157407407407</v>
      </c>
      <c r="N360" s="359">
        <f>IFERROR(LOOKUP(2,1/([1]!SABADO[[CEDULA ]]=[1]!Tabla9[[#This Row],[CEDULA ]]),[1]!SABADO[HORA]),"No registró")</f>
        <v>0.53454861111111118</v>
      </c>
      <c r="O360" s="359" t="str">
        <f>IFERROR(VLOOKUP([1]!Tabla9[[CEDULA ]],[1]!DOMINGO[#Data],5,0),"No registró")</f>
        <v>No registró</v>
      </c>
      <c r="P360" s="359" t="str">
        <f>IFERROR(LOOKUP(2,1/([1]!DOMINGO[[CEDULA ]]=[1]!Tabla9[[#This Row],[CEDULA ]]),[1]!DOMINGO[HORA]),"No registró")</f>
        <v>No registró</v>
      </c>
      <c r="Q360" s="240" t="str">
        <f>IFERROR(VLOOKUP(A360,DATOS[],10,0),"")</f>
        <v>1. COCHE</v>
      </c>
    </row>
    <row r="361" spans="1:17" x14ac:dyDescent="0.25">
      <c r="A361" s="239">
        <v>23632395</v>
      </c>
      <c r="B361" s="239" t="s">
        <v>1332</v>
      </c>
      <c r="C361" s="359">
        <f>IFERROR(VLOOKUP([1]!Tabla9[[CEDULA ]],[1]!LUNES[#Data],5,0),"No registró")</f>
        <v>0.29178240740740741</v>
      </c>
      <c r="D361" s="359">
        <f>IFERROR(LOOKUP(2,1/([1]!LUNES[[CEDULA ]]=[1]!Tabla9[[#This Row],[CEDULA ]]),[1]!LUNES[HORA]),"No registró")</f>
        <v>0.29480324074074077</v>
      </c>
      <c r="E361" s="359">
        <f>IFERROR(VLOOKUP([1]!Tabla9[[CEDULA ]],[1]!MARTES[#Data],5,0),"No registró")</f>
        <v>0.30909722222222219</v>
      </c>
      <c r="F361" s="359">
        <f>IFERROR(LOOKUP(2,1/([1]!MARTES[[CEDULA ]]=[1]!Tabla9[[#This Row],[CEDULA ]]),[1]!MARTES[HORA]),"No Registró")</f>
        <v>0.31189814814814815</v>
      </c>
      <c r="G361" s="359" t="str">
        <f>IFERROR(VLOOKUP([1]!Tabla9[[CEDULA ]],[1]!MIERCOLES[#Data],5,0),"No registró")</f>
        <v>No registró</v>
      </c>
      <c r="H361" s="359" t="str">
        <f>IFERROR(LOOKUP(2,1/([1]!MIERCOLES[[CEDULA ]]=[1]!Tabla9[[#This Row],[CEDULA ]]),[1]!MIERCOLES[HORA]),"No registró")</f>
        <v>No registró</v>
      </c>
      <c r="I361" s="359" t="str">
        <f>IFERROR(VLOOKUP([1]!Tabla9[[CEDULA ]],[1]!JUEVES[#Data],5,0),"No Registró")</f>
        <v>No Registró</v>
      </c>
      <c r="J361" s="359" t="str">
        <f>IFERROR(LOOKUP(2,1/([1]!JUEVES[[CEDULA ]]=[1]!Tabla9[[#This Row],[CEDULA ]]),[1]!JUEVES[HORA]),"No registró")</f>
        <v>No registró</v>
      </c>
      <c r="K361" s="359" t="str">
        <f>IFERROR(VLOOKUP([1]!Tabla9[[CEDULA ]],[1]!VIERNES[#Data],5,0),"No registró")</f>
        <v>No registró</v>
      </c>
      <c r="L361" s="359" t="str">
        <f>IFERROR(LOOKUP(2,1/([1]!VIERNES[[CEDULA ]]=[1]!Tabla9[[#This Row],[CEDULA ]]),[1]!VIERNES[HORA]),"No registró")</f>
        <v>No registró</v>
      </c>
      <c r="M361" s="359" t="str">
        <f>IFERROR(VLOOKUP([1]!Tabla9[[CEDULA ]],[1]!SABADO[#Data],5,0),"No registró")</f>
        <v>No registró</v>
      </c>
      <c r="N361" s="359" t="str">
        <f>IFERROR(LOOKUP(2,1/([1]!SABADO[[CEDULA ]]=[1]!Tabla9[[#This Row],[CEDULA ]]),[1]!SABADO[HORA]),"No registró")</f>
        <v>No registró</v>
      </c>
      <c r="O361" s="359" t="str">
        <f>IFERROR(VLOOKUP([1]!Tabla9[[CEDULA ]],[1]!DOMINGO[#Data],5,0),"No registró")</f>
        <v>No registró</v>
      </c>
      <c r="P361" s="359" t="str">
        <f>IFERROR(LOOKUP(2,1/([1]!DOMINGO[[CEDULA ]]=[1]!Tabla9[[#This Row],[CEDULA ]]),[1]!DOMINGO[HORA]),"No registró")</f>
        <v>No registró</v>
      </c>
      <c r="Q361" s="240">
        <f>IFERROR(VLOOKUP(A361,DATOS[],10,0),"")</f>
        <v>0</v>
      </c>
    </row>
    <row r="362" spans="1:17" x14ac:dyDescent="0.25">
      <c r="A362" s="239">
        <v>23634689</v>
      </c>
      <c r="B362" s="239" t="s">
        <v>1333</v>
      </c>
      <c r="C362" s="359">
        <f>IFERROR(VLOOKUP([1]!Tabla9[[CEDULA ]],[1]!LUNES[#Data],5,0),"No registró")</f>
        <v>0.28165509259259258</v>
      </c>
      <c r="D362" s="359">
        <f>IFERROR(LOOKUP(2,1/([1]!LUNES[[CEDULA ]]=[1]!Tabla9[[#This Row],[CEDULA ]]),[1]!LUNES[HORA]),"No registró")</f>
        <v>0.55356481481481479</v>
      </c>
      <c r="E362" s="359">
        <f>IFERROR(VLOOKUP([1]!Tabla9[[CEDULA ]],[1]!MARTES[#Data],5,0),"No registró")</f>
        <v>0.30755787037037036</v>
      </c>
      <c r="F362" s="359">
        <f>IFERROR(LOOKUP(2,1/([1]!MARTES[[CEDULA ]]=[1]!Tabla9[[#This Row],[CEDULA ]]),[1]!MARTES[HORA]),"No Registró")</f>
        <v>0.58873842592592596</v>
      </c>
      <c r="G362" s="359" t="str">
        <f>IFERROR(VLOOKUP([1]!Tabla9[[CEDULA ]],[1]!MIERCOLES[#Data],5,0),"No registró")</f>
        <v>No registró</v>
      </c>
      <c r="H362" s="359" t="str">
        <f>IFERROR(LOOKUP(2,1/([1]!MIERCOLES[[CEDULA ]]=[1]!Tabla9[[#This Row],[CEDULA ]]),[1]!MIERCOLES[HORA]),"No registró")</f>
        <v>No registró</v>
      </c>
      <c r="I362" s="359" t="str">
        <f>IFERROR(VLOOKUP([1]!Tabla9[[CEDULA ]],[1]!JUEVES[#Data],5,0),"No Registró")</f>
        <v>No Registró</v>
      </c>
      <c r="J362" s="359" t="str">
        <f>IFERROR(LOOKUP(2,1/([1]!JUEVES[[CEDULA ]]=[1]!Tabla9[[#This Row],[CEDULA ]]),[1]!JUEVES[HORA]),"No registró")</f>
        <v>No registró</v>
      </c>
      <c r="K362" s="359" t="str">
        <f>IFERROR(VLOOKUP([1]!Tabla9[[CEDULA ]],[1]!VIERNES[#Data],5,0),"No registró")</f>
        <v>No registró</v>
      </c>
      <c r="L362" s="359" t="str">
        <f>IFERROR(LOOKUP(2,1/([1]!VIERNES[[CEDULA ]]=[1]!Tabla9[[#This Row],[CEDULA ]]),[1]!VIERNES[HORA]),"No registró")</f>
        <v>No registró</v>
      </c>
      <c r="M362" s="359" t="str">
        <f>IFERROR(VLOOKUP([1]!Tabla9[[CEDULA ]],[1]!SABADO[#Data],5,0),"No registró")</f>
        <v>No registró</v>
      </c>
      <c r="N362" s="359" t="str">
        <f>IFERROR(LOOKUP(2,1/([1]!SABADO[[CEDULA ]]=[1]!Tabla9[[#This Row],[CEDULA ]]),[1]!SABADO[HORA]),"No registró")</f>
        <v>No registró</v>
      </c>
      <c r="O362" s="359" t="str">
        <f>IFERROR(VLOOKUP([1]!Tabla9[[CEDULA ]],[1]!DOMINGO[#Data],5,0),"No registró")</f>
        <v>No registró</v>
      </c>
      <c r="P362" s="359" t="str">
        <f>IFERROR(LOOKUP(2,1/([1]!DOMINGO[[CEDULA ]]=[1]!Tabla9[[#This Row],[CEDULA ]]),[1]!DOMINGO[HORA]),"No registró")</f>
        <v>No registró</v>
      </c>
      <c r="Q362" s="240" t="str">
        <f>IFERROR(VLOOKUP(A362,DATOS[],10,0),"")</f>
        <v>3. CARICUAO</v>
      </c>
    </row>
    <row r="363" spans="1:17" x14ac:dyDescent="0.25">
      <c r="A363" s="239">
        <v>23654515</v>
      </c>
      <c r="B363" s="239" t="s">
        <v>1334</v>
      </c>
      <c r="C363" s="359">
        <f>IFERROR(VLOOKUP([1]!Tabla9[[CEDULA ]],[1]!LUNES[#Data],5,0),"No registró")</f>
        <v>0.32362268518518517</v>
      </c>
      <c r="D363" s="359">
        <f>IFERROR(LOOKUP(2,1/([1]!LUNES[[CEDULA ]]=[1]!Tabla9[[#This Row],[CEDULA ]]),[1]!LUNES[HORA]),"No registró")</f>
        <v>0.55290509259259257</v>
      </c>
      <c r="E363" s="359">
        <f>IFERROR(VLOOKUP([1]!Tabla9[[CEDULA ]],[1]!MARTES[#Data],5,0),"No registró")</f>
        <v>0.32587962962962963</v>
      </c>
      <c r="F363" s="359">
        <f>IFERROR(LOOKUP(2,1/([1]!MARTES[[CEDULA ]]=[1]!Tabla9[[#This Row],[CEDULA ]]),[1]!MARTES[HORA]),"No Registró")</f>
        <v>0.55160879629629633</v>
      </c>
      <c r="G363" s="359" t="str">
        <f>IFERROR(VLOOKUP([1]!Tabla9[[CEDULA ]],[1]!MIERCOLES[#Data],5,0),"No registró")</f>
        <v>No registró</v>
      </c>
      <c r="H363" s="359" t="str">
        <f>IFERROR(LOOKUP(2,1/([1]!MIERCOLES[[CEDULA ]]=[1]!Tabla9[[#This Row],[CEDULA ]]),[1]!MIERCOLES[HORA]),"No registró")</f>
        <v>No registró</v>
      </c>
      <c r="I363" s="359" t="str">
        <f>IFERROR(VLOOKUP([1]!Tabla9[[CEDULA ]],[1]!JUEVES[#Data],5,0),"No Registró")</f>
        <v>No Registró</v>
      </c>
      <c r="J363" s="359" t="str">
        <f>IFERROR(LOOKUP(2,1/([1]!JUEVES[[CEDULA ]]=[1]!Tabla9[[#This Row],[CEDULA ]]),[1]!JUEVES[HORA]),"No registró")</f>
        <v>No registró</v>
      </c>
      <c r="K363" s="359" t="str">
        <f>IFERROR(VLOOKUP([1]!Tabla9[[CEDULA ]],[1]!VIERNES[#Data],5,0),"No registró")</f>
        <v>No registró</v>
      </c>
      <c r="L363" s="359" t="str">
        <f>IFERROR(LOOKUP(2,1/([1]!VIERNES[[CEDULA ]]=[1]!Tabla9[[#This Row],[CEDULA ]]),[1]!VIERNES[HORA]),"No registró")</f>
        <v>No registró</v>
      </c>
      <c r="M363" s="359" t="str">
        <f>IFERROR(VLOOKUP([1]!Tabla9[[CEDULA ]],[1]!SABADO[#Data],5,0),"No registró")</f>
        <v>No registró</v>
      </c>
      <c r="N363" s="359" t="str">
        <f>IFERROR(LOOKUP(2,1/([1]!SABADO[[CEDULA ]]=[1]!Tabla9[[#This Row],[CEDULA ]]),[1]!SABADO[HORA]),"No registró")</f>
        <v>No registró</v>
      </c>
      <c r="O363" s="359" t="str">
        <f>IFERROR(VLOOKUP([1]!Tabla9[[CEDULA ]],[1]!DOMINGO[#Data],5,0),"No registró")</f>
        <v>No registró</v>
      </c>
      <c r="P363" s="359" t="str">
        <f>IFERROR(LOOKUP(2,1/([1]!DOMINGO[[CEDULA ]]=[1]!Tabla9[[#This Row],[CEDULA ]]),[1]!DOMINGO[HORA]),"No registró")</f>
        <v>No registró</v>
      </c>
      <c r="Q363" s="240">
        <f>IFERROR(VLOOKUP(A363,DATOS[],10,0),"")</f>
        <v>0</v>
      </c>
    </row>
    <row r="364" spans="1:17" x14ac:dyDescent="0.25">
      <c r="A364" s="239">
        <v>23926058</v>
      </c>
      <c r="B364" s="239" t="s">
        <v>1335</v>
      </c>
      <c r="C364" s="359">
        <f>IFERROR(VLOOKUP([1]!Tabla9[[CEDULA ]],[1]!LUNES[#Data],5,0),"No registró")</f>
        <v>0.33746527777777779</v>
      </c>
      <c r="D364" s="360" t="s">
        <v>989</v>
      </c>
      <c r="E364" s="359">
        <f>IFERROR(VLOOKUP([1]!Tabla9[[CEDULA ]],[1]!MARTES[#Data],5,0),"No registró")</f>
        <v>0.33309027777777778</v>
      </c>
      <c r="F364" s="360" t="s">
        <v>988</v>
      </c>
      <c r="G364" s="359" t="str">
        <f>IFERROR(VLOOKUP([1]!Tabla9[[CEDULA ]],[1]!MIERCOLES[#Data],5,0),"No registró")</f>
        <v>No registró</v>
      </c>
      <c r="H364" s="359" t="str">
        <f>IFERROR(LOOKUP(2,1/([1]!MIERCOLES[[CEDULA ]]=[1]!Tabla9[[#This Row],[CEDULA ]]),[1]!MIERCOLES[HORA]),"No registró")</f>
        <v>No registró</v>
      </c>
      <c r="I364" s="359" t="str">
        <f>IFERROR(VLOOKUP([1]!Tabla9[[CEDULA ]],[1]!JUEVES[#Data],5,0),"No Registró")</f>
        <v>No Registró</v>
      </c>
      <c r="J364" s="359" t="str">
        <f>IFERROR(LOOKUP(2,1/([1]!JUEVES[[CEDULA ]]=[1]!Tabla9[[#This Row],[CEDULA ]]),[1]!JUEVES[HORA]),"No registró")</f>
        <v>No registró</v>
      </c>
      <c r="K364" s="359" t="str">
        <f>IFERROR(VLOOKUP([1]!Tabla9[[CEDULA ]],[1]!VIERNES[#Data],5,0),"No registró")</f>
        <v>No registró</v>
      </c>
      <c r="L364" s="359" t="str">
        <f>IFERROR(LOOKUP(2,1/([1]!VIERNES[[CEDULA ]]=[1]!Tabla9[[#This Row],[CEDULA ]]),[1]!VIERNES[HORA]),"No registró")</f>
        <v>No registró</v>
      </c>
      <c r="M364" s="359" t="str">
        <f>IFERROR(VLOOKUP([1]!Tabla9[[CEDULA ]],[1]!SABADO[#Data],5,0),"No registró")</f>
        <v>No registró</v>
      </c>
      <c r="N364" s="359" t="str">
        <f>IFERROR(LOOKUP(2,1/([1]!SABADO[[CEDULA ]]=[1]!Tabla9[[#This Row],[CEDULA ]]),[1]!SABADO[HORA]),"No registró")</f>
        <v>No registró</v>
      </c>
      <c r="O364" s="359" t="str">
        <f>IFERROR(VLOOKUP([1]!Tabla9[[CEDULA ]],[1]!DOMINGO[#Data],5,0),"No registró")</f>
        <v>No registró</v>
      </c>
      <c r="P364" s="359" t="str">
        <f>IFERROR(LOOKUP(2,1/([1]!DOMINGO[[CEDULA ]]=[1]!Tabla9[[#This Row],[CEDULA ]]),[1]!DOMINGO[HORA]),"No registró")</f>
        <v>No registró</v>
      </c>
      <c r="Q364" s="240">
        <f>IFERROR(VLOOKUP(A364,DATOS[],10,0),"")</f>
        <v>0</v>
      </c>
    </row>
    <row r="365" spans="1:17" x14ac:dyDescent="0.25">
      <c r="A365" s="239">
        <v>23947177</v>
      </c>
      <c r="B365" s="239" t="s">
        <v>1385</v>
      </c>
      <c r="C365" s="359">
        <f>IFERROR(VLOOKUP([1]!Tabla9[[CEDULA ]],[1]!LUNES[#Data],5,0),"No registró")</f>
        <v>0.33539351851851856</v>
      </c>
      <c r="D365" s="359">
        <f>IFERROR(LOOKUP(2,1/([1]!LUNES[[CEDULA ]]=[1]!Tabla9[[#This Row],[CEDULA ]]),[1]!LUNES[HORA]),"No registró")</f>
        <v>0.59799768518518526</v>
      </c>
      <c r="E365" s="359">
        <f>IFERROR(VLOOKUP([1]!Tabla9[[CEDULA ]],[1]!MARTES[#Data],5,0),"No registró")</f>
        <v>0.325162037037037</v>
      </c>
      <c r="F365" s="359">
        <f>IFERROR(LOOKUP(2,1/([1]!MARTES[[CEDULA ]]=[1]!Tabla9[[#This Row],[CEDULA ]]),[1]!MARTES[HORA]),"No Registró")</f>
        <v>0.55557870370370377</v>
      </c>
      <c r="G365" s="359" t="str">
        <f>IFERROR(VLOOKUP([1]!Tabla9[[CEDULA ]],[1]!MIERCOLES[#Data],5,0),"No registró")</f>
        <v>No registró</v>
      </c>
      <c r="H365" s="359" t="str">
        <f>IFERROR(LOOKUP(2,1/([1]!MIERCOLES[[CEDULA ]]=[1]!Tabla9[[#This Row],[CEDULA ]]),[1]!MIERCOLES[HORA]),"No registró")</f>
        <v>No registró</v>
      </c>
      <c r="I365" s="359" t="str">
        <f>IFERROR(VLOOKUP([1]!Tabla9[[CEDULA ]],[1]!JUEVES[#Data],5,0),"No Registró")</f>
        <v>No Registró</v>
      </c>
      <c r="J365" s="359" t="str">
        <f>IFERROR(LOOKUP(2,1/([1]!JUEVES[[CEDULA ]]=[1]!Tabla9[[#This Row],[CEDULA ]]),[1]!JUEVES[HORA]),"No registró")</f>
        <v>No registró</v>
      </c>
      <c r="K365" s="359" t="str">
        <f>IFERROR(VLOOKUP([1]!Tabla9[[CEDULA ]],[1]!VIERNES[#Data],5,0),"No registró")</f>
        <v>No registró</v>
      </c>
      <c r="L365" s="359" t="str">
        <f>IFERROR(LOOKUP(2,1/([1]!VIERNES[[CEDULA ]]=[1]!Tabla9[[#This Row],[CEDULA ]]),[1]!VIERNES[HORA]),"No registró")</f>
        <v>No registró</v>
      </c>
      <c r="M365" s="359" t="str">
        <f>IFERROR(VLOOKUP([1]!Tabla9[[CEDULA ]],[1]!SABADO[#Data],5,0),"No registró")</f>
        <v>No registró</v>
      </c>
      <c r="N365" s="359" t="str">
        <f>IFERROR(LOOKUP(2,1/([1]!SABADO[[CEDULA ]]=[1]!Tabla9[[#This Row],[CEDULA ]]),[1]!SABADO[HORA]),"No registró")</f>
        <v>No registró</v>
      </c>
      <c r="O365" s="359" t="str">
        <f>IFERROR(VLOOKUP([1]!Tabla9[[CEDULA ]],[1]!DOMINGO[#Data],5,0),"No registró")</f>
        <v>No registró</v>
      </c>
      <c r="P365" s="359" t="str">
        <f>IFERROR(LOOKUP(2,1/([1]!DOMINGO[[CEDULA ]]=[1]!Tabla9[[#This Row],[CEDULA ]]),[1]!DOMINGO[HORA]),"No registró")</f>
        <v>No registró</v>
      </c>
      <c r="Q365" s="240">
        <f>IFERROR(VLOOKUP(A365,DATOS[],10,0),"")</f>
        <v>0</v>
      </c>
    </row>
    <row r="366" spans="1:17" x14ac:dyDescent="0.25">
      <c r="A366" s="239">
        <v>24317641</v>
      </c>
      <c r="B366" s="239" t="s">
        <v>1336</v>
      </c>
      <c r="C366" s="359">
        <f>IFERROR(VLOOKUP([1]!Tabla9[[CEDULA ]],[1]!LUNES[#Data],5,0),"No registró")</f>
        <v>0.28773148148148148</v>
      </c>
      <c r="D366" s="359">
        <f>IFERROR(LOOKUP(2,1/([1]!LUNES[[CEDULA ]]=[1]!Tabla9[[#This Row],[CEDULA ]]),[1]!LUNES[HORA]),"No registró")</f>
        <v>0.55483796296296295</v>
      </c>
      <c r="E366" s="359">
        <f>IFERROR(VLOOKUP([1]!Tabla9[[CEDULA ]],[1]!MARTES[#Data],5,0),"No registró")</f>
        <v>0.28253472222222226</v>
      </c>
      <c r="F366" s="359">
        <f>IFERROR(LOOKUP(2,1/([1]!MARTES[[CEDULA ]]=[1]!Tabla9[[#This Row],[CEDULA ]]),[1]!MARTES[HORA]),"No Registró")</f>
        <v>0.55215277777777783</v>
      </c>
      <c r="G366" s="359" t="str">
        <f>IFERROR(VLOOKUP([1]!Tabla9[[CEDULA ]],[1]!MIERCOLES[#Data],5,0),"No registró")</f>
        <v>No registró</v>
      </c>
      <c r="H366" s="359" t="str">
        <f>IFERROR(LOOKUP(2,1/([1]!MIERCOLES[[CEDULA ]]=[1]!Tabla9[[#This Row],[CEDULA ]]),[1]!MIERCOLES[HORA]),"No registró")</f>
        <v>No registró</v>
      </c>
      <c r="I366" s="359" t="str">
        <f>IFERROR(VLOOKUP([1]!Tabla9[[CEDULA ]],[1]!JUEVES[#Data],5,0),"No Registró")</f>
        <v>No Registró</v>
      </c>
      <c r="J366" s="359" t="str">
        <f>IFERROR(LOOKUP(2,1/([1]!JUEVES[[CEDULA ]]=[1]!Tabla9[[#This Row],[CEDULA ]]),[1]!JUEVES[HORA]),"No registró")</f>
        <v>No registró</v>
      </c>
      <c r="K366" s="359" t="str">
        <f>IFERROR(VLOOKUP([1]!Tabla9[[CEDULA ]],[1]!VIERNES[#Data],5,0),"No registró")</f>
        <v>No registró</v>
      </c>
      <c r="L366" s="359" t="str">
        <f>IFERROR(LOOKUP(2,1/([1]!VIERNES[[CEDULA ]]=[1]!Tabla9[[#This Row],[CEDULA ]]),[1]!VIERNES[HORA]),"No registró")</f>
        <v>No registró</v>
      </c>
      <c r="M366" s="359" t="str">
        <f>IFERROR(VLOOKUP([1]!Tabla9[[CEDULA ]],[1]!SABADO[#Data],5,0),"No registró")</f>
        <v>No registró</v>
      </c>
      <c r="N366" s="359" t="str">
        <f>IFERROR(LOOKUP(2,1/([1]!SABADO[[CEDULA ]]=[1]!Tabla9[[#This Row],[CEDULA ]]),[1]!SABADO[HORA]),"No registró")</f>
        <v>No registró</v>
      </c>
      <c r="O366" s="359" t="str">
        <f>IFERROR(VLOOKUP([1]!Tabla9[[CEDULA ]],[1]!DOMINGO[#Data],5,0),"No registró")</f>
        <v>No registró</v>
      </c>
      <c r="P366" s="359" t="str">
        <f>IFERROR(LOOKUP(2,1/([1]!DOMINGO[[CEDULA ]]=[1]!Tabla9[[#This Row],[CEDULA ]]),[1]!DOMINGO[HORA]),"No registró")</f>
        <v>No registró</v>
      </c>
      <c r="Q366" s="240" t="str">
        <f>IFERROR(VLOOKUP(A366,DATOS[],10,0),"")</f>
        <v>5. GUARENAS</v>
      </c>
    </row>
    <row r="367" spans="1:17" x14ac:dyDescent="0.25">
      <c r="A367" s="239">
        <v>24483780</v>
      </c>
      <c r="B367" s="239" t="s">
        <v>1337</v>
      </c>
      <c r="C367" s="359">
        <f>IFERROR(VLOOKUP([1]!Tabla9[[CEDULA ]],[1]!LUNES[#Data],5,0),"No registró")</f>
        <v>0.29741898148148149</v>
      </c>
      <c r="D367" s="359">
        <f>IFERROR(LOOKUP(2,1/([1]!LUNES[[CEDULA ]]=[1]!Tabla9[[#This Row],[CEDULA ]]),[1]!LUNES[HORA]),"No registró")</f>
        <v>0.55261574074074071</v>
      </c>
      <c r="E367" s="359">
        <f>IFERROR(VLOOKUP([1]!Tabla9[[CEDULA ]],[1]!MARTES[#Data],5,0),"No registró")</f>
        <v>0.29479166666666667</v>
      </c>
      <c r="F367" s="359">
        <f>IFERROR(LOOKUP(2,1/([1]!MARTES[[CEDULA ]]=[1]!Tabla9[[#This Row],[CEDULA ]]),[1]!MARTES[HORA]),"No Registró")</f>
        <v>0.54993055555555559</v>
      </c>
      <c r="G367" s="359" t="str">
        <f>IFERROR(VLOOKUP([1]!Tabla9[[CEDULA ]],[1]!MIERCOLES[#Data],5,0),"No registró")</f>
        <v>No registró</v>
      </c>
      <c r="H367" s="359" t="str">
        <f>IFERROR(LOOKUP(2,1/([1]!MIERCOLES[[CEDULA ]]=[1]!Tabla9[[#This Row],[CEDULA ]]),[1]!MIERCOLES[HORA]),"No registró")</f>
        <v>No registró</v>
      </c>
      <c r="I367" s="359" t="str">
        <f>IFERROR(VLOOKUP([1]!Tabla9[[CEDULA ]],[1]!JUEVES[#Data],5,0),"No Registró")</f>
        <v>No Registró</v>
      </c>
      <c r="J367" s="359" t="str">
        <f>IFERROR(LOOKUP(2,1/([1]!JUEVES[[CEDULA ]]=[1]!Tabla9[[#This Row],[CEDULA ]]),[1]!JUEVES[HORA]),"No registró")</f>
        <v>No registró</v>
      </c>
      <c r="K367" s="359" t="str">
        <f>IFERROR(VLOOKUP([1]!Tabla9[[CEDULA ]],[1]!VIERNES[#Data],5,0),"No registró")</f>
        <v>No registró</v>
      </c>
      <c r="L367" s="359" t="str">
        <f>IFERROR(LOOKUP(2,1/([1]!VIERNES[[CEDULA ]]=[1]!Tabla9[[#This Row],[CEDULA ]]),[1]!VIERNES[HORA]),"No registró")</f>
        <v>No registró</v>
      </c>
      <c r="M367" s="359" t="str">
        <f>IFERROR(VLOOKUP([1]!Tabla9[[CEDULA ]],[1]!SABADO[#Data],5,0),"No registró")</f>
        <v>No registró</v>
      </c>
      <c r="N367" s="359" t="str">
        <f>IFERROR(LOOKUP(2,1/([1]!SABADO[[CEDULA ]]=[1]!Tabla9[[#This Row],[CEDULA ]]),[1]!SABADO[HORA]),"No registró")</f>
        <v>No registró</v>
      </c>
      <c r="O367" s="359" t="str">
        <f>IFERROR(VLOOKUP([1]!Tabla9[[CEDULA ]],[1]!DOMINGO[#Data],5,0),"No registró")</f>
        <v>No registró</v>
      </c>
      <c r="P367" s="359" t="str">
        <f>IFERROR(LOOKUP(2,1/([1]!DOMINGO[[CEDULA ]]=[1]!Tabla9[[#This Row],[CEDULA ]]),[1]!DOMINGO[HORA]),"No registró")</f>
        <v>No registró</v>
      </c>
      <c r="Q367" s="240">
        <f>IFERROR(VLOOKUP(A367,DATOS[],10,0),"")</f>
        <v>0</v>
      </c>
    </row>
    <row r="368" spans="1:17" x14ac:dyDescent="0.25">
      <c r="A368" s="239">
        <v>24664128</v>
      </c>
      <c r="B368" s="239" t="s">
        <v>1338</v>
      </c>
      <c r="C368" s="359">
        <f>IFERROR(VLOOKUP([1]!Tabla9[[CEDULA ]],[1]!LUNES[#Data],5,0),"No registró")</f>
        <v>0.31006944444444445</v>
      </c>
      <c r="D368" s="359">
        <f>IFERROR(LOOKUP(2,1/([1]!LUNES[[CEDULA ]]=[1]!Tabla9[[#This Row],[CEDULA ]]),[1]!LUNES[HORA]),"No registró")</f>
        <v>0.55356481481481479</v>
      </c>
      <c r="E368" s="359">
        <f>IFERROR(VLOOKUP([1]!Tabla9[[CEDULA ]],[1]!MARTES[#Data],5,0),"No registró")</f>
        <v>0.28578703703703706</v>
      </c>
      <c r="F368" s="359">
        <f>IFERROR(LOOKUP(2,1/([1]!MARTES[[CEDULA ]]=[1]!Tabla9[[#This Row],[CEDULA ]]),[1]!MARTES[HORA]),"No Registró")</f>
        <v>0.55358796296296298</v>
      </c>
      <c r="G368" s="359" t="str">
        <f>IFERROR(VLOOKUP([1]!Tabla9[[CEDULA ]],[1]!MIERCOLES[#Data],5,0),"No registró")</f>
        <v>No registró</v>
      </c>
      <c r="H368" s="359" t="str">
        <f>IFERROR(LOOKUP(2,1/([1]!MIERCOLES[[CEDULA ]]=[1]!Tabla9[[#This Row],[CEDULA ]]),[1]!MIERCOLES[HORA]),"No registró")</f>
        <v>No registró</v>
      </c>
      <c r="I368" s="359" t="str">
        <f>IFERROR(VLOOKUP([1]!Tabla9[[CEDULA ]],[1]!JUEVES[#Data],5,0),"No Registró")</f>
        <v>No Registró</v>
      </c>
      <c r="J368" s="359" t="str">
        <f>IFERROR(LOOKUP(2,1/([1]!JUEVES[[CEDULA ]]=[1]!Tabla9[[#This Row],[CEDULA ]]),[1]!JUEVES[HORA]),"No registró")</f>
        <v>No registró</v>
      </c>
      <c r="K368" s="359" t="str">
        <f>IFERROR(VLOOKUP([1]!Tabla9[[CEDULA ]],[1]!VIERNES[#Data],5,0),"No registró")</f>
        <v>No registró</v>
      </c>
      <c r="L368" s="359" t="str">
        <f>IFERROR(LOOKUP(2,1/([1]!VIERNES[[CEDULA ]]=[1]!Tabla9[[#This Row],[CEDULA ]]),[1]!VIERNES[HORA]),"No registró")</f>
        <v>No registró</v>
      </c>
      <c r="M368" s="359" t="str">
        <f>IFERROR(VLOOKUP([1]!Tabla9[[CEDULA ]],[1]!SABADO[#Data],5,0),"No registró")</f>
        <v>No registró</v>
      </c>
      <c r="N368" s="359" t="str">
        <f>IFERROR(LOOKUP(2,1/([1]!SABADO[[CEDULA ]]=[1]!Tabla9[[#This Row],[CEDULA ]]),[1]!SABADO[HORA]),"No registró")</f>
        <v>No registró</v>
      </c>
      <c r="O368" s="359" t="str">
        <f>IFERROR(VLOOKUP([1]!Tabla9[[CEDULA ]],[1]!DOMINGO[#Data],5,0),"No registró")</f>
        <v>No registró</v>
      </c>
      <c r="P368" s="359" t="str">
        <f>IFERROR(LOOKUP(2,1/([1]!DOMINGO[[CEDULA ]]=[1]!Tabla9[[#This Row],[CEDULA ]]),[1]!DOMINGO[HORA]),"No registró")</f>
        <v>No registró</v>
      </c>
      <c r="Q368" s="240">
        <f>IFERROR(VLOOKUP(A368,DATOS[],10,0),"")</f>
        <v>0</v>
      </c>
    </row>
    <row r="369" spans="1:17" x14ac:dyDescent="0.25">
      <c r="A369" s="239">
        <v>24723488</v>
      </c>
      <c r="B369" s="239" t="s">
        <v>1339</v>
      </c>
      <c r="C369" s="359">
        <f>IFERROR(VLOOKUP([1]!Tabla9[[CEDULA ]],[1]!LUNES[#Data],5,0),"No registró")</f>
        <v>0.28840277777777779</v>
      </c>
      <c r="D369" s="359">
        <f>IFERROR(LOOKUP(2,1/([1]!LUNES[[CEDULA ]]=[1]!Tabla9[[#This Row],[CEDULA ]]),[1]!LUNES[HORA]),"No registró")</f>
        <v>0.55508101851851854</v>
      </c>
      <c r="E369" s="359">
        <f>IFERROR(VLOOKUP([1]!Tabla9[[CEDULA ]],[1]!MARTES[#Data],5,0),"No registró")</f>
        <v>0.2829861111111111</v>
      </c>
      <c r="F369" s="359">
        <f>IFERROR(LOOKUP(2,1/([1]!MARTES[[CEDULA ]]=[1]!Tabla9[[#This Row],[CEDULA ]]),[1]!MARTES[HORA]),"No Registró")</f>
        <v>0.55701388888888892</v>
      </c>
      <c r="G369" s="359" t="str">
        <f>IFERROR(VLOOKUP([1]!Tabla9[[CEDULA ]],[1]!MIERCOLES[#Data],5,0),"No registró")</f>
        <v>No registró</v>
      </c>
      <c r="H369" s="359" t="str">
        <f>IFERROR(LOOKUP(2,1/([1]!MIERCOLES[[CEDULA ]]=[1]!Tabla9[[#This Row],[CEDULA ]]),[1]!MIERCOLES[HORA]),"No registró")</f>
        <v>No registró</v>
      </c>
      <c r="I369" s="359" t="str">
        <f>IFERROR(VLOOKUP([1]!Tabla9[[CEDULA ]],[1]!JUEVES[#Data],5,0),"No Registró")</f>
        <v>No Registró</v>
      </c>
      <c r="J369" s="359" t="str">
        <f>IFERROR(LOOKUP(2,1/([1]!JUEVES[[CEDULA ]]=[1]!Tabla9[[#This Row],[CEDULA ]]),[1]!JUEVES[HORA]),"No registró")</f>
        <v>No registró</v>
      </c>
      <c r="K369" s="359" t="str">
        <f>IFERROR(VLOOKUP([1]!Tabla9[[CEDULA ]],[1]!VIERNES[#Data],5,0),"No registró")</f>
        <v>No registró</v>
      </c>
      <c r="L369" s="359" t="str">
        <f>IFERROR(LOOKUP(2,1/([1]!VIERNES[[CEDULA ]]=[1]!Tabla9[[#This Row],[CEDULA ]]),[1]!VIERNES[HORA]),"No registró")</f>
        <v>No registró</v>
      </c>
      <c r="M369" s="359" t="str">
        <f>IFERROR(VLOOKUP([1]!Tabla9[[CEDULA ]],[1]!SABADO[#Data],5,0),"No registró")</f>
        <v>No registró</v>
      </c>
      <c r="N369" s="359" t="str">
        <f>IFERROR(LOOKUP(2,1/([1]!SABADO[[CEDULA ]]=[1]!Tabla9[[#This Row],[CEDULA ]]),[1]!SABADO[HORA]),"No registró")</f>
        <v>No registró</v>
      </c>
      <c r="O369" s="359" t="str">
        <f>IFERROR(VLOOKUP([1]!Tabla9[[CEDULA ]],[1]!DOMINGO[#Data],5,0),"No registró")</f>
        <v>No registró</v>
      </c>
      <c r="P369" s="359" t="str">
        <f>IFERROR(LOOKUP(2,1/([1]!DOMINGO[[CEDULA ]]=[1]!Tabla9[[#This Row],[CEDULA ]]),[1]!DOMINGO[HORA]),"No registró")</f>
        <v>No registró</v>
      </c>
      <c r="Q369" s="240" t="str">
        <f>IFERROR(VLOOKUP(A369,DATOS[],10,0),"")</f>
        <v>2. CATIA</v>
      </c>
    </row>
    <row r="370" spans="1:17" x14ac:dyDescent="0.25">
      <c r="A370" s="239">
        <v>24750318</v>
      </c>
      <c r="B370" s="239" t="s">
        <v>1340</v>
      </c>
      <c r="C370" s="359">
        <f>IFERROR(VLOOKUP([1]!Tabla9[[CEDULA ]],[1]!LUNES[#Data],5,0),"No registró")</f>
        <v>0.28054398148148146</v>
      </c>
      <c r="D370" s="359">
        <f>IFERROR(LOOKUP(2,1/([1]!LUNES[[CEDULA ]]=[1]!Tabla9[[#This Row],[CEDULA ]]),[1]!LUNES[HORA]),"No registró")</f>
        <v>0.55295138888888895</v>
      </c>
      <c r="E370" s="359">
        <f>IFERROR(VLOOKUP([1]!Tabla9[[CEDULA ]],[1]!MARTES[#Data],5,0),"No registró")</f>
        <v>0.28699074074074077</v>
      </c>
      <c r="F370" s="359">
        <f>IFERROR(LOOKUP(2,1/([1]!MARTES[[CEDULA ]]=[1]!Tabla9[[#This Row],[CEDULA ]]),[1]!MARTES[HORA]),"No Registró")</f>
        <v>0.55306712962962956</v>
      </c>
      <c r="G370" s="359" t="str">
        <f>IFERROR(VLOOKUP([1]!Tabla9[[CEDULA ]],[1]!MIERCOLES[#Data],5,0),"No registró")</f>
        <v>No registró</v>
      </c>
      <c r="H370" s="359" t="str">
        <f>IFERROR(LOOKUP(2,1/([1]!MIERCOLES[[CEDULA ]]=[1]!Tabla9[[#This Row],[CEDULA ]]),[1]!MIERCOLES[HORA]),"No registró")</f>
        <v>No registró</v>
      </c>
      <c r="I370" s="359" t="str">
        <f>IFERROR(VLOOKUP([1]!Tabla9[[CEDULA ]],[1]!JUEVES[#Data],5,0),"No Registró")</f>
        <v>No Registró</v>
      </c>
      <c r="J370" s="359" t="str">
        <f>IFERROR(LOOKUP(2,1/([1]!JUEVES[[CEDULA ]]=[1]!Tabla9[[#This Row],[CEDULA ]]),[1]!JUEVES[HORA]),"No registró")</f>
        <v>No registró</v>
      </c>
      <c r="K370" s="359" t="str">
        <f>IFERROR(VLOOKUP([1]!Tabla9[[CEDULA ]],[1]!VIERNES[#Data],5,0),"No registró")</f>
        <v>No registró</v>
      </c>
      <c r="L370" s="359" t="str">
        <f>IFERROR(LOOKUP(2,1/([1]!VIERNES[[CEDULA ]]=[1]!Tabla9[[#This Row],[CEDULA ]]),[1]!VIERNES[HORA]),"No registró")</f>
        <v>No registró</v>
      </c>
      <c r="M370" s="359">
        <f>IFERROR(VLOOKUP([1]!Tabla9[[CEDULA ]],[1]!SABADO[#Data],5,0),"No registró")</f>
        <v>0.34873842592592591</v>
      </c>
      <c r="N370" s="359">
        <f>IFERROR(LOOKUP(2,1/([1]!SABADO[[CEDULA ]]=[1]!Tabla9[[#This Row],[CEDULA ]]),[1]!SABADO[HORA]),"No registró")</f>
        <v>0.55592592592592593</v>
      </c>
      <c r="O370" s="359" t="str">
        <f>IFERROR(VLOOKUP([1]!Tabla9[[CEDULA ]],[1]!DOMINGO[#Data],5,0),"No registró")</f>
        <v>No registró</v>
      </c>
      <c r="P370" s="359" t="str">
        <f>IFERROR(LOOKUP(2,1/([1]!DOMINGO[[CEDULA ]]=[1]!Tabla9[[#This Row],[CEDULA ]]),[1]!DOMINGO[HORA]),"No registró")</f>
        <v>No registró</v>
      </c>
      <c r="Q370" s="240" t="str">
        <f>IFERROR(VLOOKUP(A370,DATOS[],10,0),"")</f>
        <v>2. CATIA</v>
      </c>
    </row>
    <row r="371" spans="1:17" x14ac:dyDescent="0.25">
      <c r="A371" s="239">
        <v>24773335</v>
      </c>
      <c r="B371" s="239" t="s">
        <v>1341</v>
      </c>
      <c r="C371" s="359">
        <f>IFERROR(VLOOKUP([1]!Tabla9[[CEDULA ]],[1]!LUNES[#Data],5,0),"No registró")</f>
        <v>0.3029398148148148</v>
      </c>
      <c r="D371" s="359">
        <f>IFERROR(LOOKUP(2,1/([1]!LUNES[[CEDULA ]]=[1]!Tabla9[[#This Row],[CEDULA ]]),[1]!LUNES[HORA]),"No registró")</f>
        <v>0.55636574074074074</v>
      </c>
      <c r="E371" s="359">
        <f>IFERROR(VLOOKUP([1]!Tabla9[[CEDULA ]],[1]!MARTES[#Data],5,0),"No registró")</f>
        <v>0.31186342592592592</v>
      </c>
      <c r="F371" s="359">
        <f>IFERROR(LOOKUP(2,1/([1]!MARTES[[CEDULA ]]=[1]!Tabla9[[#This Row],[CEDULA ]]),[1]!MARTES[HORA]),"No Registró")</f>
        <v>0.55759259259259253</v>
      </c>
      <c r="G371" s="359" t="str">
        <f>IFERROR(VLOOKUP([1]!Tabla9[[CEDULA ]],[1]!MIERCOLES[#Data],5,0),"No registró")</f>
        <v>No registró</v>
      </c>
      <c r="H371" s="359" t="str">
        <f>IFERROR(LOOKUP(2,1/([1]!MIERCOLES[[CEDULA ]]=[1]!Tabla9[[#This Row],[CEDULA ]]),[1]!MIERCOLES[HORA]),"No registró")</f>
        <v>No registró</v>
      </c>
      <c r="I371" s="359" t="str">
        <f>IFERROR(VLOOKUP([1]!Tabla9[[CEDULA ]],[1]!JUEVES[#Data],5,0),"No Registró")</f>
        <v>No Registró</v>
      </c>
      <c r="J371" s="359" t="str">
        <f>IFERROR(LOOKUP(2,1/([1]!JUEVES[[CEDULA ]]=[1]!Tabla9[[#This Row],[CEDULA ]]),[1]!JUEVES[HORA]),"No registró")</f>
        <v>No registró</v>
      </c>
      <c r="K371" s="359" t="str">
        <f>IFERROR(VLOOKUP([1]!Tabla9[[CEDULA ]],[1]!VIERNES[#Data],5,0),"No registró")</f>
        <v>No registró</v>
      </c>
      <c r="L371" s="359" t="str">
        <f>IFERROR(LOOKUP(2,1/([1]!VIERNES[[CEDULA ]]=[1]!Tabla9[[#This Row],[CEDULA ]]),[1]!VIERNES[HORA]),"No registró")</f>
        <v>No registró</v>
      </c>
      <c r="M371" s="359" t="str">
        <f>IFERROR(VLOOKUP([1]!Tabla9[[CEDULA ]],[1]!SABADO[#Data],5,0),"No registró")</f>
        <v>No registró</v>
      </c>
      <c r="N371" s="359" t="str">
        <f>IFERROR(LOOKUP(2,1/([1]!SABADO[[CEDULA ]]=[1]!Tabla9[[#This Row],[CEDULA ]]),[1]!SABADO[HORA]),"No registró")</f>
        <v>No registró</v>
      </c>
      <c r="O371" s="359" t="str">
        <f>IFERROR(VLOOKUP([1]!Tabla9[[CEDULA ]],[1]!DOMINGO[#Data],5,0),"No registró")</f>
        <v>No registró</v>
      </c>
      <c r="P371" s="359" t="str">
        <f>IFERROR(LOOKUP(2,1/([1]!DOMINGO[[CEDULA ]]=[1]!Tabla9[[#This Row],[CEDULA ]]),[1]!DOMINGO[HORA]),"No registró")</f>
        <v>No registró</v>
      </c>
      <c r="Q371" s="240" t="str">
        <f>IFERROR(VLOOKUP(A371,DATOS[],10,0),"")</f>
        <v>3. CARICUAO</v>
      </c>
    </row>
    <row r="372" spans="1:17" x14ac:dyDescent="0.25">
      <c r="A372" s="239">
        <v>24886941</v>
      </c>
      <c r="B372" s="239" t="s">
        <v>1342</v>
      </c>
      <c r="C372" s="359" t="str">
        <f>IFERROR(VLOOKUP([1]!Tabla9[[CEDULA ]],[1]!LUNES[#Data],5,0),"No registró")</f>
        <v>No registró</v>
      </c>
      <c r="D372" s="359" t="str">
        <f>IFERROR(LOOKUP(2,1/([1]!LUNES[[CEDULA ]]=[1]!Tabla9[[#This Row],[CEDULA ]]),[1]!LUNES[HORA]),"No registró")</f>
        <v>No registró</v>
      </c>
      <c r="E372" s="359">
        <f>IFERROR(VLOOKUP([1]!Tabla9[[CEDULA ]],[1]!MARTES[#Data],5,0),"No registró")</f>
        <v>0.33858796296296295</v>
      </c>
      <c r="F372" s="359">
        <f>IFERROR(LOOKUP(2,1/([1]!MARTES[[CEDULA ]]=[1]!Tabla9[[#This Row],[CEDULA ]]),[1]!MARTES[HORA]),"No Registró")</f>
        <v>0.53357638888888892</v>
      </c>
      <c r="G372" s="359" t="str">
        <f>IFERROR(VLOOKUP([1]!Tabla9[[CEDULA ]],[1]!MIERCOLES[#Data],5,0),"No registró")</f>
        <v>No registró</v>
      </c>
      <c r="H372" s="359" t="str">
        <f>IFERROR(LOOKUP(2,1/([1]!MIERCOLES[[CEDULA ]]=[1]!Tabla9[[#This Row],[CEDULA ]]),[1]!MIERCOLES[HORA]),"No registró")</f>
        <v>No registró</v>
      </c>
      <c r="I372" s="359" t="str">
        <f>IFERROR(VLOOKUP([1]!Tabla9[[CEDULA ]],[1]!JUEVES[#Data],5,0),"No Registró")</f>
        <v>No Registró</v>
      </c>
      <c r="J372" s="359" t="str">
        <f>IFERROR(LOOKUP(2,1/([1]!JUEVES[[CEDULA ]]=[1]!Tabla9[[#This Row],[CEDULA ]]),[1]!JUEVES[HORA]),"No registró")</f>
        <v>No registró</v>
      </c>
      <c r="K372" s="359" t="str">
        <f>IFERROR(VLOOKUP([1]!Tabla9[[CEDULA ]],[1]!VIERNES[#Data],5,0),"No registró")</f>
        <v>No registró</v>
      </c>
      <c r="L372" s="359" t="str">
        <f>IFERROR(LOOKUP(2,1/([1]!VIERNES[[CEDULA ]]=[1]!Tabla9[[#This Row],[CEDULA ]]),[1]!VIERNES[HORA]),"No registró")</f>
        <v>No registró</v>
      </c>
      <c r="M372" s="359" t="str">
        <f>IFERROR(VLOOKUP([1]!Tabla9[[CEDULA ]],[1]!SABADO[#Data],5,0),"No registró")</f>
        <v>No registró</v>
      </c>
      <c r="N372" s="359" t="str">
        <f>IFERROR(LOOKUP(2,1/([1]!SABADO[[CEDULA ]]=[1]!Tabla9[[#This Row],[CEDULA ]]),[1]!SABADO[HORA]),"No registró")</f>
        <v>No registró</v>
      </c>
      <c r="O372" s="359" t="str">
        <f>IFERROR(VLOOKUP([1]!Tabla9[[CEDULA ]],[1]!DOMINGO[#Data],5,0),"No registró")</f>
        <v>No registró</v>
      </c>
      <c r="P372" s="359" t="str">
        <f>IFERROR(LOOKUP(2,1/([1]!DOMINGO[[CEDULA ]]=[1]!Tabla9[[#This Row],[CEDULA ]]),[1]!DOMINGO[HORA]),"No registró")</f>
        <v>No registró</v>
      </c>
      <c r="Q372" s="240">
        <f>IFERROR(VLOOKUP(A372,DATOS[],10,0),"")</f>
        <v>0</v>
      </c>
    </row>
    <row r="373" spans="1:17" x14ac:dyDescent="0.25">
      <c r="A373" s="239">
        <v>24900282</v>
      </c>
      <c r="B373" s="239" t="s">
        <v>1343</v>
      </c>
      <c r="C373" s="359">
        <f>IFERROR(VLOOKUP([1]!Tabla9[[CEDULA ]],[1]!LUNES[#Data],5,0),"No registró")</f>
        <v>0.27848379629629633</v>
      </c>
      <c r="D373" s="359">
        <f>IFERROR(LOOKUP(2,1/([1]!LUNES[[CEDULA ]]=[1]!Tabla9[[#This Row],[CEDULA ]]),[1]!LUNES[HORA]),"No registró")</f>
        <v>0.55527777777777776</v>
      </c>
      <c r="E373" s="359">
        <f>IFERROR(VLOOKUP([1]!Tabla9[[CEDULA ]],[1]!MARTES[#Data],5,0),"No registró")</f>
        <v>0.27785879629629628</v>
      </c>
      <c r="F373" s="359">
        <f>IFERROR(LOOKUP(2,1/([1]!MARTES[[CEDULA ]]=[1]!Tabla9[[#This Row],[CEDULA ]]),[1]!MARTES[HORA]),"No Registró")</f>
        <v>0.5569560185185185</v>
      </c>
      <c r="G373" s="359" t="str">
        <f>IFERROR(VLOOKUP([1]!Tabla9[[CEDULA ]],[1]!MIERCOLES[#Data],5,0),"No registró")</f>
        <v>No registró</v>
      </c>
      <c r="H373" s="359" t="str">
        <f>IFERROR(LOOKUP(2,1/([1]!MIERCOLES[[CEDULA ]]=[1]!Tabla9[[#This Row],[CEDULA ]]),[1]!MIERCOLES[HORA]),"No registró")</f>
        <v>No registró</v>
      </c>
      <c r="I373" s="359" t="str">
        <f>IFERROR(VLOOKUP([1]!Tabla9[[CEDULA ]],[1]!JUEVES[#Data],5,0),"No Registró")</f>
        <v>No Registró</v>
      </c>
      <c r="J373" s="359" t="str">
        <f>IFERROR(LOOKUP(2,1/([1]!JUEVES[[CEDULA ]]=[1]!Tabla9[[#This Row],[CEDULA ]]),[1]!JUEVES[HORA]),"No registró")</f>
        <v>No registró</v>
      </c>
      <c r="K373" s="359" t="str">
        <f>IFERROR(VLOOKUP([1]!Tabla9[[CEDULA ]],[1]!VIERNES[#Data],5,0),"No registró")</f>
        <v>No registró</v>
      </c>
      <c r="L373" s="359" t="str">
        <f>IFERROR(LOOKUP(2,1/([1]!VIERNES[[CEDULA ]]=[1]!Tabla9[[#This Row],[CEDULA ]]),[1]!VIERNES[HORA]),"No registró")</f>
        <v>No registró</v>
      </c>
      <c r="M373" s="359" t="str">
        <f>IFERROR(VLOOKUP([1]!Tabla9[[CEDULA ]],[1]!SABADO[#Data],5,0),"No registró")</f>
        <v>No registró</v>
      </c>
      <c r="N373" s="359" t="str">
        <f>IFERROR(LOOKUP(2,1/([1]!SABADO[[CEDULA ]]=[1]!Tabla9[[#This Row],[CEDULA ]]),[1]!SABADO[HORA]),"No registró")</f>
        <v>No registró</v>
      </c>
      <c r="O373" s="359" t="str">
        <f>IFERROR(VLOOKUP([1]!Tabla9[[CEDULA ]],[1]!DOMINGO[#Data],5,0),"No registró")</f>
        <v>No registró</v>
      </c>
      <c r="P373" s="359" t="str">
        <f>IFERROR(LOOKUP(2,1/([1]!DOMINGO[[CEDULA ]]=[1]!Tabla9[[#This Row],[CEDULA ]]),[1]!DOMINGO[HORA]),"No registró")</f>
        <v>No registró</v>
      </c>
      <c r="Q373" s="240" t="str">
        <f>IFERROR(VLOOKUP(A373,DATOS[],10,0),"")</f>
        <v>1. COCHE</v>
      </c>
    </row>
    <row r="374" spans="1:17" x14ac:dyDescent="0.25">
      <c r="A374" s="239">
        <v>25001152</v>
      </c>
      <c r="B374" s="239" t="s">
        <v>1344</v>
      </c>
      <c r="C374" s="359">
        <f>IFERROR(VLOOKUP([1]!Tabla9[[CEDULA ]],[1]!LUNES[#Data],5,0),"No registró")</f>
        <v>0.31818287037037035</v>
      </c>
      <c r="D374" s="359">
        <f>IFERROR(LOOKUP(2,1/([1]!LUNES[[CEDULA ]]=[1]!Tabla9[[#This Row],[CEDULA ]]),[1]!LUNES[HORA]),"No registró")</f>
        <v>0.55413194444444447</v>
      </c>
      <c r="E374" s="359">
        <f>IFERROR(VLOOKUP([1]!Tabla9[[CEDULA ]],[1]!MARTES[#Data],5,0),"No registró")</f>
        <v>0.32420138888888889</v>
      </c>
      <c r="F374" s="359">
        <f>IFERROR(LOOKUP(2,1/([1]!MARTES[[CEDULA ]]=[1]!Tabla9[[#This Row],[CEDULA ]]),[1]!MARTES[HORA]),"No Registró")</f>
        <v>0.53870370370370368</v>
      </c>
      <c r="G374" s="359" t="str">
        <f>IFERROR(VLOOKUP([1]!Tabla9[[CEDULA ]],[1]!MIERCOLES[#Data],5,0),"No registró")</f>
        <v>No registró</v>
      </c>
      <c r="H374" s="359" t="str">
        <f>IFERROR(LOOKUP(2,1/([1]!MIERCOLES[[CEDULA ]]=[1]!Tabla9[[#This Row],[CEDULA ]]),[1]!MIERCOLES[HORA]),"No registró")</f>
        <v>No registró</v>
      </c>
      <c r="I374" s="359" t="str">
        <f>IFERROR(VLOOKUP([1]!Tabla9[[CEDULA ]],[1]!JUEVES[#Data],5,0),"No Registró")</f>
        <v>No Registró</v>
      </c>
      <c r="J374" s="359" t="str">
        <f>IFERROR(LOOKUP(2,1/([1]!JUEVES[[CEDULA ]]=[1]!Tabla9[[#This Row],[CEDULA ]]),[1]!JUEVES[HORA]),"No registró")</f>
        <v>No registró</v>
      </c>
      <c r="K374" s="359" t="str">
        <f>IFERROR(VLOOKUP([1]!Tabla9[[CEDULA ]],[1]!VIERNES[#Data],5,0),"No registró")</f>
        <v>No registró</v>
      </c>
      <c r="L374" s="359" t="str">
        <f>IFERROR(LOOKUP(2,1/([1]!VIERNES[[CEDULA ]]=[1]!Tabla9[[#This Row],[CEDULA ]]),[1]!VIERNES[HORA]),"No registró")</f>
        <v>No registró</v>
      </c>
      <c r="M374" s="359" t="str">
        <f>IFERROR(VLOOKUP([1]!Tabla9[[CEDULA ]],[1]!SABADO[#Data],5,0),"No registró")</f>
        <v>No registró</v>
      </c>
      <c r="N374" s="359" t="str">
        <f>IFERROR(LOOKUP(2,1/([1]!SABADO[[CEDULA ]]=[1]!Tabla9[[#This Row],[CEDULA ]]),[1]!SABADO[HORA]),"No registró")</f>
        <v>No registró</v>
      </c>
      <c r="O374" s="359" t="str">
        <f>IFERROR(VLOOKUP([1]!Tabla9[[CEDULA ]],[1]!DOMINGO[#Data],5,0),"No registró")</f>
        <v>No registró</v>
      </c>
      <c r="P374" s="359" t="str">
        <f>IFERROR(LOOKUP(2,1/([1]!DOMINGO[[CEDULA ]]=[1]!Tabla9[[#This Row],[CEDULA ]]),[1]!DOMINGO[HORA]),"No registró")</f>
        <v>No registró</v>
      </c>
      <c r="Q374" s="240">
        <f>IFERROR(VLOOKUP(A374,DATOS[],10,0),"")</f>
        <v>0</v>
      </c>
    </row>
    <row r="375" spans="1:17" x14ac:dyDescent="0.25">
      <c r="A375" s="239">
        <v>25482546</v>
      </c>
      <c r="B375" s="239" t="s">
        <v>1417</v>
      </c>
      <c r="C375" s="359">
        <f>IFERROR(VLOOKUP([1]!Tabla9[[CEDULA ]],[1]!LUNES[#Data],5,0),"No registró")</f>
        <v>0.30307870370370371</v>
      </c>
      <c r="D375" s="359">
        <f>IFERROR(LOOKUP(2,1/([1]!LUNES[[CEDULA ]]=[1]!Tabla9[[#This Row],[CEDULA ]]),[1]!LUNES[HORA]),"No registró")</f>
        <v>0.55199074074074073</v>
      </c>
      <c r="E375" s="359">
        <f>IFERROR(VLOOKUP([1]!Tabla9[[CEDULA ]],[1]!MARTES[#Data],5,0),"No registró")</f>
        <v>0.30405092592592592</v>
      </c>
      <c r="F375" s="359">
        <f>IFERROR(LOOKUP(2,1/([1]!MARTES[[CEDULA ]]=[1]!Tabla9[[#This Row],[CEDULA ]]),[1]!MARTES[HORA]),"No Registró")</f>
        <v>0.55287037037037035</v>
      </c>
      <c r="G375" s="359" t="str">
        <f>IFERROR(VLOOKUP([1]!Tabla9[[CEDULA ]],[1]!MIERCOLES[#Data],5,0),"No registró")</f>
        <v>No registró</v>
      </c>
      <c r="H375" s="359" t="str">
        <f>IFERROR(LOOKUP(2,1/([1]!MIERCOLES[[CEDULA ]]=[1]!Tabla9[[#This Row],[CEDULA ]]),[1]!MIERCOLES[HORA]),"No registró")</f>
        <v>No registró</v>
      </c>
      <c r="I375" s="359" t="str">
        <f>IFERROR(VLOOKUP([1]!Tabla9[[CEDULA ]],[1]!JUEVES[#Data],5,0),"No Registró")</f>
        <v>No Registró</v>
      </c>
      <c r="J375" s="359" t="str">
        <f>IFERROR(LOOKUP(2,1/([1]!JUEVES[[CEDULA ]]=[1]!Tabla9[[#This Row],[CEDULA ]]),[1]!JUEVES[HORA]),"No registró")</f>
        <v>No registró</v>
      </c>
      <c r="K375" s="359">
        <f>IFERROR(VLOOKUP([1]!Tabla9[[CEDULA ]],[1]!VIERNES[#Data],5,0),"No registró")</f>
        <v>0.55486111111111114</v>
      </c>
      <c r="L375" s="359">
        <f>IFERROR(LOOKUP(2,1/([1]!VIERNES[[CEDULA ]]=[1]!Tabla9[[#This Row],[CEDULA ]]),[1]!VIERNES[HORA]),"No registró")</f>
        <v>0.56156249999999996</v>
      </c>
      <c r="M375" s="359" t="str">
        <f>IFERROR(VLOOKUP([1]!Tabla9[[CEDULA ]],[1]!SABADO[#Data],5,0),"No registró")</f>
        <v>No registró</v>
      </c>
      <c r="N375" s="359" t="str">
        <f>IFERROR(LOOKUP(2,1/([1]!SABADO[[CEDULA ]]=[1]!Tabla9[[#This Row],[CEDULA ]]),[1]!SABADO[HORA]),"No registró")</f>
        <v>No registró</v>
      </c>
      <c r="O375" s="359" t="str">
        <f>IFERROR(VLOOKUP([1]!Tabla9[[CEDULA ]],[1]!DOMINGO[#Data],5,0),"No registró")</f>
        <v>No registró</v>
      </c>
      <c r="P375" s="359" t="str">
        <f>IFERROR(LOOKUP(2,1/([1]!DOMINGO[[CEDULA ]]=[1]!Tabla9[[#This Row],[CEDULA ]]),[1]!DOMINGO[HORA]),"No registró")</f>
        <v>No registró</v>
      </c>
      <c r="Q375" s="240">
        <f>IFERROR(VLOOKUP(A375,DATOS[],10,0),"")</f>
        <v>0</v>
      </c>
    </row>
    <row r="376" spans="1:17" x14ac:dyDescent="0.25">
      <c r="A376" s="239">
        <v>25504461</v>
      </c>
      <c r="B376" s="239" t="s">
        <v>1386</v>
      </c>
      <c r="C376" s="359">
        <f>IFERROR(VLOOKUP([1]!Tabla9[[CEDULA ]],[1]!LUNES[#Data],5,0),"No registró")</f>
        <v>0.2885300925925926</v>
      </c>
      <c r="D376" s="359">
        <f>IFERROR(LOOKUP(2,1/([1]!LUNES[[CEDULA ]]=[1]!Tabla9[[#This Row],[CEDULA ]]),[1]!LUNES[HORA]),"No registró")</f>
        <v>0.54090277777777784</v>
      </c>
      <c r="E376" s="359">
        <f>IFERROR(VLOOKUP([1]!Tabla9[[CEDULA ]],[1]!MARTES[#Data],5,0),"No registró")</f>
        <v>0.28307870370370369</v>
      </c>
      <c r="F376" s="359">
        <f>IFERROR(LOOKUP(2,1/([1]!MARTES[[CEDULA ]]=[1]!Tabla9[[#This Row],[CEDULA ]]),[1]!MARTES[HORA]),"No Registró")</f>
        <v>0.54251157407407413</v>
      </c>
      <c r="G376" s="359" t="str">
        <f>IFERROR(VLOOKUP([1]!Tabla9[[CEDULA ]],[1]!MIERCOLES[#Data],5,0),"No registró")</f>
        <v>No registró</v>
      </c>
      <c r="H376" s="359" t="str">
        <f>IFERROR(LOOKUP(2,1/([1]!MIERCOLES[[CEDULA ]]=[1]!Tabla9[[#This Row],[CEDULA ]]),[1]!MIERCOLES[HORA]),"No registró")</f>
        <v>No registró</v>
      </c>
      <c r="I376" s="359" t="str">
        <f>IFERROR(VLOOKUP([1]!Tabla9[[CEDULA ]],[1]!JUEVES[#Data],5,0),"No Registró")</f>
        <v>No Registró</v>
      </c>
      <c r="J376" s="359" t="str">
        <f>IFERROR(LOOKUP(2,1/([1]!JUEVES[[CEDULA ]]=[1]!Tabla9[[#This Row],[CEDULA ]]),[1]!JUEVES[HORA]),"No registró")</f>
        <v>No registró</v>
      </c>
      <c r="K376" s="359" t="str">
        <f>IFERROR(VLOOKUP([1]!Tabla9[[CEDULA ]],[1]!VIERNES[#Data],5,0),"No registró")</f>
        <v>No registró</v>
      </c>
      <c r="L376" s="359" t="str">
        <f>IFERROR(LOOKUP(2,1/([1]!VIERNES[[CEDULA ]]=[1]!Tabla9[[#This Row],[CEDULA ]]),[1]!VIERNES[HORA]),"No registró")</f>
        <v>No registró</v>
      </c>
      <c r="M376" s="359" t="str">
        <f>IFERROR(VLOOKUP([1]!Tabla9[[CEDULA ]],[1]!SABADO[#Data],5,0),"No registró")</f>
        <v>No registró</v>
      </c>
      <c r="N376" s="359" t="str">
        <f>IFERROR(LOOKUP(2,1/([1]!SABADO[[CEDULA ]]=[1]!Tabla9[[#This Row],[CEDULA ]]),[1]!SABADO[HORA]),"No registró")</f>
        <v>No registró</v>
      </c>
      <c r="O376" s="359" t="str">
        <f>IFERROR(VLOOKUP([1]!Tabla9[[CEDULA ]],[1]!DOMINGO[#Data],5,0),"No registró")</f>
        <v>No registró</v>
      </c>
      <c r="P376" s="359" t="str">
        <f>IFERROR(LOOKUP(2,1/([1]!DOMINGO[[CEDULA ]]=[1]!Tabla9[[#This Row],[CEDULA ]]),[1]!DOMINGO[HORA]),"No registró")</f>
        <v>No registró</v>
      </c>
      <c r="Q376" s="240" t="str">
        <f>IFERROR(VLOOKUP(A376,DATOS[],10,0),"")</f>
        <v>5. GUARENAS</v>
      </c>
    </row>
    <row r="377" spans="1:17" x14ac:dyDescent="0.25">
      <c r="A377" s="239">
        <v>25865888</v>
      </c>
      <c r="B377" s="239" t="s">
        <v>1345</v>
      </c>
      <c r="C377" s="359">
        <f>IFERROR(VLOOKUP([1]!Tabla9[[CEDULA ]],[1]!LUNES[#Data],5,0),"No registró")</f>
        <v>0.29398148148148145</v>
      </c>
      <c r="D377" s="359">
        <f>IFERROR(LOOKUP(2,1/([1]!LUNES[[CEDULA ]]=[1]!Tabla9[[#This Row],[CEDULA ]]),[1]!LUNES[HORA]),"No registró")</f>
        <v>0.55120370370370375</v>
      </c>
      <c r="E377" s="359">
        <f>IFERROR(VLOOKUP([1]!Tabla9[[CEDULA ]],[1]!MARTES[#Data],5,0),"No registró")</f>
        <v>0.3001388888888889</v>
      </c>
      <c r="F377" s="359">
        <f>IFERROR(LOOKUP(2,1/([1]!MARTES[[CEDULA ]]=[1]!Tabla9[[#This Row],[CEDULA ]]),[1]!MARTES[HORA]),"No Registró")</f>
        <v>0.54842592592592598</v>
      </c>
      <c r="G377" s="359" t="str">
        <f>IFERROR(VLOOKUP([1]!Tabla9[[CEDULA ]],[1]!MIERCOLES[#Data],5,0),"No registró")</f>
        <v>No registró</v>
      </c>
      <c r="H377" s="359" t="str">
        <f>IFERROR(LOOKUP(2,1/([1]!MIERCOLES[[CEDULA ]]=[1]!Tabla9[[#This Row],[CEDULA ]]),[1]!MIERCOLES[HORA]),"No registró")</f>
        <v>No registró</v>
      </c>
      <c r="I377" s="359" t="str">
        <f>IFERROR(VLOOKUP([1]!Tabla9[[CEDULA ]],[1]!JUEVES[#Data],5,0),"No Registró")</f>
        <v>No Registró</v>
      </c>
      <c r="J377" s="359" t="str">
        <f>IFERROR(LOOKUP(2,1/([1]!JUEVES[[CEDULA ]]=[1]!Tabla9[[#This Row],[CEDULA ]]),[1]!JUEVES[HORA]),"No registró")</f>
        <v>No registró</v>
      </c>
      <c r="K377" s="359" t="str">
        <f>IFERROR(VLOOKUP([1]!Tabla9[[CEDULA ]],[1]!VIERNES[#Data],5,0),"No registró")</f>
        <v>No registró</v>
      </c>
      <c r="L377" s="359" t="str">
        <f>IFERROR(LOOKUP(2,1/([1]!VIERNES[[CEDULA ]]=[1]!Tabla9[[#This Row],[CEDULA ]]),[1]!VIERNES[HORA]),"No registró")</f>
        <v>No registró</v>
      </c>
      <c r="M377" s="359" t="str">
        <f>IFERROR(VLOOKUP([1]!Tabla9[[CEDULA ]],[1]!SABADO[#Data],5,0),"No registró")</f>
        <v>No registró</v>
      </c>
      <c r="N377" s="359" t="str">
        <f>IFERROR(LOOKUP(2,1/([1]!SABADO[[CEDULA ]]=[1]!Tabla9[[#This Row],[CEDULA ]]),[1]!SABADO[HORA]),"No registró")</f>
        <v>No registró</v>
      </c>
      <c r="O377" s="359" t="str">
        <f>IFERROR(VLOOKUP([1]!Tabla9[[CEDULA ]],[1]!DOMINGO[#Data],5,0),"No registró")</f>
        <v>No registró</v>
      </c>
      <c r="P377" s="359" t="str">
        <f>IFERROR(LOOKUP(2,1/([1]!DOMINGO[[CEDULA ]]=[1]!Tabla9[[#This Row],[CEDULA ]]),[1]!DOMINGO[HORA]),"No registró")</f>
        <v>No registró</v>
      </c>
      <c r="Q377" s="240">
        <f>IFERROR(VLOOKUP(A377,DATOS[],10,0),"")</f>
        <v>0</v>
      </c>
    </row>
    <row r="378" spans="1:17" x14ac:dyDescent="0.25">
      <c r="A378" s="239">
        <v>25973189</v>
      </c>
      <c r="B378" s="239" t="s">
        <v>1346</v>
      </c>
      <c r="C378" s="359">
        <f>IFERROR(VLOOKUP([1]!Tabla9[[CEDULA ]],[1]!LUNES[#Data],5,0),"No registró")</f>
        <v>0.29592592592592593</v>
      </c>
      <c r="D378" s="359">
        <f>IFERROR(LOOKUP(2,1/([1]!LUNES[[CEDULA ]]=[1]!Tabla9[[#This Row],[CEDULA ]]),[1]!LUNES[HORA]),"No registró")</f>
        <v>0.55828703703703708</v>
      </c>
      <c r="E378" s="359">
        <f>IFERROR(VLOOKUP([1]!Tabla9[[CEDULA ]],[1]!MARTES[#Data],5,0),"No registró")</f>
        <v>0.30384259259259261</v>
      </c>
      <c r="F378" s="359">
        <f>IFERROR(LOOKUP(2,1/([1]!MARTES[[CEDULA ]]=[1]!Tabla9[[#This Row],[CEDULA ]]),[1]!MARTES[HORA]),"No Registró")</f>
        <v>0.55435185185185187</v>
      </c>
      <c r="G378" s="359" t="str">
        <f>IFERROR(VLOOKUP([1]!Tabla9[[CEDULA ]],[1]!MIERCOLES[#Data],5,0),"No registró")</f>
        <v>No registró</v>
      </c>
      <c r="H378" s="359" t="str">
        <f>IFERROR(LOOKUP(2,1/([1]!MIERCOLES[[CEDULA ]]=[1]!Tabla9[[#This Row],[CEDULA ]]),[1]!MIERCOLES[HORA]),"No registró")</f>
        <v>No registró</v>
      </c>
      <c r="I378" s="359" t="str">
        <f>IFERROR(VLOOKUP([1]!Tabla9[[CEDULA ]],[1]!JUEVES[#Data],5,0),"No Registró")</f>
        <v>No Registró</v>
      </c>
      <c r="J378" s="359" t="str">
        <f>IFERROR(LOOKUP(2,1/([1]!JUEVES[[CEDULA ]]=[1]!Tabla9[[#This Row],[CEDULA ]]),[1]!JUEVES[HORA]),"No registró")</f>
        <v>No registró</v>
      </c>
      <c r="K378" s="359" t="str">
        <f>IFERROR(VLOOKUP([1]!Tabla9[[CEDULA ]],[1]!VIERNES[#Data],5,0),"No registró")</f>
        <v>No registró</v>
      </c>
      <c r="L378" s="359" t="str">
        <f>IFERROR(LOOKUP(2,1/([1]!VIERNES[[CEDULA ]]=[1]!Tabla9[[#This Row],[CEDULA ]]),[1]!VIERNES[HORA]),"No registró")</f>
        <v>No registró</v>
      </c>
      <c r="M378" s="359" t="str">
        <f>IFERROR(VLOOKUP([1]!Tabla9[[CEDULA ]],[1]!SABADO[#Data],5,0),"No registró")</f>
        <v>No registró</v>
      </c>
      <c r="N378" s="359" t="str">
        <f>IFERROR(LOOKUP(2,1/([1]!SABADO[[CEDULA ]]=[1]!Tabla9[[#This Row],[CEDULA ]]),[1]!SABADO[HORA]),"No registró")</f>
        <v>No registró</v>
      </c>
      <c r="O378" s="359" t="str">
        <f>IFERROR(VLOOKUP([1]!Tabla9[[CEDULA ]],[1]!DOMINGO[#Data],5,0),"No registró")</f>
        <v>No registró</v>
      </c>
      <c r="P378" s="359" t="str">
        <f>IFERROR(LOOKUP(2,1/([1]!DOMINGO[[CEDULA ]]=[1]!Tabla9[[#This Row],[CEDULA ]]),[1]!DOMINGO[HORA]),"No registró")</f>
        <v>No registró</v>
      </c>
      <c r="Q378" s="240">
        <f>IFERROR(VLOOKUP(A378,DATOS[],10,0),"")</f>
        <v>0</v>
      </c>
    </row>
    <row r="379" spans="1:17" x14ac:dyDescent="0.25">
      <c r="A379" s="239">
        <v>26272213</v>
      </c>
      <c r="B379" s="239" t="s">
        <v>1347</v>
      </c>
      <c r="C379" s="359">
        <f>IFERROR(VLOOKUP([1]!Tabla9[[CEDULA ]],[1]!LUNES[#Data],5,0),"No registró")</f>
        <v>0.29451388888888891</v>
      </c>
      <c r="D379" s="359">
        <f>IFERROR(LOOKUP(2,1/([1]!LUNES[[CEDULA ]]=[1]!Tabla9[[#This Row],[CEDULA ]]),[1]!LUNES[HORA]),"No registró")</f>
        <v>0.55718750000000006</v>
      </c>
      <c r="E379" s="359">
        <f>IFERROR(VLOOKUP([1]!Tabla9[[CEDULA ]],[1]!MARTES[#Data],5,0),"No registró")</f>
        <v>0.36326388888888889</v>
      </c>
      <c r="F379" s="359">
        <f>IFERROR(LOOKUP(2,1/([1]!MARTES[[CEDULA ]]=[1]!Tabla9[[#This Row],[CEDULA ]]),[1]!MARTES[HORA]),"No Registró")</f>
        <v>0.5549074074074074</v>
      </c>
      <c r="G379" s="359" t="str">
        <f>IFERROR(VLOOKUP([1]!Tabla9[[CEDULA ]],[1]!MIERCOLES[#Data],5,0),"No registró")</f>
        <v>No registró</v>
      </c>
      <c r="H379" s="359" t="str">
        <f>IFERROR(LOOKUP(2,1/([1]!MIERCOLES[[CEDULA ]]=[1]!Tabla9[[#This Row],[CEDULA ]]),[1]!MIERCOLES[HORA]),"No registró")</f>
        <v>No registró</v>
      </c>
      <c r="I379" s="359" t="str">
        <f>IFERROR(VLOOKUP([1]!Tabla9[[CEDULA ]],[1]!JUEVES[#Data],5,0),"No Registró")</f>
        <v>No Registró</v>
      </c>
      <c r="J379" s="359" t="str">
        <f>IFERROR(LOOKUP(2,1/([1]!JUEVES[[CEDULA ]]=[1]!Tabla9[[#This Row],[CEDULA ]]),[1]!JUEVES[HORA]),"No registró")</f>
        <v>No registró</v>
      </c>
      <c r="K379" s="359" t="str">
        <f>IFERROR(VLOOKUP([1]!Tabla9[[CEDULA ]],[1]!VIERNES[#Data],5,0),"No registró")</f>
        <v>No registró</v>
      </c>
      <c r="L379" s="359" t="str">
        <f>IFERROR(LOOKUP(2,1/([1]!VIERNES[[CEDULA ]]=[1]!Tabla9[[#This Row],[CEDULA ]]),[1]!VIERNES[HORA]),"No registró")</f>
        <v>No registró</v>
      </c>
      <c r="M379" s="359" t="str">
        <f>IFERROR(VLOOKUP([1]!Tabla9[[CEDULA ]],[1]!SABADO[#Data],5,0),"No registró")</f>
        <v>No registró</v>
      </c>
      <c r="N379" s="359" t="str">
        <f>IFERROR(LOOKUP(2,1/([1]!SABADO[[CEDULA ]]=[1]!Tabla9[[#This Row],[CEDULA ]]),[1]!SABADO[HORA]),"No registró")</f>
        <v>No registró</v>
      </c>
      <c r="O379" s="359" t="str">
        <f>IFERROR(VLOOKUP([1]!Tabla9[[CEDULA ]],[1]!DOMINGO[#Data],5,0),"No registró")</f>
        <v>No registró</v>
      </c>
      <c r="P379" s="359" t="str">
        <f>IFERROR(LOOKUP(2,1/([1]!DOMINGO[[CEDULA ]]=[1]!Tabla9[[#This Row],[CEDULA ]]),[1]!DOMINGO[HORA]),"No registró")</f>
        <v>No registró</v>
      </c>
      <c r="Q379" s="240" t="str">
        <f>IFERROR(VLOOKUP(A379,DATOS[],10,0),"")</f>
        <v/>
      </c>
    </row>
    <row r="380" spans="1:17" x14ac:dyDescent="0.25">
      <c r="A380" s="239">
        <v>26281689</v>
      </c>
      <c r="B380" s="239" t="s">
        <v>1348</v>
      </c>
      <c r="C380" s="359">
        <f>IFERROR(VLOOKUP([1]!Tabla9[[CEDULA ]],[1]!LUNES[#Data],5,0),"No registró")</f>
        <v>0.31328703703703703</v>
      </c>
      <c r="D380" s="359">
        <f>IFERROR(LOOKUP(2,1/([1]!LUNES[[CEDULA ]]=[1]!Tabla9[[#This Row],[CEDULA ]]),[1]!LUNES[HORA]),"No registró")</f>
        <v>0.55377314814814815</v>
      </c>
      <c r="E380" s="359">
        <f>IFERROR(VLOOKUP([1]!Tabla9[[CEDULA ]],[1]!MARTES[#Data],5,0),"No registró")</f>
        <v>0.30855324074074075</v>
      </c>
      <c r="F380" s="359">
        <f>IFERROR(LOOKUP(2,1/([1]!MARTES[[CEDULA ]]=[1]!Tabla9[[#This Row],[CEDULA ]]),[1]!MARTES[HORA]),"No Registró")</f>
        <v>0.53344907407407405</v>
      </c>
      <c r="G380" s="359" t="str">
        <f>IFERROR(VLOOKUP([1]!Tabla9[[CEDULA ]],[1]!MIERCOLES[#Data],5,0),"No registró")</f>
        <v>No registró</v>
      </c>
      <c r="H380" s="359" t="str">
        <f>IFERROR(LOOKUP(2,1/([1]!MIERCOLES[[CEDULA ]]=[1]!Tabla9[[#This Row],[CEDULA ]]),[1]!MIERCOLES[HORA]),"No registró")</f>
        <v>No registró</v>
      </c>
      <c r="I380" s="359" t="str">
        <f>IFERROR(VLOOKUP([1]!Tabla9[[CEDULA ]],[1]!JUEVES[#Data],5,0),"No Registró")</f>
        <v>No Registró</v>
      </c>
      <c r="J380" s="359" t="str">
        <f>IFERROR(LOOKUP(2,1/([1]!JUEVES[[CEDULA ]]=[1]!Tabla9[[#This Row],[CEDULA ]]),[1]!JUEVES[HORA]),"No registró")</f>
        <v>No registró</v>
      </c>
      <c r="K380" s="359" t="str">
        <f>IFERROR(VLOOKUP([1]!Tabla9[[CEDULA ]],[1]!VIERNES[#Data],5,0),"No registró")</f>
        <v>No registró</v>
      </c>
      <c r="L380" s="359" t="str">
        <f>IFERROR(LOOKUP(2,1/([1]!VIERNES[[CEDULA ]]=[1]!Tabla9[[#This Row],[CEDULA ]]),[1]!VIERNES[HORA]),"No registró")</f>
        <v>No registró</v>
      </c>
      <c r="M380" s="359" t="str">
        <f>IFERROR(VLOOKUP([1]!Tabla9[[CEDULA ]],[1]!SABADO[#Data],5,0),"No registró")</f>
        <v>No registró</v>
      </c>
      <c r="N380" s="359" t="str">
        <f>IFERROR(LOOKUP(2,1/([1]!SABADO[[CEDULA ]]=[1]!Tabla9[[#This Row],[CEDULA ]]),[1]!SABADO[HORA]),"No registró")</f>
        <v>No registró</v>
      </c>
      <c r="O380" s="359" t="str">
        <f>IFERROR(VLOOKUP([1]!Tabla9[[CEDULA ]],[1]!DOMINGO[#Data],5,0),"No registró")</f>
        <v>No registró</v>
      </c>
      <c r="P380" s="359" t="str">
        <f>IFERROR(LOOKUP(2,1/([1]!DOMINGO[[CEDULA ]]=[1]!Tabla9[[#This Row],[CEDULA ]]),[1]!DOMINGO[HORA]),"No registró")</f>
        <v>No registró</v>
      </c>
      <c r="Q380" s="240">
        <f>IFERROR(VLOOKUP(A380,DATOS[],10,0),"")</f>
        <v>0</v>
      </c>
    </row>
    <row r="381" spans="1:17" x14ac:dyDescent="0.25">
      <c r="A381" s="239">
        <v>26411028</v>
      </c>
      <c r="B381" s="239" t="s">
        <v>1349</v>
      </c>
      <c r="C381" s="359">
        <f>IFERROR(VLOOKUP([1]!Tabla9[[CEDULA ]],[1]!LUNES[#Data],5,0),"No registró")</f>
        <v>0.27715277777777775</v>
      </c>
      <c r="D381" s="359">
        <f>IFERROR(LOOKUP(2,1/([1]!LUNES[[CEDULA ]]=[1]!Tabla9[[#This Row],[CEDULA ]]),[1]!LUNES[HORA]),"No registró")</f>
        <v>0.56068287037037035</v>
      </c>
      <c r="E381" s="359">
        <f>IFERROR(VLOOKUP([1]!Tabla9[[CEDULA ]],[1]!MARTES[#Data],5,0),"No registró")</f>
        <v>0.27061342592592591</v>
      </c>
      <c r="F381" s="359">
        <f>IFERROR(LOOKUP(2,1/([1]!MARTES[[CEDULA ]]=[1]!Tabla9[[#This Row],[CEDULA ]]),[1]!MARTES[HORA]),"No Registró")</f>
        <v>0.54797453703703702</v>
      </c>
      <c r="G381" s="359" t="str">
        <f>IFERROR(VLOOKUP([1]!Tabla9[[CEDULA ]],[1]!MIERCOLES[#Data],5,0),"No registró")</f>
        <v>No registró</v>
      </c>
      <c r="H381" s="359" t="str">
        <f>IFERROR(LOOKUP(2,1/([1]!MIERCOLES[[CEDULA ]]=[1]!Tabla9[[#This Row],[CEDULA ]]),[1]!MIERCOLES[HORA]),"No registró")</f>
        <v>No registró</v>
      </c>
      <c r="I381" s="359" t="str">
        <f>IFERROR(VLOOKUP([1]!Tabla9[[CEDULA ]],[1]!JUEVES[#Data],5,0),"No Registró")</f>
        <v>No Registró</v>
      </c>
      <c r="J381" s="359" t="str">
        <f>IFERROR(LOOKUP(2,1/([1]!JUEVES[[CEDULA ]]=[1]!Tabla9[[#This Row],[CEDULA ]]),[1]!JUEVES[HORA]),"No registró")</f>
        <v>No registró</v>
      </c>
      <c r="K381" s="359" t="str">
        <f>IFERROR(VLOOKUP([1]!Tabla9[[CEDULA ]],[1]!VIERNES[#Data],5,0),"No registró")</f>
        <v>No registró</v>
      </c>
      <c r="L381" s="359" t="str">
        <f>IFERROR(LOOKUP(2,1/([1]!VIERNES[[CEDULA ]]=[1]!Tabla9[[#This Row],[CEDULA ]]),[1]!VIERNES[HORA]),"No registró")</f>
        <v>No registró</v>
      </c>
      <c r="M381" s="359" t="str">
        <f>IFERROR(VLOOKUP([1]!Tabla9[[CEDULA ]],[1]!SABADO[#Data],5,0),"No registró")</f>
        <v>No registró</v>
      </c>
      <c r="N381" s="359" t="str">
        <f>IFERROR(LOOKUP(2,1/([1]!SABADO[[CEDULA ]]=[1]!Tabla9[[#This Row],[CEDULA ]]),[1]!SABADO[HORA]),"No registró")</f>
        <v>No registró</v>
      </c>
      <c r="O381" s="359" t="str">
        <f>IFERROR(VLOOKUP([1]!Tabla9[[CEDULA ]],[1]!DOMINGO[#Data],5,0),"No registró")</f>
        <v>No registró</v>
      </c>
      <c r="P381" s="359" t="str">
        <f>IFERROR(LOOKUP(2,1/([1]!DOMINGO[[CEDULA ]]=[1]!Tabla9[[#This Row],[CEDULA ]]),[1]!DOMINGO[HORA]),"No registró")</f>
        <v>No registró</v>
      </c>
      <c r="Q381" s="240" t="str">
        <f>IFERROR(VLOOKUP(A381,DATOS[],10,0),"")</f>
        <v>2. CATIA</v>
      </c>
    </row>
    <row r="382" spans="1:17" x14ac:dyDescent="0.25">
      <c r="A382" s="239">
        <v>26421691</v>
      </c>
      <c r="B382" s="239" t="s">
        <v>1350</v>
      </c>
      <c r="C382" s="359">
        <f>IFERROR(VLOOKUP([1]!Tabla9[[CEDULA ]],[1]!LUNES[#Data],5,0),"No registró")</f>
        <v>0.29673611111111114</v>
      </c>
      <c r="D382" s="359">
        <f>IFERROR(LOOKUP(2,1/([1]!LUNES[[CEDULA ]]=[1]!Tabla9[[#This Row],[CEDULA ]]),[1]!LUNES[HORA]),"No registró")</f>
        <v>0.56241898148148151</v>
      </c>
      <c r="E382" s="359">
        <f>IFERROR(VLOOKUP([1]!Tabla9[[CEDULA ]],[1]!MARTES[#Data],5,0),"No registró")</f>
        <v>0.29993055555555553</v>
      </c>
      <c r="F382" s="359">
        <f>IFERROR(LOOKUP(2,1/([1]!MARTES[[CEDULA ]]=[1]!Tabla9[[#This Row],[CEDULA ]]),[1]!MARTES[HORA]),"No Registró")</f>
        <v>0.49126157407407406</v>
      </c>
      <c r="G382" s="359" t="str">
        <f>IFERROR(VLOOKUP([1]!Tabla9[[CEDULA ]],[1]!MIERCOLES[#Data],5,0),"No registró")</f>
        <v>No registró</v>
      </c>
      <c r="H382" s="359" t="str">
        <f>IFERROR(LOOKUP(2,1/([1]!MIERCOLES[[CEDULA ]]=[1]!Tabla9[[#This Row],[CEDULA ]]),[1]!MIERCOLES[HORA]),"No registró")</f>
        <v>No registró</v>
      </c>
      <c r="I382" s="359" t="str">
        <f>IFERROR(VLOOKUP([1]!Tabla9[[CEDULA ]],[1]!JUEVES[#Data],5,0),"No Registró")</f>
        <v>No Registró</v>
      </c>
      <c r="J382" s="359" t="str">
        <f>IFERROR(LOOKUP(2,1/([1]!JUEVES[[CEDULA ]]=[1]!Tabla9[[#This Row],[CEDULA ]]),[1]!JUEVES[HORA]),"No registró")</f>
        <v>No registró</v>
      </c>
      <c r="K382" s="359" t="str">
        <f>IFERROR(VLOOKUP([1]!Tabla9[[CEDULA ]],[1]!VIERNES[#Data],5,0),"No registró")</f>
        <v>No registró</v>
      </c>
      <c r="L382" s="359" t="str">
        <f>IFERROR(LOOKUP(2,1/([1]!VIERNES[[CEDULA ]]=[1]!Tabla9[[#This Row],[CEDULA ]]),[1]!VIERNES[HORA]),"No registró")</f>
        <v>No registró</v>
      </c>
      <c r="M382" s="359" t="str">
        <f>IFERROR(VLOOKUP([1]!Tabla9[[CEDULA ]],[1]!SABADO[#Data],5,0),"No registró")</f>
        <v>No registró</v>
      </c>
      <c r="N382" s="359" t="str">
        <f>IFERROR(LOOKUP(2,1/([1]!SABADO[[CEDULA ]]=[1]!Tabla9[[#This Row],[CEDULA ]]),[1]!SABADO[HORA]),"No registró")</f>
        <v>No registró</v>
      </c>
      <c r="O382" s="359" t="str">
        <f>IFERROR(VLOOKUP([1]!Tabla9[[CEDULA ]],[1]!DOMINGO[#Data],5,0),"No registró")</f>
        <v>No registró</v>
      </c>
      <c r="P382" s="359" t="str">
        <f>IFERROR(LOOKUP(2,1/([1]!DOMINGO[[CEDULA ]]=[1]!Tabla9[[#This Row],[CEDULA ]]),[1]!DOMINGO[HORA]),"No registró")</f>
        <v>No registró</v>
      </c>
      <c r="Q382" s="240">
        <f>IFERROR(VLOOKUP(A382,DATOS[],10,0),"")</f>
        <v>0</v>
      </c>
    </row>
    <row r="383" spans="1:17" x14ac:dyDescent="0.25">
      <c r="A383" s="239">
        <v>26443299</v>
      </c>
      <c r="B383" s="239" t="s">
        <v>1351</v>
      </c>
      <c r="C383" s="359">
        <f>IFERROR(VLOOKUP([1]!Tabla9[[CEDULA ]],[1]!LUNES[#Data],5,0),"No registró")</f>
        <v>0.28090277777777778</v>
      </c>
      <c r="D383" s="359">
        <f>IFERROR(LOOKUP(2,1/([1]!LUNES[[CEDULA ]]=[1]!Tabla9[[#This Row],[CEDULA ]]),[1]!LUNES[HORA]),"No registró")</f>
        <v>0.56422453703703701</v>
      </c>
      <c r="E383" s="359">
        <f>IFERROR(VLOOKUP([1]!Tabla9[[CEDULA ]],[1]!MARTES[#Data],5,0),"No registró")</f>
        <v>0.28758101851851853</v>
      </c>
      <c r="F383" s="359">
        <f>IFERROR(LOOKUP(2,1/([1]!MARTES[[CEDULA ]]=[1]!Tabla9[[#This Row],[CEDULA ]]),[1]!MARTES[HORA]),"No Registró")</f>
        <v>0.55505787037037035</v>
      </c>
      <c r="G383" s="359" t="str">
        <f>IFERROR(VLOOKUP([1]!Tabla9[[CEDULA ]],[1]!MIERCOLES[#Data],5,0),"No registró")</f>
        <v>No registró</v>
      </c>
      <c r="H383" s="359" t="str">
        <f>IFERROR(LOOKUP(2,1/([1]!MIERCOLES[[CEDULA ]]=[1]!Tabla9[[#This Row],[CEDULA ]]),[1]!MIERCOLES[HORA]),"No registró")</f>
        <v>No registró</v>
      </c>
      <c r="I383" s="359" t="str">
        <f>IFERROR(VLOOKUP([1]!Tabla9[[CEDULA ]],[1]!JUEVES[#Data],5,0),"No Registró")</f>
        <v>No Registró</v>
      </c>
      <c r="J383" s="359" t="str">
        <f>IFERROR(LOOKUP(2,1/([1]!JUEVES[[CEDULA ]]=[1]!Tabla9[[#This Row],[CEDULA ]]),[1]!JUEVES[HORA]),"No registró")</f>
        <v>No registró</v>
      </c>
      <c r="K383" s="359" t="str">
        <f>IFERROR(VLOOKUP([1]!Tabla9[[CEDULA ]],[1]!VIERNES[#Data],5,0),"No registró")</f>
        <v>No registró</v>
      </c>
      <c r="L383" s="359" t="str">
        <f>IFERROR(LOOKUP(2,1/([1]!VIERNES[[CEDULA ]]=[1]!Tabla9[[#This Row],[CEDULA ]]),[1]!VIERNES[HORA]),"No registró")</f>
        <v>No registró</v>
      </c>
      <c r="M383" s="359" t="str">
        <f>IFERROR(VLOOKUP([1]!Tabla9[[CEDULA ]],[1]!SABADO[#Data],5,0),"No registró")</f>
        <v>No registró</v>
      </c>
      <c r="N383" s="359" t="str">
        <f>IFERROR(LOOKUP(2,1/([1]!SABADO[[CEDULA ]]=[1]!Tabla9[[#This Row],[CEDULA ]]),[1]!SABADO[HORA]),"No registró")</f>
        <v>No registró</v>
      </c>
      <c r="O383" s="359" t="str">
        <f>IFERROR(VLOOKUP([1]!Tabla9[[CEDULA ]],[1]!DOMINGO[#Data],5,0),"No registró")</f>
        <v>No registró</v>
      </c>
      <c r="P383" s="359" t="str">
        <f>IFERROR(LOOKUP(2,1/([1]!DOMINGO[[CEDULA ]]=[1]!Tabla9[[#This Row],[CEDULA ]]),[1]!DOMINGO[HORA]),"No registró")</f>
        <v>No registró</v>
      </c>
      <c r="Q383" s="240" t="str">
        <f>IFERROR(VLOOKUP(A383,DATOS[],10,0),"")</f>
        <v>2. CATIA</v>
      </c>
    </row>
    <row r="384" spans="1:17" x14ac:dyDescent="0.25">
      <c r="A384" s="239">
        <v>26454255</v>
      </c>
      <c r="B384" s="239" t="s">
        <v>1352</v>
      </c>
      <c r="C384" s="359">
        <f>IFERROR(VLOOKUP([1]!Tabla9[[CEDULA ]],[1]!LUNES[#Data],5,0),"No registró")</f>
        <v>0.32246527777777778</v>
      </c>
      <c r="D384" s="359">
        <f>IFERROR(LOOKUP(2,1/([1]!LUNES[[CEDULA ]]=[1]!Tabla9[[#This Row],[CEDULA ]]),[1]!LUNES[HORA]),"No registró")</f>
        <v>0.55273148148148155</v>
      </c>
      <c r="E384" s="359">
        <f>IFERROR(VLOOKUP([1]!Tabla9[[CEDULA ]],[1]!MARTES[#Data],5,0),"No registró")</f>
        <v>0.34910879629629626</v>
      </c>
      <c r="F384" s="359">
        <f>IFERROR(LOOKUP(2,1/([1]!MARTES[[CEDULA ]]=[1]!Tabla9[[#This Row],[CEDULA ]]),[1]!MARTES[HORA]),"No Registró")</f>
        <v>0.55209490740740741</v>
      </c>
      <c r="G384" s="359" t="str">
        <f>IFERROR(VLOOKUP([1]!Tabla9[[CEDULA ]],[1]!MIERCOLES[#Data],5,0),"No registró")</f>
        <v>No registró</v>
      </c>
      <c r="H384" s="359" t="str">
        <f>IFERROR(LOOKUP(2,1/([1]!MIERCOLES[[CEDULA ]]=[1]!Tabla9[[#This Row],[CEDULA ]]),[1]!MIERCOLES[HORA]),"No registró")</f>
        <v>No registró</v>
      </c>
      <c r="I384" s="359" t="str">
        <f>IFERROR(VLOOKUP([1]!Tabla9[[CEDULA ]],[1]!JUEVES[#Data],5,0),"No Registró")</f>
        <v>No Registró</v>
      </c>
      <c r="J384" s="359" t="str">
        <f>IFERROR(LOOKUP(2,1/([1]!JUEVES[[CEDULA ]]=[1]!Tabla9[[#This Row],[CEDULA ]]),[1]!JUEVES[HORA]),"No registró")</f>
        <v>No registró</v>
      </c>
      <c r="K384" s="359" t="str">
        <f>IFERROR(VLOOKUP([1]!Tabla9[[CEDULA ]],[1]!VIERNES[#Data],5,0),"No registró")</f>
        <v>No registró</v>
      </c>
      <c r="L384" s="359" t="str">
        <f>IFERROR(LOOKUP(2,1/([1]!VIERNES[[CEDULA ]]=[1]!Tabla9[[#This Row],[CEDULA ]]),[1]!VIERNES[HORA]),"No registró")</f>
        <v>No registró</v>
      </c>
      <c r="M384" s="359" t="str">
        <f>IFERROR(VLOOKUP([1]!Tabla9[[CEDULA ]],[1]!SABADO[#Data],5,0),"No registró")</f>
        <v>No registró</v>
      </c>
      <c r="N384" s="359" t="str">
        <f>IFERROR(LOOKUP(2,1/([1]!SABADO[[CEDULA ]]=[1]!Tabla9[[#This Row],[CEDULA ]]),[1]!SABADO[HORA]),"No registró")</f>
        <v>No registró</v>
      </c>
      <c r="O384" s="359" t="str">
        <f>IFERROR(VLOOKUP([1]!Tabla9[[CEDULA ]],[1]!DOMINGO[#Data],5,0),"No registró")</f>
        <v>No registró</v>
      </c>
      <c r="P384" s="359" t="str">
        <f>IFERROR(LOOKUP(2,1/([1]!DOMINGO[[CEDULA ]]=[1]!Tabla9[[#This Row],[CEDULA ]]),[1]!DOMINGO[HORA]),"No registró")</f>
        <v>No registró</v>
      </c>
      <c r="Q384" s="240" t="str">
        <f>IFERROR(VLOOKUP(A384,DATOS[],10,0),"")</f>
        <v>3. CARICUAO</v>
      </c>
    </row>
    <row r="385" spans="1:17" x14ac:dyDescent="0.25">
      <c r="A385" s="239">
        <v>26510968</v>
      </c>
      <c r="B385" s="239" t="s">
        <v>1353</v>
      </c>
      <c r="C385" s="359">
        <f>IFERROR(VLOOKUP([1]!Tabla9[[CEDULA ]],[1]!LUNES[#Data],5,0),"No registró")</f>
        <v>0.28792824074074075</v>
      </c>
      <c r="D385" s="359">
        <f>IFERROR(LOOKUP(2,1/([1]!LUNES[[CEDULA ]]=[1]!Tabla9[[#This Row],[CEDULA ]]),[1]!LUNES[HORA]),"No registró")</f>
        <v>0.55677083333333333</v>
      </c>
      <c r="E385" s="359">
        <f>IFERROR(VLOOKUP([1]!Tabla9[[CEDULA ]],[1]!MARTES[#Data],5,0),"No registró")</f>
        <v>0.28292824074074074</v>
      </c>
      <c r="F385" s="359">
        <f>IFERROR(LOOKUP(2,1/([1]!MARTES[[CEDULA ]]=[1]!Tabla9[[#This Row],[CEDULA ]]),[1]!MARTES[HORA]),"No Registró")</f>
        <v>0.55378472222222219</v>
      </c>
      <c r="G385" s="359" t="str">
        <f>IFERROR(VLOOKUP([1]!Tabla9[[CEDULA ]],[1]!MIERCOLES[#Data],5,0),"No registró")</f>
        <v>No registró</v>
      </c>
      <c r="H385" s="359" t="str">
        <f>IFERROR(LOOKUP(2,1/([1]!MIERCOLES[[CEDULA ]]=[1]!Tabla9[[#This Row],[CEDULA ]]),[1]!MIERCOLES[HORA]),"No registró")</f>
        <v>No registró</v>
      </c>
      <c r="I385" s="359" t="str">
        <f>IFERROR(VLOOKUP([1]!Tabla9[[CEDULA ]],[1]!JUEVES[#Data],5,0),"No Registró")</f>
        <v>No Registró</v>
      </c>
      <c r="J385" s="359" t="str">
        <f>IFERROR(LOOKUP(2,1/([1]!JUEVES[[CEDULA ]]=[1]!Tabla9[[#This Row],[CEDULA ]]),[1]!JUEVES[HORA]),"No registró")</f>
        <v>No registró</v>
      </c>
      <c r="K385" s="359" t="str">
        <f>IFERROR(VLOOKUP([1]!Tabla9[[CEDULA ]],[1]!VIERNES[#Data],5,0),"No registró")</f>
        <v>No registró</v>
      </c>
      <c r="L385" s="359" t="str">
        <f>IFERROR(LOOKUP(2,1/([1]!VIERNES[[CEDULA ]]=[1]!Tabla9[[#This Row],[CEDULA ]]),[1]!VIERNES[HORA]),"No registró")</f>
        <v>No registró</v>
      </c>
      <c r="M385" s="359" t="str">
        <f>IFERROR(VLOOKUP([1]!Tabla9[[CEDULA ]],[1]!SABADO[#Data],5,0),"No registró")</f>
        <v>No registró</v>
      </c>
      <c r="N385" s="359" t="str">
        <f>IFERROR(LOOKUP(2,1/([1]!SABADO[[CEDULA ]]=[1]!Tabla9[[#This Row],[CEDULA ]]),[1]!SABADO[HORA]),"No registró")</f>
        <v>No registró</v>
      </c>
      <c r="O385" s="359" t="str">
        <f>IFERROR(VLOOKUP([1]!Tabla9[[CEDULA ]],[1]!DOMINGO[#Data],5,0),"No registró")</f>
        <v>No registró</v>
      </c>
      <c r="P385" s="359" t="str">
        <f>IFERROR(LOOKUP(2,1/([1]!DOMINGO[[CEDULA ]]=[1]!Tabla9[[#This Row],[CEDULA ]]),[1]!DOMINGO[HORA]),"No registró")</f>
        <v>No registró</v>
      </c>
      <c r="Q385" s="240" t="str">
        <f>IFERROR(VLOOKUP(A385,DATOS[],10,0),"")</f>
        <v>5. GUARENAS</v>
      </c>
    </row>
    <row r="386" spans="1:17" x14ac:dyDescent="0.25">
      <c r="A386" s="239">
        <v>26774405</v>
      </c>
      <c r="B386" s="239" t="s">
        <v>1354</v>
      </c>
      <c r="C386" s="359">
        <f>IFERROR(VLOOKUP([1]!Tabla9[[CEDULA ]],[1]!LUNES[#Data],5,0),"No registró")</f>
        <v>0.28837962962962965</v>
      </c>
      <c r="D386" s="359">
        <f>IFERROR(LOOKUP(2,1/([1]!LUNES[[CEDULA ]]=[1]!Tabla9[[#This Row],[CEDULA ]]),[1]!LUNES[HORA]),"No registró")</f>
        <v>0.55636574074074074</v>
      </c>
      <c r="E386" s="359">
        <f>IFERROR(VLOOKUP([1]!Tabla9[[CEDULA ]],[1]!MARTES[#Data],5,0),"No registró")</f>
        <v>0.28278935185185183</v>
      </c>
      <c r="F386" s="359">
        <f>IFERROR(LOOKUP(2,1/([1]!MARTES[[CEDULA ]]=[1]!Tabla9[[#This Row],[CEDULA ]]),[1]!MARTES[HORA]),"No Registró")</f>
        <v>0.55465277777777777</v>
      </c>
      <c r="G386" s="359" t="str">
        <f>IFERROR(VLOOKUP([1]!Tabla9[[CEDULA ]],[1]!MIERCOLES[#Data],5,0),"No registró")</f>
        <v>No registró</v>
      </c>
      <c r="H386" s="359" t="str">
        <f>IFERROR(LOOKUP(2,1/([1]!MIERCOLES[[CEDULA ]]=[1]!Tabla9[[#This Row],[CEDULA ]]),[1]!MIERCOLES[HORA]),"No registró")</f>
        <v>No registró</v>
      </c>
      <c r="I386" s="359" t="str">
        <f>IFERROR(VLOOKUP([1]!Tabla9[[CEDULA ]],[1]!JUEVES[#Data],5,0),"No Registró")</f>
        <v>No Registró</v>
      </c>
      <c r="J386" s="359" t="str">
        <f>IFERROR(LOOKUP(2,1/([1]!JUEVES[[CEDULA ]]=[1]!Tabla9[[#This Row],[CEDULA ]]),[1]!JUEVES[HORA]),"No registró")</f>
        <v>No registró</v>
      </c>
      <c r="K386" s="359" t="str">
        <f>IFERROR(VLOOKUP([1]!Tabla9[[CEDULA ]],[1]!VIERNES[#Data],5,0),"No registró")</f>
        <v>No registró</v>
      </c>
      <c r="L386" s="359" t="str">
        <f>IFERROR(LOOKUP(2,1/([1]!VIERNES[[CEDULA ]]=[1]!Tabla9[[#This Row],[CEDULA ]]),[1]!VIERNES[HORA]),"No registró")</f>
        <v>No registró</v>
      </c>
      <c r="M386" s="359" t="str">
        <f>IFERROR(VLOOKUP([1]!Tabla9[[CEDULA ]],[1]!SABADO[#Data],5,0),"No registró")</f>
        <v>No registró</v>
      </c>
      <c r="N386" s="359" t="str">
        <f>IFERROR(LOOKUP(2,1/([1]!SABADO[[CEDULA ]]=[1]!Tabla9[[#This Row],[CEDULA ]]),[1]!SABADO[HORA]),"No registró")</f>
        <v>No registró</v>
      </c>
      <c r="O386" s="359" t="str">
        <f>IFERROR(VLOOKUP([1]!Tabla9[[CEDULA ]],[1]!DOMINGO[#Data],5,0),"No registró")</f>
        <v>No registró</v>
      </c>
      <c r="P386" s="359" t="str">
        <f>IFERROR(LOOKUP(2,1/([1]!DOMINGO[[CEDULA ]]=[1]!Tabla9[[#This Row],[CEDULA ]]),[1]!DOMINGO[HORA]),"No registró")</f>
        <v>No registró</v>
      </c>
      <c r="Q386" s="240" t="str">
        <f>IFERROR(VLOOKUP(A386,DATOS[],10,0),"")</f>
        <v>5. GUARENAS</v>
      </c>
    </row>
    <row r="387" spans="1:17" x14ac:dyDescent="0.25">
      <c r="A387" s="239">
        <v>26796375</v>
      </c>
      <c r="B387" s="239" t="s">
        <v>1355</v>
      </c>
      <c r="C387" s="359">
        <f>IFERROR(VLOOKUP([1]!Tabla9[[CEDULA ]],[1]!LUNES[#Data],5,0),"No registró")</f>
        <v>0.28097222222222223</v>
      </c>
      <c r="D387" s="359">
        <f>IFERROR(LOOKUP(2,1/([1]!LUNES[[CEDULA ]]=[1]!Tabla9[[#This Row],[CEDULA ]]),[1]!LUNES[HORA]),"No registró")</f>
        <v>0.5621180555555555</v>
      </c>
      <c r="E387" s="359">
        <f>IFERROR(VLOOKUP([1]!Tabla9[[CEDULA ]],[1]!MARTES[#Data],5,0),"No registró")</f>
        <v>0.2873148148148148</v>
      </c>
      <c r="F387" s="359">
        <f>IFERROR(LOOKUP(2,1/([1]!MARTES[[CEDULA ]]=[1]!Tabla9[[#This Row],[CEDULA ]]),[1]!MARTES[HORA]),"No Registró")</f>
        <v>0.55420138888888892</v>
      </c>
      <c r="G387" s="359" t="str">
        <f>IFERROR(VLOOKUP([1]!Tabla9[[CEDULA ]],[1]!MIERCOLES[#Data],5,0),"No registró")</f>
        <v>No registró</v>
      </c>
      <c r="H387" s="359" t="str">
        <f>IFERROR(LOOKUP(2,1/([1]!MIERCOLES[[CEDULA ]]=[1]!Tabla9[[#This Row],[CEDULA ]]),[1]!MIERCOLES[HORA]),"No registró")</f>
        <v>No registró</v>
      </c>
      <c r="I387" s="359" t="str">
        <f>IFERROR(VLOOKUP([1]!Tabla9[[CEDULA ]],[1]!JUEVES[#Data],5,0),"No Registró")</f>
        <v>No Registró</v>
      </c>
      <c r="J387" s="359" t="str">
        <f>IFERROR(LOOKUP(2,1/([1]!JUEVES[[CEDULA ]]=[1]!Tabla9[[#This Row],[CEDULA ]]),[1]!JUEVES[HORA]),"No registró")</f>
        <v>No registró</v>
      </c>
      <c r="K387" s="359" t="str">
        <f>IFERROR(VLOOKUP([1]!Tabla9[[CEDULA ]],[1]!VIERNES[#Data],5,0),"No registró")</f>
        <v>No registró</v>
      </c>
      <c r="L387" s="359" t="str">
        <f>IFERROR(LOOKUP(2,1/([1]!VIERNES[[CEDULA ]]=[1]!Tabla9[[#This Row],[CEDULA ]]),[1]!VIERNES[HORA]),"No registró")</f>
        <v>No registró</v>
      </c>
      <c r="M387" s="359" t="str">
        <f>IFERROR(VLOOKUP([1]!Tabla9[[CEDULA ]],[1]!SABADO[#Data],5,0),"No registró")</f>
        <v>No registró</v>
      </c>
      <c r="N387" s="359" t="str">
        <f>IFERROR(LOOKUP(2,1/([1]!SABADO[[CEDULA ]]=[1]!Tabla9[[#This Row],[CEDULA ]]),[1]!SABADO[HORA]),"No registró")</f>
        <v>No registró</v>
      </c>
      <c r="O387" s="359" t="str">
        <f>IFERROR(VLOOKUP([1]!Tabla9[[CEDULA ]],[1]!DOMINGO[#Data],5,0),"No registró")</f>
        <v>No registró</v>
      </c>
      <c r="P387" s="359" t="str">
        <f>IFERROR(LOOKUP(2,1/([1]!DOMINGO[[CEDULA ]]=[1]!Tabla9[[#This Row],[CEDULA ]]),[1]!DOMINGO[HORA]),"No registró")</f>
        <v>No registró</v>
      </c>
      <c r="Q387" s="240">
        <f>IFERROR(VLOOKUP(A387,DATOS[],10,0),"")</f>
        <v>0</v>
      </c>
    </row>
    <row r="388" spans="1:17" x14ac:dyDescent="0.25">
      <c r="A388" s="239">
        <v>26911797</v>
      </c>
      <c r="B388" s="239" t="s">
        <v>1356</v>
      </c>
      <c r="C388" s="359">
        <f>IFERROR(VLOOKUP([1]!Tabla9[[CEDULA ]],[1]!LUNES[#Data],5,0),"No registró")</f>
        <v>0.31035879629629631</v>
      </c>
      <c r="D388" s="359">
        <f>IFERROR(LOOKUP(2,1/([1]!LUNES[[CEDULA ]]=[1]!Tabla9[[#This Row],[CEDULA ]]),[1]!LUNES[HORA]),"No registró")</f>
        <v>0.55262731481481475</v>
      </c>
      <c r="E388" s="359">
        <f>IFERROR(VLOOKUP([1]!Tabla9[[CEDULA ]],[1]!MARTES[#Data],5,0),"No registró")</f>
        <v>0.30777777777777776</v>
      </c>
      <c r="F388" s="359">
        <f>IFERROR(LOOKUP(2,1/([1]!MARTES[[CEDULA ]]=[1]!Tabla9[[#This Row],[CEDULA ]]),[1]!MARTES[HORA]),"No Registró")</f>
        <v>0.55274305555555558</v>
      </c>
      <c r="G388" s="359" t="str">
        <f>IFERROR(VLOOKUP([1]!Tabla9[[CEDULA ]],[1]!MIERCOLES[#Data],5,0),"No registró")</f>
        <v>No registró</v>
      </c>
      <c r="H388" s="359" t="str">
        <f>IFERROR(LOOKUP(2,1/([1]!MIERCOLES[[CEDULA ]]=[1]!Tabla9[[#This Row],[CEDULA ]]),[1]!MIERCOLES[HORA]),"No registró")</f>
        <v>No registró</v>
      </c>
      <c r="I388" s="359" t="str">
        <f>IFERROR(VLOOKUP([1]!Tabla9[[CEDULA ]],[1]!JUEVES[#Data],5,0),"No Registró")</f>
        <v>No Registró</v>
      </c>
      <c r="J388" s="359" t="str">
        <f>IFERROR(LOOKUP(2,1/([1]!JUEVES[[CEDULA ]]=[1]!Tabla9[[#This Row],[CEDULA ]]),[1]!JUEVES[HORA]),"No registró")</f>
        <v>No registró</v>
      </c>
      <c r="K388" s="359" t="str">
        <f>IFERROR(VLOOKUP([1]!Tabla9[[CEDULA ]],[1]!VIERNES[#Data],5,0),"No registró")</f>
        <v>No registró</v>
      </c>
      <c r="L388" s="359" t="str">
        <f>IFERROR(LOOKUP(2,1/([1]!VIERNES[[CEDULA ]]=[1]!Tabla9[[#This Row],[CEDULA ]]),[1]!VIERNES[HORA]),"No registró")</f>
        <v>No registró</v>
      </c>
      <c r="M388" s="359" t="str">
        <f>IFERROR(VLOOKUP([1]!Tabla9[[CEDULA ]],[1]!SABADO[#Data],5,0),"No registró")</f>
        <v>No registró</v>
      </c>
      <c r="N388" s="359" t="str">
        <f>IFERROR(LOOKUP(2,1/([1]!SABADO[[CEDULA ]]=[1]!Tabla9[[#This Row],[CEDULA ]]),[1]!SABADO[HORA]),"No registró")</f>
        <v>No registró</v>
      </c>
      <c r="O388" s="359" t="str">
        <f>IFERROR(VLOOKUP([1]!Tabla9[[CEDULA ]],[1]!DOMINGO[#Data],5,0),"No registró")</f>
        <v>No registró</v>
      </c>
      <c r="P388" s="359" t="str">
        <f>IFERROR(LOOKUP(2,1/([1]!DOMINGO[[CEDULA ]]=[1]!Tabla9[[#This Row],[CEDULA ]]),[1]!DOMINGO[HORA]),"No registró")</f>
        <v>No registró</v>
      </c>
      <c r="Q388" s="240">
        <f>IFERROR(VLOOKUP(A388,DATOS[],10,0),"")</f>
        <v>0</v>
      </c>
    </row>
    <row r="389" spans="1:17" x14ac:dyDescent="0.25">
      <c r="A389" s="239">
        <v>27103750</v>
      </c>
      <c r="B389" s="239" t="s">
        <v>1357</v>
      </c>
      <c r="C389" s="359">
        <f>IFERROR(VLOOKUP([1]!Tabla9[[CEDULA ]],[1]!LUNES[#Data],5,0),"No registró")</f>
        <v>0.28847222222222224</v>
      </c>
      <c r="D389" s="359">
        <f>IFERROR(LOOKUP(2,1/([1]!LUNES[[CEDULA ]]=[1]!Tabla9[[#This Row],[CEDULA ]]),[1]!LUNES[HORA]),"No registró")</f>
        <v>0.55395833333333333</v>
      </c>
      <c r="E389" s="359">
        <f>IFERROR(VLOOKUP([1]!Tabla9[[CEDULA ]],[1]!MARTES[#Data],5,0),"No registró")</f>
        <v>0.28296296296296297</v>
      </c>
      <c r="F389" s="359">
        <f>IFERROR(LOOKUP(2,1/([1]!MARTES[[CEDULA ]]=[1]!Tabla9[[#This Row],[CEDULA ]]),[1]!MARTES[HORA]),"No Registró")</f>
        <v>0.55721064814814814</v>
      </c>
      <c r="G389" s="359" t="str">
        <f>IFERROR(VLOOKUP([1]!Tabla9[[CEDULA ]],[1]!MIERCOLES[#Data],5,0),"No registró")</f>
        <v>No registró</v>
      </c>
      <c r="H389" s="359" t="str">
        <f>IFERROR(LOOKUP(2,1/([1]!MIERCOLES[[CEDULA ]]=[1]!Tabla9[[#This Row],[CEDULA ]]),[1]!MIERCOLES[HORA]),"No registró")</f>
        <v>No registró</v>
      </c>
      <c r="I389" s="359" t="str">
        <f>IFERROR(VLOOKUP([1]!Tabla9[[CEDULA ]],[1]!JUEVES[#Data],5,0),"No Registró")</f>
        <v>No Registró</v>
      </c>
      <c r="J389" s="359" t="str">
        <f>IFERROR(LOOKUP(2,1/([1]!JUEVES[[CEDULA ]]=[1]!Tabla9[[#This Row],[CEDULA ]]),[1]!JUEVES[HORA]),"No registró")</f>
        <v>No registró</v>
      </c>
      <c r="K389" s="359" t="str">
        <f>IFERROR(VLOOKUP([1]!Tabla9[[CEDULA ]],[1]!VIERNES[#Data],5,0),"No registró")</f>
        <v>No registró</v>
      </c>
      <c r="L389" s="359" t="str">
        <f>IFERROR(LOOKUP(2,1/([1]!VIERNES[[CEDULA ]]=[1]!Tabla9[[#This Row],[CEDULA ]]),[1]!VIERNES[HORA]),"No registró")</f>
        <v>No registró</v>
      </c>
      <c r="M389" s="359" t="str">
        <f>IFERROR(VLOOKUP([1]!Tabla9[[CEDULA ]],[1]!SABADO[#Data],5,0),"No registró")</f>
        <v>No registró</v>
      </c>
      <c r="N389" s="359" t="str">
        <f>IFERROR(LOOKUP(2,1/([1]!SABADO[[CEDULA ]]=[1]!Tabla9[[#This Row],[CEDULA ]]),[1]!SABADO[HORA]),"No registró")</f>
        <v>No registró</v>
      </c>
      <c r="O389" s="359" t="str">
        <f>IFERROR(VLOOKUP([1]!Tabla9[[CEDULA ]],[1]!DOMINGO[#Data],5,0),"No registró")</f>
        <v>No registró</v>
      </c>
      <c r="P389" s="359" t="str">
        <f>IFERROR(LOOKUP(2,1/([1]!DOMINGO[[CEDULA ]]=[1]!Tabla9[[#This Row],[CEDULA ]]),[1]!DOMINGO[HORA]),"No registró")</f>
        <v>No registró</v>
      </c>
      <c r="Q389" s="240">
        <f>IFERROR(VLOOKUP(A389,DATOS[],10,0),"")</f>
        <v>0</v>
      </c>
    </row>
    <row r="390" spans="1:17" x14ac:dyDescent="0.25">
      <c r="A390" s="239">
        <v>27421804</v>
      </c>
      <c r="B390" s="239" t="s">
        <v>1358</v>
      </c>
      <c r="C390" s="359">
        <f>IFERROR(VLOOKUP([1]!Tabla9[[CEDULA ]],[1]!LUNES[#Data],5,0),"No registró")</f>
        <v>0.28612268518518519</v>
      </c>
      <c r="D390" s="359">
        <f>IFERROR(LOOKUP(2,1/([1]!LUNES[[CEDULA ]]=[1]!Tabla9[[#This Row],[CEDULA ]]),[1]!LUNES[HORA]),"No registró")</f>
        <v>0.56333333333333335</v>
      </c>
      <c r="E390" s="359">
        <f>IFERROR(VLOOKUP([1]!Tabla9[[CEDULA ]],[1]!MARTES[#Data],5,0),"No registró")</f>
        <v>0.2892824074074074</v>
      </c>
      <c r="F390" s="359">
        <f>IFERROR(LOOKUP(2,1/([1]!MARTES[[CEDULA ]]=[1]!Tabla9[[#This Row],[CEDULA ]]),[1]!MARTES[HORA]),"No Registró")</f>
        <v>0.50880787037037034</v>
      </c>
      <c r="G390" s="359" t="str">
        <f>IFERROR(VLOOKUP([1]!Tabla9[[CEDULA ]],[1]!MIERCOLES[#Data],5,0),"No registró")</f>
        <v>No registró</v>
      </c>
      <c r="H390" s="359" t="str">
        <f>IFERROR(LOOKUP(2,1/([1]!MIERCOLES[[CEDULA ]]=[1]!Tabla9[[#This Row],[CEDULA ]]),[1]!MIERCOLES[HORA]),"No registró")</f>
        <v>No registró</v>
      </c>
      <c r="I390" s="359" t="str">
        <f>IFERROR(VLOOKUP([1]!Tabla9[[CEDULA ]],[1]!JUEVES[#Data],5,0),"No Registró")</f>
        <v>No Registró</v>
      </c>
      <c r="J390" s="359" t="str">
        <f>IFERROR(LOOKUP(2,1/([1]!JUEVES[[CEDULA ]]=[1]!Tabla9[[#This Row],[CEDULA ]]),[1]!JUEVES[HORA]),"No registró")</f>
        <v>No registró</v>
      </c>
      <c r="K390" s="359" t="str">
        <f>IFERROR(VLOOKUP([1]!Tabla9[[CEDULA ]],[1]!VIERNES[#Data],5,0),"No registró")</f>
        <v>No registró</v>
      </c>
      <c r="L390" s="359" t="str">
        <f>IFERROR(LOOKUP(2,1/([1]!VIERNES[[CEDULA ]]=[1]!Tabla9[[#This Row],[CEDULA ]]),[1]!VIERNES[HORA]),"No registró")</f>
        <v>No registró</v>
      </c>
      <c r="M390" s="359" t="str">
        <f>IFERROR(VLOOKUP([1]!Tabla9[[CEDULA ]],[1]!SABADO[#Data],5,0),"No registró")</f>
        <v>No registró</v>
      </c>
      <c r="N390" s="359" t="str">
        <f>IFERROR(LOOKUP(2,1/([1]!SABADO[[CEDULA ]]=[1]!Tabla9[[#This Row],[CEDULA ]]),[1]!SABADO[HORA]),"No registró")</f>
        <v>No registró</v>
      </c>
      <c r="O390" s="359" t="str">
        <f>IFERROR(VLOOKUP([1]!Tabla9[[CEDULA ]],[1]!DOMINGO[#Data],5,0),"No registró")</f>
        <v>No registró</v>
      </c>
      <c r="P390" s="359" t="str">
        <f>IFERROR(LOOKUP(2,1/([1]!DOMINGO[[CEDULA ]]=[1]!Tabla9[[#This Row],[CEDULA ]]),[1]!DOMINGO[HORA]),"No registró")</f>
        <v>No registró</v>
      </c>
      <c r="Q390" s="240">
        <f>IFERROR(VLOOKUP(A390,DATOS[],10,0),"")</f>
        <v>0</v>
      </c>
    </row>
    <row r="391" spans="1:17" x14ac:dyDescent="0.25">
      <c r="A391" s="239">
        <v>27894304</v>
      </c>
      <c r="B391" s="239" t="s">
        <v>1359</v>
      </c>
      <c r="C391" s="359">
        <f>IFERROR(VLOOKUP([1]!Tabla9[[CEDULA ]],[1]!LUNES[#Data],5,0),"No registró")</f>
        <v>0.27802083333333333</v>
      </c>
      <c r="D391" s="359">
        <f>IFERROR(LOOKUP(2,1/([1]!LUNES[[CEDULA ]]=[1]!Tabla9[[#This Row],[CEDULA ]]),[1]!LUNES[HORA]),"No registró")</f>
        <v>0.55303240740740744</v>
      </c>
      <c r="E391" s="359">
        <f>IFERROR(VLOOKUP([1]!Tabla9[[CEDULA ]],[1]!MARTES[#Data],5,0),"No registró")</f>
        <v>0.32582175925925927</v>
      </c>
      <c r="F391" s="359">
        <f>IFERROR(LOOKUP(2,1/([1]!MARTES[[CEDULA ]]=[1]!Tabla9[[#This Row],[CEDULA ]]),[1]!MARTES[HORA]),"No Registró")</f>
        <v>0.55562500000000004</v>
      </c>
      <c r="G391" s="359" t="str">
        <f>IFERROR(VLOOKUP([1]!Tabla9[[CEDULA ]],[1]!MIERCOLES[#Data],5,0),"No registró")</f>
        <v>No registró</v>
      </c>
      <c r="H391" s="359" t="str">
        <f>IFERROR(LOOKUP(2,1/([1]!MIERCOLES[[CEDULA ]]=[1]!Tabla9[[#This Row],[CEDULA ]]),[1]!MIERCOLES[HORA]),"No registró")</f>
        <v>No registró</v>
      </c>
      <c r="I391" s="359" t="str">
        <f>IFERROR(VLOOKUP([1]!Tabla9[[CEDULA ]],[1]!JUEVES[#Data],5,0),"No Registró")</f>
        <v>No Registró</v>
      </c>
      <c r="J391" s="359" t="str">
        <f>IFERROR(LOOKUP(2,1/([1]!JUEVES[[CEDULA ]]=[1]!Tabla9[[#This Row],[CEDULA ]]),[1]!JUEVES[HORA]),"No registró")</f>
        <v>No registró</v>
      </c>
      <c r="K391" s="359" t="str">
        <f>IFERROR(VLOOKUP([1]!Tabla9[[CEDULA ]],[1]!VIERNES[#Data],5,0),"No registró")</f>
        <v>No registró</v>
      </c>
      <c r="L391" s="359" t="str">
        <f>IFERROR(LOOKUP(2,1/([1]!VIERNES[[CEDULA ]]=[1]!Tabla9[[#This Row],[CEDULA ]]),[1]!VIERNES[HORA]),"No registró")</f>
        <v>No registró</v>
      </c>
      <c r="M391" s="359" t="str">
        <f>IFERROR(VLOOKUP([1]!Tabla9[[CEDULA ]],[1]!SABADO[#Data],5,0),"No registró")</f>
        <v>No registró</v>
      </c>
      <c r="N391" s="359" t="str">
        <f>IFERROR(LOOKUP(2,1/([1]!SABADO[[CEDULA ]]=[1]!Tabla9[[#This Row],[CEDULA ]]),[1]!SABADO[HORA]),"No registró")</f>
        <v>No registró</v>
      </c>
      <c r="O391" s="359" t="str">
        <f>IFERROR(VLOOKUP([1]!Tabla9[[CEDULA ]],[1]!DOMINGO[#Data],5,0),"No registró")</f>
        <v>No registró</v>
      </c>
      <c r="P391" s="359" t="str">
        <f>IFERROR(LOOKUP(2,1/([1]!DOMINGO[[CEDULA ]]=[1]!Tabla9[[#This Row],[CEDULA ]]),[1]!DOMINGO[HORA]),"No registró")</f>
        <v>No registró</v>
      </c>
      <c r="Q391" s="240" t="str">
        <f>IFERROR(VLOOKUP(A391,DATOS[],10,0),"")</f>
        <v>4. VALLES DEL TUY</v>
      </c>
    </row>
    <row r="392" spans="1:17" x14ac:dyDescent="0.25">
      <c r="A392" s="239">
        <v>28337714</v>
      </c>
      <c r="B392" s="239" t="s">
        <v>1360</v>
      </c>
      <c r="C392" s="359">
        <f>IFERROR(VLOOKUP([1]!Tabla9[[CEDULA ]],[1]!LUNES[#Data],5,0),"No registró")</f>
        <v>0.2643287037037037</v>
      </c>
      <c r="D392" s="359">
        <f>IFERROR(LOOKUP(2,1/([1]!LUNES[[CEDULA ]]=[1]!Tabla9[[#This Row],[CEDULA ]]),[1]!LUNES[HORA]),"No registró")</f>
        <v>0.55033564814814817</v>
      </c>
      <c r="E392" s="359">
        <f>IFERROR(VLOOKUP([1]!Tabla9[[CEDULA ]],[1]!MARTES[#Data],5,0),"No registró")</f>
        <v>0.26807870370370374</v>
      </c>
      <c r="F392" s="359">
        <f>IFERROR(LOOKUP(2,1/([1]!MARTES[[CEDULA ]]=[1]!Tabla9[[#This Row],[CEDULA ]]),[1]!MARTES[HORA]),"No Registró")</f>
        <v>0.55518518518518511</v>
      </c>
      <c r="G392" s="359" t="str">
        <f>IFERROR(VLOOKUP([1]!Tabla9[[CEDULA ]],[1]!MIERCOLES[#Data],5,0),"No registró")</f>
        <v>No registró</v>
      </c>
      <c r="H392" s="359" t="str">
        <f>IFERROR(LOOKUP(2,1/([1]!MIERCOLES[[CEDULA ]]=[1]!Tabla9[[#This Row],[CEDULA ]]),[1]!MIERCOLES[HORA]),"No registró")</f>
        <v>No registró</v>
      </c>
      <c r="I392" s="359" t="str">
        <f>IFERROR(VLOOKUP([1]!Tabla9[[CEDULA ]],[1]!JUEVES[#Data],5,0),"No Registró")</f>
        <v>No Registró</v>
      </c>
      <c r="J392" s="359" t="str">
        <f>IFERROR(LOOKUP(2,1/([1]!JUEVES[[CEDULA ]]=[1]!Tabla9[[#This Row],[CEDULA ]]),[1]!JUEVES[HORA]),"No registró")</f>
        <v>No registró</v>
      </c>
      <c r="K392" s="359" t="str">
        <f>IFERROR(VLOOKUP([1]!Tabla9[[CEDULA ]],[1]!VIERNES[#Data],5,0),"No registró")</f>
        <v>No registró</v>
      </c>
      <c r="L392" s="359" t="str">
        <f>IFERROR(LOOKUP(2,1/([1]!VIERNES[[CEDULA ]]=[1]!Tabla9[[#This Row],[CEDULA ]]),[1]!VIERNES[HORA]),"No registró")</f>
        <v>No registró</v>
      </c>
      <c r="M392" s="359" t="str">
        <f>IFERROR(VLOOKUP([1]!Tabla9[[CEDULA ]],[1]!SABADO[#Data],5,0),"No registró")</f>
        <v>No registró</v>
      </c>
      <c r="N392" s="359" t="str">
        <f>IFERROR(LOOKUP(2,1/([1]!SABADO[[CEDULA ]]=[1]!Tabla9[[#This Row],[CEDULA ]]),[1]!SABADO[HORA]),"No registró")</f>
        <v>No registró</v>
      </c>
      <c r="O392" s="359" t="str">
        <f>IFERROR(VLOOKUP([1]!Tabla9[[CEDULA ]],[1]!DOMINGO[#Data],5,0),"No registró")</f>
        <v>No registró</v>
      </c>
      <c r="P392" s="359" t="str">
        <f>IFERROR(LOOKUP(2,1/([1]!DOMINGO[[CEDULA ]]=[1]!Tabla9[[#This Row],[CEDULA ]]),[1]!DOMINGO[HORA]),"No registró")</f>
        <v>No registró</v>
      </c>
      <c r="Q392" s="240">
        <f>IFERROR(VLOOKUP(A392,DATOS[],10,0),"")</f>
        <v>0</v>
      </c>
    </row>
    <row r="393" spans="1:17" x14ac:dyDescent="0.25">
      <c r="A393" s="239">
        <v>29657114</v>
      </c>
      <c r="B393" s="239" t="s">
        <v>1361</v>
      </c>
      <c r="C393" s="359">
        <f>IFERROR(VLOOKUP([1]!Tabla9[[CEDULA ]],[1]!LUNES[#Data],5,0),"No registró")</f>
        <v>0.28761574074074076</v>
      </c>
      <c r="D393" s="359">
        <f>IFERROR(LOOKUP(2,1/([1]!LUNES[[CEDULA ]]=[1]!Tabla9[[#This Row],[CEDULA ]]),[1]!LUNES[HORA]),"No registró")</f>
        <v>0.55215277777777783</v>
      </c>
      <c r="E393" s="359">
        <f>IFERROR(VLOOKUP([1]!Tabla9[[CEDULA ]],[1]!MARTES[#Data],5,0),"No registró")</f>
        <v>0.28244212962962961</v>
      </c>
      <c r="F393" s="359">
        <f>IFERROR(LOOKUP(2,1/([1]!MARTES[[CEDULA ]]=[1]!Tabla9[[#This Row],[CEDULA ]]),[1]!MARTES[HORA]),"No Registró")</f>
        <v>0.54335648148148141</v>
      </c>
      <c r="G393" s="359" t="str">
        <f>IFERROR(VLOOKUP([1]!Tabla9[[CEDULA ]],[1]!MIERCOLES[#Data],5,0),"No registró")</f>
        <v>No registró</v>
      </c>
      <c r="H393" s="359" t="str">
        <f>IFERROR(LOOKUP(2,1/([1]!MIERCOLES[[CEDULA ]]=[1]!Tabla9[[#This Row],[CEDULA ]]),[1]!MIERCOLES[HORA]),"No registró")</f>
        <v>No registró</v>
      </c>
      <c r="I393" s="359" t="str">
        <f>IFERROR(VLOOKUP([1]!Tabla9[[CEDULA ]],[1]!JUEVES[#Data],5,0),"No Registró")</f>
        <v>No Registró</v>
      </c>
      <c r="J393" s="359" t="str">
        <f>IFERROR(LOOKUP(2,1/([1]!JUEVES[[CEDULA ]]=[1]!Tabla9[[#This Row],[CEDULA ]]),[1]!JUEVES[HORA]),"No registró")</f>
        <v>No registró</v>
      </c>
      <c r="K393" s="359" t="str">
        <f>IFERROR(VLOOKUP([1]!Tabla9[[CEDULA ]],[1]!VIERNES[#Data],5,0),"No registró")</f>
        <v>No registró</v>
      </c>
      <c r="L393" s="359" t="str">
        <f>IFERROR(LOOKUP(2,1/([1]!VIERNES[[CEDULA ]]=[1]!Tabla9[[#This Row],[CEDULA ]]),[1]!VIERNES[HORA]),"No registró")</f>
        <v>No registró</v>
      </c>
      <c r="M393" s="359" t="str">
        <f>IFERROR(VLOOKUP([1]!Tabla9[[CEDULA ]],[1]!SABADO[#Data],5,0),"No registró")</f>
        <v>No registró</v>
      </c>
      <c r="N393" s="359" t="str">
        <f>IFERROR(LOOKUP(2,1/([1]!SABADO[[CEDULA ]]=[1]!Tabla9[[#This Row],[CEDULA ]]),[1]!SABADO[HORA]),"No registró")</f>
        <v>No registró</v>
      </c>
      <c r="O393" s="359" t="str">
        <f>IFERROR(VLOOKUP([1]!Tabla9[[CEDULA ]],[1]!DOMINGO[#Data],5,0),"No registró")</f>
        <v>No registró</v>
      </c>
      <c r="P393" s="359" t="str">
        <f>IFERROR(LOOKUP(2,1/([1]!DOMINGO[[CEDULA ]]=[1]!Tabla9[[#This Row],[CEDULA ]]),[1]!DOMINGO[HORA]),"No registró")</f>
        <v>No registró</v>
      </c>
      <c r="Q393" s="240" t="str">
        <f>IFERROR(VLOOKUP(A393,DATOS[],10,0),"")</f>
        <v>5. GUARENAS</v>
      </c>
    </row>
    <row r="394" spans="1:17" x14ac:dyDescent="0.25">
      <c r="A394" s="239">
        <v>30434485</v>
      </c>
      <c r="B394" s="239" t="s">
        <v>1362</v>
      </c>
      <c r="C394" s="359">
        <f>IFERROR(VLOOKUP([1]!Tabla9[[CEDULA ]],[1]!LUNES[#Data],5,0),"No registró")</f>
        <v>0.30717592592592591</v>
      </c>
      <c r="D394" s="359">
        <f>IFERROR(LOOKUP(2,1/([1]!LUNES[[CEDULA ]]=[1]!Tabla9[[#This Row],[CEDULA ]]),[1]!LUNES[HORA]),"No registró")</f>
        <v>0.55523148148148149</v>
      </c>
      <c r="E394" s="359">
        <f>IFERROR(VLOOKUP([1]!Tabla9[[CEDULA ]],[1]!MARTES[#Data],5,0),"No registró")</f>
        <v>0.32065972222222222</v>
      </c>
      <c r="F394" s="359">
        <f>IFERROR(LOOKUP(2,1/([1]!MARTES[[CEDULA ]]=[1]!Tabla9[[#This Row],[CEDULA ]]),[1]!MARTES[HORA]),"No Registró")</f>
        <v>0.53425925925925932</v>
      </c>
      <c r="G394" s="359" t="str">
        <f>IFERROR(VLOOKUP([1]!Tabla9[[CEDULA ]],[1]!MIERCOLES[#Data],5,0),"No registró")</f>
        <v>No registró</v>
      </c>
      <c r="H394" s="359" t="str">
        <f>IFERROR(LOOKUP(2,1/([1]!MIERCOLES[[CEDULA ]]=[1]!Tabla9[[#This Row],[CEDULA ]]),[1]!MIERCOLES[HORA]),"No registró")</f>
        <v>No registró</v>
      </c>
      <c r="I394" s="359" t="str">
        <f>IFERROR(VLOOKUP([1]!Tabla9[[CEDULA ]],[1]!JUEVES[#Data],5,0),"No Registró")</f>
        <v>No Registró</v>
      </c>
      <c r="J394" s="359" t="str">
        <f>IFERROR(LOOKUP(2,1/([1]!JUEVES[[CEDULA ]]=[1]!Tabla9[[#This Row],[CEDULA ]]),[1]!JUEVES[HORA]),"No registró")</f>
        <v>No registró</v>
      </c>
      <c r="K394" s="359" t="str">
        <f>IFERROR(VLOOKUP([1]!Tabla9[[CEDULA ]],[1]!VIERNES[#Data],5,0),"No registró")</f>
        <v>No registró</v>
      </c>
      <c r="L394" s="359" t="str">
        <f>IFERROR(LOOKUP(2,1/([1]!VIERNES[[CEDULA ]]=[1]!Tabla9[[#This Row],[CEDULA ]]),[1]!VIERNES[HORA]),"No registró")</f>
        <v>No registró</v>
      </c>
      <c r="M394" s="359" t="str">
        <f>IFERROR(VLOOKUP([1]!Tabla9[[CEDULA ]],[1]!SABADO[#Data],5,0),"No registró")</f>
        <v>No registró</v>
      </c>
      <c r="N394" s="359" t="str">
        <f>IFERROR(LOOKUP(2,1/([1]!SABADO[[CEDULA ]]=[1]!Tabla9[[#This Row],[CEDULA ]]),[1]!SABADO[HORA]),"No registró")</f>
        <v>No registró</v>
      </c>
      <c r="O394" s="359" t="str">
        <f>IFERROR(VLOOKUP([1]!Tabla9[[CEDULA ]],[1]!DOMINGO[#Data],5,0),"No registró")</f>
        <v>No registró</v>
      </c>
      <c r="P394" s="359" t="str">
        <f>IFERROR(LOOKUP(2,1/([1]!DOMINGO[[CEDULA ]]=[1]!Tabla9[[#This Row],[CEDULA ]]),[1]!DOMINGO[HORA]),"No registró")</f>
        <v>No registró</v>
      </c>
      <c r="Q394" s="240" t="str">
        <f>IFERROR(VLOOKUP(A394,DATOS[],10,0),"")</f>
        <v/>
      </c>
    </row>
    <row r="395" spans="1:17" x14ac:dyDescent="0.25">
      <c r="A395" s="239">
        <v>30520646</v>
      </c>
      <c r="B395" s="239" t="s">
        <v>1363</v>
      </c>
      <c r="C395" s="359">
        <f>IFERROR(VLOOKUP([1]!Tabla9[[CEDULA ]],[1]!LUNES[#Data],5,0),"No registró")</f>
        <v>0.28076388888888887</v>
      </c>
      <c r="D395" s="359">
        <f>IFERROR(LOOKUP(2,1/([1]!LUNES[[CEDULA ]]=[1]!Tabla9[[#This Row],[CEDULA ]]),[1]!LUNES[HORA]),"No registró")</f>
        <v>0.55266203703703709</v>
      </c>
      <c r="E395" s="359">
        <f>IFERROR(VLOOKUP([1]!Tabla9[[CEDULA ]],[1]!MARTES[#Data],5,0),"No registró")</f>
        <v>0.28685185185185186</v>
      </c>
      <c r="F395" s="359">
        <f>IFERROR(LOOKUP(2,1/([1]!MARTES[[CEDULA ]]=[1]!Tabla9[[#This Row],[CEDULA ]]),[1]!MARTES[HORA]),"No Registró")</f>
        <v>0.55128472222222225</v>
      </c>
      <c r="G395" s="359" t="str">
        <f>IFERROR(VLOOKUP([1]!Tabla9[[CEDULA ]],[1]!MIERCOLES[#Data],5,0),"No registró")</f>
        <v>No registró</v>
      </c>
      <c r="H395" s="359" t="str">
        <f>IFERROR(LOOKUP(2,1/([1]!MIERCOLES[[CEDULA ]]=[1]!Tabla9[[#This Row],[CEDULA ]]),[1]!MIERCOLES[HORA]),"No registró")</f>
        <v>No registró</v>
      </c>
      <c r="I395" s="359" t="str">
        <f>IFERROR(VLOOKUP([1]!Tabla9[[CEDULA ]],[1]!JUEVES[#Data],5,0),"No Registró")</f>
        <v>No Registró</v>
      </c>
      <c r="J395" s="359" t="str">
        <f>IFERROR(LOOKUP(2,1/([1]!JUEVES[[CEDULA ]]=[1]!Tabla9[[#This Row],[CEDULA ]]),[1]!JUEVES[HORA]),"No registró")</f>
        <v>No registró</v>
      </c>
      <c r="K395" s="359" t="str">
        <f>IFERROR(VLOOKUP([1]!Tabla9[[CEDULA ]],[1]!VIERNES[#Data],5,0),"No registró")</f>
        <v>No registró</v>
      </c>
      <c r="L395" s="359" t="str">
        <f>IFERROR(LOOKUP(2,1/([1]!VIERNES[[CEDULA ]]=[1]!Tabla9[[#This Row],[CEDULA ]]),[1]!VIERNES[HORA]),"No registró")</f>
        <v>No registró</v>
      </c>
      <c r="M395" s="359" t="str">
        <f>IFERROR(VLOOKUP([1]!Tabla9[[CEDULA ]],[1]!SABADO[#Data],5,0),"No registró")</f>
        <v>No registró</v>
      </c>
      <c r="N395" s="359" t="str">
        <f>IFERROR(LOOKUP(2,1/([1]!SABADO[[CEDULA ]]=[1]!Tabla9[[#This Row],[CEDULA ]]),[1]!SABADO[HORA]),"No registró")</f>
        <v>No registró</v>
      </c>
      <c r="O395" s="359" t="str">
        <f>IFERROR(VLOOKUP([1]!Tabla9[[CEDULA ]],[1]!DOMINGO[#Data],5,0),"No registró")</f>
        <v>No registró</v>
      </c>
      <c r="P395" s="359" t="str">
        <f>IFERROR(LOOKUP(2,1/([1]!DOMINGO[[CEDULA ]]=[1]!Tabla9[[#This Row],[CEDULA ]]),[1]!DOMINGO[HORA]),"No registró")</f>
        <v>No registró</v>
      </c>
      <c r="Q395" s="240" t="str">
        <f>IFERROR(VLOOKUP(A395,DATOS[],10,0),"")</f>
        <v>2. CATIA</v>
      </c>
    </row>
    <row r="396" spans="1:17" x14ac:dyDescent="0.25">
      <c r="A396" s="239">
        <v>30565743</v>
      </c>
      <c r="B396" s="239" t="s">
        <v>1364</v>
      </c>
      <c r="C396" s="359">
        <f>IFERROR(VLOOKUP([1]!Tabla9[[CEDULA ]],[1]!LUNES[#Data],5,0),"No registró")</f>
        <v>0.28075231481481483</v>
      </c>
      <c r="D396" s="359">
        <f>IFERROR(LOOKUP(2,1/([1]!LUNES[[CEDULA ]]=[1]!Tabla9[[#This Row],[CEDULA ]]),[1]!LUNES[HORA]),"No registró")</f>
        <v>0.55008101851851854</v>
      </c>
      <c r="E396" s="359">
        <f>IFERROR(VLOOKUP([1]!Tabla9[[CEDULA ]],[1]!MARTES[#Data],5,0),"No registró")</f>
        <v>0.28689814814814812</v>
      </c>
      <c r="F396" s="359">
        <f>IFERROR(LOOKUP(2,1/([1]!MARTES[[CEDULA ]]=[1]!Tabla9[[#This Row],[CEDULA ]]),[1]!MARTES[HORA]),"No Registró")</f>
        <v>0.55012731481481481</v>
      </c>
      <c r="G396" s="359" t="str">
        <f>IFERROR(VLOOKUP([1]!Tabla9[[CEDULA ]],[1]!MIERCOLES[#Data],5,0),"No registró")</f>
        <v>No registró</v>
      </c>
      <c r="H396" s="359" t="str">
        <f>IFERROR(LOOKUP(2,1/([1]!MIERCOLES[[CEDULA ]]=[1]!Tabla9[[#This Row],[CEDULA ]]),[1]!MIERCOLES[HORA]),"No registró")</f>
        <v>No registró</v>
      </c>
      <c r="I396" s="359" t="str">
        <f>IFERROR(VLOOKUP([1]!Tabla9[[CEDULA ]],[1]!JUEVES[#Data],5,0),"No Registró")</f>
        <v>No Registró</v>
      </c>
      <c r="J396" s="359" t="str">
        <f>IFERROR(LOOKUP(2,1/([1]!JUEVES[[CEDULA ]]=[1]!Tabla9[[#This Row],[CEDULA ]]),[1]!JUEVES[HORA]),"No registró")</f>
        <v>No registró</v>
      </c>
      <c r="K396" s="359" t="str">
        <f>IFERROR(VLOOKUP([1]!Tabla9[[CEDULA ]],[1]!VIERNES[#Data],5,0),"No registró")</f>
        <v>No registró</v>
      </c>
      <c r="L396" s="359" t="str">
        <f>IFERROR(LOOKUP(2,1/([1]!VIERNES[[CEDULA ]]=[1]!Tabla9[[#This Row],[CEDULA ]]),[1]!VIERNES[HORA]),"No registró")</f>
        <v>No registró</v>
      </c>
      <c r="M396" s="359" t="str">
        <f>IFERROR(VLOOKUP([1]!Tabla9[[CEDULA ]],[1]!SABADO[#Data],5,0),"No registró")</f>
        <v>No registró</v>
      </c>
      <c r="N396" s="359" t="str">
        <f>IFERROR(LOOKUP(2,1/([1]!SABADO[[CEDULA ]]=[1]!Tabla9[[#This Row],[CEDULA ]]),[1]!SABADO[HORA]),"No registró")</f>
        <v>No registró</v>
      </c>
      <c r="O396" s="359" t="str">
        <f>IFERROR(VLOOKUP([1]!Tabla9[[CEDULA ]],[1]!DOMINGO[#Data],5,0),"No registró")</f>
        <v>No registró</v>
      </c>
      <c r="P396" s="359" t="str">
        <f>IFERROR(LOOKUP(2,1/([1]!DOMINGO[[CEDULA ]]=[1]!Tabla9[[#This Row],[CEDULA ]]),[1]!DOMINGO[HORA]),"No registró")</f>
        <v>No registró</v>
      </c>
      <c r="Q396" s="240" t="str">
        <f>IFERROR(VLOOKUP(A396,DATOS[],10,0),"")</f>
        <v>2. CATIA</v>
      </c>
    </row>
    <row r="397" spans="1:17" x14ac:dyDescent="0.25">
      <c r="A397" s="239">
        <v>30708991</v>
      </c>
      <c r="B397" s="239" t="s">
        <v>1365</v>
      </c>
      <c r="C397" s="359">
        <f>IFERROR(VLOOKUP([1]!Tabla9[[CEDULA ]],[1]!LUNES[#Data],5,0),"No registró")</f>
        <v>0.28076388888888887</v>
      </c>
      <c r="D397" s="359">
        <f>IFERROR(LOOKUP(2,1/([1]!LUNES[[CEDULA ]]=[1]!Tabla9[[#This Row],[CEDULA ]]),[1]!LUNES[HORA]),"No registró")</f>
        <v>0.55030092592592594</v>
      </c>
      <c r="E397" s="359">
        <f>IFERROR(VLOOKUP([1]!Tabla9[[CEDULA ]],[1]!MARTES[#Data],5,0),"No registró")</f>
        <v>0.28684027777777776</v>
      </c>
      <c r="F397" s="359">
        <f>IFERROR(LOOKUP(2,1/([1]!MARTES[[CEDULA ]]=[1]!Tabla9[[#This Row],[CEDULA ]]),[1]!MARTES[HORA]),"No Registró")</f>
        <v>0.55017361111111118</v>
      </c>
      <c r="G397" s="359" t="str">
        <f>IFERROR(VLOOKUP([1]!Tabla9[[CEDULA ]],[1]!MIERCOLES[#Data],5,0),"No registró")</f>
        <v>No registró</v>
      </c>
      <c r="H397" s="359" t="str">
        <f>IFERROR(LOOKUP(2,1/([1]!MIERCOLES[[CEDULA ]]=[1]!Tabla9[[#This Row],[CEDULA ]]),[1]!MIERCOLES[HORA]),"No registró")</f>
        <v>No registró</v>
      </c>
      <c r="I397" s="359" t="str">
        <f>IFERROR(VLOOKUP([1]!Tabla9[[CEDULA ]],[1]!JUEVES[#Data],5,0),"No Registró")</f>
        <v>No Registró</v>
      </c>
      <c r="J397" s="359" t="str">
        <f>IFERROR(LOOKUP(2,1/([1]!JUEVES[[CEDULA ]]=[1]!Tabla9[[#This Row],[CEDULA ]]),[1]!JUEVES[HORA]),"No registró")</f>
        <v>No registró</v>
      </c>
      <c r="K397" s="359" t="str">
        <f>IFERROR(VLOOKUP([1]!Tabla9[[CEDULA ]],[1]!VIERNES[#Data],5,0),"No registró")</f>
        <v>No registró</v>
      </c>
      <c r="L397" s="359" t="str">
        <f>IFERROR(LOOKUP(2,1/([1]!VIERNES[[CEDULA ]]=[1]!Tabla9[[#This Row],[CEDULA ]]),[1]!VIERNES[HORA]),"No registró")</f>
        <v>No registró</v>
      </c>
      <c r="M397" s="359" t="str">
        <f>IFERROR(VLOOKUP([1]!Tabla9[[CEDULA ]],[1]!SABADO[#Data],5,0),"No registró")</f>
        <v>No registró</v>
      </c>
      <c r="N397" s="359" t="str">
        <f>IFERROR(LOOKUP(2,1/([1]!SABADO[[CEDULA ]]=[1]!Tabla9[[#This Row],[CEDULA ]]),[1]!SABADO[HORA]),"No registró")</f>
        <v>No registró</v>
      </c>
      <c r="O397" s="359" t="str">
        <f>IFERROR(VLOOKUP([1]!Tabla9[[CEDULA ]],[1]!DOMINGO[#Data],5,0),"No registró")</f>
        <v>No registró</v>
      </c>
      <c r="P397" s="359" t="str">
        <f>IFERROR(LOOKUP(2,1/([1]!DOMINGO[[CEDULA ]]=[1]!Tabla9[[#This Row],[CEDULA ]]),[1]!DOMINGO[HORA]),"No registró")</f>
        <v>No registró</v>
      </c>
      <c r="Q397" s="240" t="str">
        <f>IFERROR(VLOOKUP(A397,DATOS[],10,0),"")</f>
        <v>2. CATIA</v>
      </c>
    </row>
    <row r="398" spans="1:17" x14ac:dyDescent="0.25">
      <c r="A398" s="239">
        <v>31902352</v>
      </c>
      <c r="B398" s="239" t="s">
        <v>1366</v>
      </c>
      <c r="C398" s="359">
        <f>IFERROR(VLOOKUP([1]!Tabla9[[CEDULA ]],[1]!LUNES[#Data],5,0),"No registró")</f>
        <v>0.27461805555555557</v>
      </c>
      <c r="D398" s="359">
        <f>IFERROR(LOOKUP(2,1/([1]!LUNES[[CEDULA ]]=[1]!Tabla9[[#This Row],[CEDULA ]]),[1]!LUNES[HORA]),"No registró")</f>
        <v>0.54780092592592589</v>
      </c>
      <c r="E398" s="359">
        <f>IFERROR(VLOOKUP([1]!Tabla9[[CEDULA ]],[1]!MARTES[#Data],5,0),"No registró")</f>
        <v>0.27706018518518521</v>
      </c>
      <c r="F398" s="359">
        <f>IFERROR(LOOKUP(2,1/([1]!MARTES[[CEDULA ]]=[1]!Tabla9[[#This Row],[CEDULA ]]),[1]!MARTES[HORA]),"No Registró")</f>
        <v>0.52546296296296291</v>
      </c>
      <c r="G398" s="359" t="str">
        <f>IFERROR(VLOOKUP([1]!Tabla9[[CEDULA ]],[1]!MIERCOLES[#Data],5,0),"No registró")</f>
        <v>No registró</v>
      </c>
      <c r="H398" s="359" t="str">
        <f>IFERROR(LOOKUP(2,1/([1]!MIERCOLES[[CEDULA ]]=[1]!Tabla9[[#This Row],[CEDULA ]]),[1]!MIERCOLES[HORA]),"No registró")</f>
        <v>No registró</v>
      </c>
      <c r="I398" s="359" t="str">
        <f>IFERROR(VLOOKUP([1]!Tabla9[[CEDULA ]],[1]!JUEVES[#Data],5,0),"No Registró")</f>
        <v>No Registró</v>
      </c>
      <c r="J398" s="359" t="str">
        <f>IFERROR(LOOKUP(2,1/([1]!JUEVES[[CEDULA ]]=[1]!Tabla9[[#This Row],[CEDULA ]]),[1]!JUEVES[HORA]),"No registró")</f>
        <v>No registró</v>
      </c>
      <c r="K398" s="359" t="str">
        <f>IFERROR(VLOOKUP([1]!Tabla9[[CEDULA ]],[1]!VIERNES[#Data],5,0),"No registró")</f>
        <v>No registró</v>
      </c>
      <c r="L398" s="359" t="str">
        <f>IFERROR(LOOKUP(2,1/([1]!VIERNES[[CEDULA ]]=[1]!Tabla9[[#This Row],[CEDULA ]]),[1]!VIERNES[HORA]),"No registró")</f>
        <v>No registró</v>
      </c>
      <c r="M398" s="359" t="str">
        <f>IFERROR(VLOOKUP([1]!Tabla9[[CEDULA ]],[1]!SABADO[#Data],5,0),"No registró")</f>
        <v>No registró</v>
      </c>
      <c r="N398" s="359" t="str">
        <f>IFERROR(LOOKUP(2,1/([1]!SABADO[[CEDULA ]]=[1]!Tabla9[[#This Row],[CEDULA ]]),[1]!SABADO[HORA]),"No registró")</f>
        <v>No registró</v>
      </c>
      <c r="O398" s="359" t="str">
        <f>IFERROR(VLOOKUP([1]!Tabla9[[CEDULA ]],[1]!DOMINGO[#Data],5,0),"No registró")</f>
        <v>No registró</v>
      </c>
      <c r="P398" s="359" t="str">
        <f>IFERROR(LOOKUP(2,1/([1]!DOMINGO[[CEDULA ]]=[1]!Tabla9[[#This Row],[CEDULA ]]),[1]!DOMINGO[HORA]),"No registró")</f>
        <v>No registró</v>
      </c>
      <c r="Q398" s="240" t="str">
        <f>IFERROR(VLOOKUP(A398,DATOS[],10,0),"")</f>
        <v/>
      </c>
    </row>
    <row r="399" spans="1:17" x14ac:dyDescent="0.25">
      <c r="A399" s="239">
        <v>31944877</v>
      </c>
      <c r="B399" s="239" t="s">
        <v>1367</v>
      </c>
      <c r="C399" s="359">
        <f>IFERROR(VLOOKUP([1]!Tabla9[[CEDULA ]],[1]!LUNES[#Data],5,0),"No registró")</f>
        <v>0.27835648148148145</v>
      </c>
      <c r="D399" s="359">
        <f>IFERROR(LOOKUP(2,1/([1]!LUNES[[CEDULA ]]=[1]!Tabla9[[#This Row],[CEDULA ]]),[1]!LUNES[HORA]),"No registró")</f>
        <v>0.54804398148148148</v>
      </c>
      <c r="E399" s="359">
        <f>IFERROR(VLOOKUP([1]!Tabla9[[CEDULA ]],[1]!MARTES[#Data],5,0),"No registró")</f>
        <v>0.27818287037037037</v>
      </c>
      <c r="F399" s="359">
        <f>IFERROR(LOOKUP(2,1/([1]!MARTES[[CEDULA ]]=[1]!Tabla9[[#This Row],[CEDULA ]]),[1]!MARTES[HORA]),"No Registró")</f>
        <v>0.5254050925925926</v>
      </c>
      <c r="G399" s="359" t="str">
        <f>IFERROR(VLOOKUP([1]!Tabla9[[CEDULA ]],[1]!MIERCOLES[#Data],5,0),"No registró")</f>
        <v>No registró</v>
      </c>
      <c r="H399" s="359" t="str">
        <f>IFERROR(LOOKUP(2,1/([1]!MIERCOLES[[CEDULA ]]=[1]!Tabla9[[#This Row],[CEDULA ]]),[1]!MIERCOLES[HORA]),"No registró")</f>
        <v>No registró</v>
      </c>
      <c r="I399" s="359" t="str">
        <f>IFERROR(VLOOKUP([1]!Tabla9[[CEDULA ]],[1]!JUEVES[#Data],5,0),"No Registró")</f>
        <v>No Registró</v>
      </c>
      <c r="J399" s="359" t="str">
        <f>IFERROR(LOOKUP(2,1/([1]!JUEVES[[CEDULA ]]=[1]!Tabla9[[#This Row],[CEDULA ]]),[1]!JUEVES[HORA]),"No registró")</f>
        <v>No registró</v>
      </c>
      <c r="K399" s="359" t="str">
        <f>IFERROR(VLOOKUP([1]!Tabla9[[CEDULA ]],[1]!VIERNES[#Data],5,0),"No registró")</f>
        <v>No registró</v>
      </c>
      <c r="L399" s="359" t="str">
        <f>IFERROR(LOOKUP(2,1/([1]!VIERNES[[CEDULA ]]=[1]!Tabla9[[#This Row],[CEDULA ]]),[1]!VIERNES[HORA]),"No registró")</f>
        <v>No registró</v>
      </c>
      <c r="M399" s="359" t="str">
        <f>IFERROR(VLOOKUP([1]!Tabla9[[CEDULA ]],[1]!SABADO[#Data],5,0),"No registró")</f>
        <v>No registró</v>
      </c>
      <c r="N399" s="359" t="str">
        <f>IFERROR(LOOKUP(2,1/([1]!SABADO[[CEDULA ]]=[1]!Tabla9[[#This Row],[CEDULA ]]),[1]!SABADO[HORA]),"No registró")</f>
        <v>No registró</v>
      </c>
      <c r="O399" s="359" t="str">
        <f>IFERROR(VLOOKUP([1]!Tabla9[[CEDULA ]],[1]!DOMINGO[#Data],5,0),"No registró")</f>
        <v>No registró</v>
      </c>
      <c r="P399" s="359" t="str">
        <f>IFERROR(LOOKUP(2,1/([1]!DOMINGO[[CEDULA ]]=[1]!Tabla9[[#This Row],[CEDULA ]]),[1]!DOMINGO[HORA]),"No registró")</f>
        <v>No registró</v>
      </c>
      <c r="Q399" s="240" t="str">
        <f>IFERROR(VLOOKUP(A399,DATOS[],10,0),"")</f>
        <v/>
      </c>
    </row>
    <row r="400" spans="1:17" x14ac:dyDescent="0.25">
      <c r="A400" s="239">
        <v>32493238</v>
      </c>
      <c r="B400" s="239" t="s">
        <v>1368</v>
      </c>
      <c r="C400" s="359">
        <f>IFERROR(VLOOKUP([1]!Tabla9[[CEDULA ]],[1]!LUNES[#Data],5,0),"No registró")</f>
        <v>0.28950231481481481</v>
      </c>
      <c r="D400" s="359">
        <f>IFERROR(LOOKUP(2,1/([1]!LUNES[[CEDULA ]]=[1]!Tabla9[[#This Row],[CEDULA ]]),[1]!LUNES[HORA]),"No registró")</f>
        <v>0.55603009259259262</v>
      </c>
      <c r="E400" s="359">
        <f>IFERROR(VLOOKUP([1]!Tabla9[[CEDULA ]],[1]!MARTES[#Data],5,0),"No registró")</f>
        <v>0.28190972222222221</v>
      </c>
      <c r="F400" s="359">
        <f>IFERROR(LOOKUP(2,1/([1]!MARTES[[CEDULA ]]=[1]!Tabla9[[#This Row],[CEDULA ]]),[1]!MARTES[HORA]),"No Registró")</f>
        <v>0.54181712962962958</v>
      </c>
      <c r="G400" s="359" t="str">
        <f>IFERROR(VLOOKUP([1]!Tabla9[[CEDULA ]],[1]!MIERCOLES[#Data],5,0),"No registró")</f>
        <v>No registró</v>
      </c>
      <c r="H400" s="359" t="str">
        <f>IFERROR(LOOKUP(2,1/([1]!MIERCOLES[[CEDULA ]]=[1]!Tabla9[[#This Row],[CEDULA ]]),[1]!MIERCOLES[HORA]),"No registró")</f>
        <v>No registró</v>
      </c>
      <c r="I400" s="359" t="str">
        <f>IFERROR(VLOOKUP([1]!Tabla9[[CEDULA ]],[1]!JUEVES[#Data],5,0),"No Registró")</f>
        <v>No Registró</v>
      </c>
      <c r="J400" s="359" t="str">
        <f>IFERROR(LOOKUP(2,1/([1]!JUEVES[[CEDULA ]]=[1]!Tabla9[[#This Row],[CEDULA ]]),[1]!JUEVES[HORA]),"No registró")</f>
        <v>No registró</v>
      </c>
      <c r="K400" s="359" t="str">
        <f>IFERROR(VLOOKUP([1]!Tabla9[[CEDULA ]],[1]!VIERNES[#Data],5,0),"No registró")</f>
        <v>No registró</v>
      </c>
      <c r="L400" s="359" t="str">
        <f>IFERROR(LOOKUP(2,1/([1]!VIERNES[[CEDULA ]]=[1]!Tabla9[[#This Row],[CEDULA ]]),[1]!VIERNES[HORA]),"No registró")</f>
        <v>No registró</v>
      </c>
      <c r="M400" s="359" t="str">
        <f>IFERROR(VLOOKUP([1]!Tabla9[[CEDULA ]],[1]!SABADO[#Data],5,0),"No registró")</f>
        <v>No registró</v>
      </c>
      <c r="N400" s="359" t="str">
        <f>IFERROR(LOOKUP(2,1/([1]!SABADO[[CEDULA ]]=[1]!Tabla9[[#This Row],[CEDULA ]]),[1]!SABADO[HORA]),"No registró")</f>
        <v>No registró</v>
      </c>
      <c r="O400" s="359" t="str">
        <f>IFERROR(VLOOKUP([1]!Tabla9[[CEDULA ]],[1]!DOMINGO[#Data],5,0),"No registró")</f>
        <v>No registró</v>
      </c>
      <c r="P400" s="359" t="str">
        <f>IFERROR(LOOKUP(2,1/([1]!DOMINGO[[CEDULA ]]=[1]!Tabla9[[#This Row],[CEDULA ]]),[1]!DOMINGO[HORA]),"No registró")</f>
        <v>No registró</v>
      </c>
      <c r="Q400" s="240" t="str">
        <f>IFERROR(VLOOKUP(A400,DATOS[],10,0),"")</f>
        <v/>
      </c>
    </row>
    <row r="401" spans="1:17" x14ac:dyDescent="0.25">
      <c r="A401" s="239">
        <v>32764359</v>
      </c>
      <c r="B401" s="239" t="s">
        <v>1369</v>
      </c>
      <c r="C401" s="359">
        <f>IFERROR(VLOOKUP([1]!Tabla9[[CEDULA ]],[1]!LUNES[#Data],5,0),"No registró")</f>
        <v>0.28160879629629632</v>
      </c>
      <c r="D401" s="359">
        <f>IFERROR(LOOKUP(2,1/([1]!LUNES[[CEDULA ]]=[1]!Tabla9[[#This Row],[CEDULA ]]),[1]!LUNES[HORA]),"No registró")</f>
        <v>0.55101851851851846</v>
      </c>
      <c r="E401" s="359" t="str">
        <f>IFERROR(VLOOKUP([1]!Tabla9[[CEDULA ]],[1]!MARTES[#Data],5,0),"No registró")</f>
        <v>No registró</v>
      </c>
      <c r="F401" s="359" t="str">
        <f>IFERROR(LOOKUP(2,1/([1]!MARTES[[CEDULA ]]=[1]!Tabla9[[#This Row],[CEDULA ]]),[1]!MARTES[HORA]),"No Registró")</f>
        <v>No Registró</v>
      </c>
      <c r="G401" s="359" t="str">
        <f>IFERROR(VLOOKUP([1]!Tabla9[[CEDULA ]],[1]!MIERCOLES[#Data],5,0),"No registró")</f>
        <v>No registró</v>
      </c>
      <c r="H401" s="359" t="str">
        <f>IFERROR(LOOKUP(2,1/([1]!MIERCOLES[[CEDULA ]]=[1]!Tabla9[[#This Row],[CEDULA ]]),[1]!MIERCOLES[HORA]),"No registró")</f>
        <v>No registró</v>
      </c>
      <c r="I401" s="359" t="str">
        <f>IFERROR(VLOOKUP([1]!Tabla9[[CEDULA ]],[1]!JUEVES[#Data],5,0),"No Registró")</f>
        <v>No Registró</v>
      </c>
      <c r="J401" s="359" t="str">
        <f>IFERROR(LOOKUP(2,1/([1]!JUEVES[[CEDULA ]]=[1]!Tabla9[[#This Row],[CEDULA ]]),[1]!JUEVES[HORA]),"No registró")</f>
        <v>No registró</v>
      </c>
      <c r="K401" s="359" t="str">
        <f>IFERROR(VLOOKUP([1]!Tabla9[[CEDULA ]],[1]!VIERNES[#Data],5,0),"No registró")</f>
        <v>No registró</v>
      </c>
      <c r="L401" s="359" t="str">
        <f>IFERROR(LOOKUP(2,1/([1]!VIERNES[[CEDULA ]]=[1]!Tabla9[[#This Row],[CEDULA ]]),[1]!VIERNES[HORA]),"No registró")</f>
        <v>No registró</v>
      </c>
      <c r="M401" s="359" t="str">
        <f>IFERROR(VLOOKUP([1]!Tabla9[[CEDULA ]],[1]!SABADO[#Data],5,0),"No registró")</f>
        <v>No registró</v>
      </c>
      <c r="N401" s="359" t="str">
        <f>IFERROR(LOOKUP(2,1/([1]!SABADO[[CEDULA ]]=[1]!Tabla9[[#This Row],[CEDULA ]]),[1]!SABADO[HORA]),"No registró")</f>
        <v>No registró</v>
      </c>
      <c r="O401" s="359" t="str">
        <f>IFERROR(VLOOKUP([1]!Tabla9[[CEDULA ]],[1]!DOMINGO[#Data],5,0),"No registró")</f>
        <v>No registró</v>
      </c>
      <c r="P401" s="359" t="str">
        <f>IFERROR(LOOKUP(2,1/([1]!DOMINGO[[CEDULA ]]=[1]!Tabla9[[#This Row],[CEDULA ]]),[1]!DOMINGO[HORA]),"No registró")</f>
        <v>No registró</v>
      </c>
      <c r="Q401" s="240" t="str">
        <f>IFERROR(VLOOKUP(A401,DATOS[],10,0),"")</f>
        <v/>
      </c>
    </row>
    <row r="402" spans="1:17" x14ac:dyDescent="0.25">
      <c r="A402" s="239">
        <v>32786757</v>
      </c>
      <c r="B402" s="239" t="s">
        <v>1370</v>
      </c>
      <c r="C402" s="359">
        <f>IFERROR(VLOOKUP([1]!Tabla9[[CEDULA ]],[1]!LUNES[#Data],5,0),"No registró")</f>
        <v>0.30928240740740742</v>
      </c>
      <c r="D402" s="359">
        <f>IFERROR(LOOKUP(2,1/([1]!LUNES[[CEDULA ]]=[1]!Tabla9[[#This Row],[CEDULA ]]),[1]!LUNES[HORA]),"No registró")</f>
        <v>0.5567361111111111</v>
      </c>
      <c r="E402" s="359">
        <f>IFERROR(VLOOKUP([1]!Tabla9[[CEDULA ]],[1]!MARTES[#Data],5,0),"No registró")</f>
        <v>0.33814814814814814</v>
      </c>
      <c r="F402" s="359">
        <f>IFERROR(LOOKUP(2,1/([1]!MARTES[[CEDULA ]]=[1]!Tabla9[[#This Row],[CEDULA ]]),[1]!MARTES[HORA]),"No Registró")</f>
        <v>0.55704861111111115</v>
      </c>
      <c r="G402" s="359" t="str">
        <f>IFERROR(VLOOKUP([1]!Tabla9[[CEDULA ]],[1]!MIERCOLES[#Data],5,0),"No registró")</f>
        <v>No registró</v>
      </c>
      <c r="H402" s="359" t="str">
        <f>IFERROR(LOOKUP(2,1/([1]!MIERCOLES[[CEDULA ]]=[1]!Tabla9[[#This Row],[CEDULA ]]),[1]!MIERCOLES[HORA]),"No registró")</f>
        <v>No registró</v>
      </c>
      <c r="I402" s="359" t="str">
        <f>IFERROR(VLOOKUP([1]!Tabla9[[CEDULA ]],[1]!JUEVES[#Data],5,0),"No Registró")</f>
        <v>No Registró</v>
      </c>
      <c r="J402" s="359" t="str">
        <f>IFERROR(LOOKUP(2,1/([1]!JUEVES[[CEDULA ]]=[1]!Tabla9[[#This Row],[CEDULA ]]),[1]!JUEVES[HORA]),"No registró")</f>
        <v>No registró</v>
      </c>
      <c r="K402" s="359" t="str">
        <f>IFERROR(VLOOKUP([1]!Tabla9[[CEDULA ]],[1]!VIERNES[#Data],5,0),"No registró")</f>
        <v>No registró</v>
      </c>
      <c r="L402" s="359" t="str">
        <f>IFERROR(LOOKUP(2,1/([1]!VIERNES[[CEDULA ]]=[1]!Tabla9[[#This Row],[CEDULA ]]),[1]!VIERNES[HORA]),"No registró")</f>
        <v>No registró</v>
      </c>
      <c r="M402" s="359" t="str">
        <f>IFERROR(VLOOKUP([1]!Tabla9[[CEDULA ]],[1]!SABADO[#Data],5,0),"No registró")</f>
        <v>No registró</v>
      </c>
      <c r="N402" s="359" t="str">
        <f>IFERROR(LOOKUP(2,1/([1]!SABADO[[CEDULA ]]=[1]!Tabla9[[#This Row],[CEDULA ]]),[1]!SABADO[HORA]),"No registró")</f>
        <v>No registró</v>
      </c>
      <c r="O402" s="359" t="str">
        <f>IFERROR(VLOOKUP([1]!Tabla9[[CEDULA ]],[1]!DOMINGO[#Data],5,0),"No registró")</f>
        <v>No registró</v>
      </c>
      <c r="P402" s="359" t="str">
        <f>IFERROR(LOOKUP(2,1/([1]!DOMINGO[[CEDULA ]]=[1]!Tabla9[[#This Row],[CEDULA ]]),[1]!DOMINGO[HORA]),"No registró")</f>
        <v>No registró</v>
      </c>
      <c r="Q402" s="240" t="str">
        <f>IFERROR(VLOOKUP(A402,DATOS[],10,0),"")</f>
        <v/>
      </c>
    </row>
    <row r="403" spans="1:17" x14ac:dyDescent="0.25">
      <c r="A403" s="239">
        <v>33396857</v>
      </c>
      <c r="B403" s="239" t="s">
        <v>1371</v>
      </c>
      <c r="C403" s="359">
        <f>IFERROR(VLOOKUP([1]!Tabla9[[CEDULA ]],[1]!LUNES[#Data],5,0),"No registró")</f>
        <v>0.28206018518518516</v>
      </c>
      <c r="D403" s="359">
        <f>IFERROR(LOOKUP(2,1/([1]!LUNES[[CEDULA ]]=[1]!Tabla9[[#This Row],[CEDULA ]]),[1]!LUNES[HORA]),"No registró")</f>
        <v>0.55413194444444447</v>
      </c>
      <c r="E403" s="359">
        <f>IFERROR(VLOOKUP([1]!Tabla9[[CEDULA ]],[1]!MARTES[#Data],5,0),"No registró")</f>
        <v>0.28196759259259258</v>
      </c>
      <c r="F403" s="359">
        <f>IFERROR(LOOKUP(2,1/([1]!MARTES[[CEDULA ]]=[1]!Tabla9[[#This Row],[CEDULA ]]),[1]!MARTES[HORA]),"No Registró")</f>
        <v>0.55305555555555552</v>
      </c>
      <c r="G403" s="359" t="str">
        <f>IFERROR(VLOOKUP([1]!Tabla9[[CEDULA ]],[1]!MIERCOLES[#Data],5,0),"No registró")</f>
        <v>No registró</v>
      </c>
      <c r="H403" s="359" t="str">
        <f>IFERROR(LOOKUP(2,1/([1]!MIERCOLES[[CEDULA ]]=[1]!Tabla9[[#This Row],[CEDULA ]]),[1]!MIERCOLES[HORA]),"No registró")</f>
        <v>No registró</v>
      </c>
      <c r="I403" s="359" t="str">
        <f>IFERROR(VLOOKUP([1]!Tabla9[[CEDULA ]],[1]!JUEVES[#Data],5,0),"No Registró")</f>
        <v>No Registró</v>
      </c>
      <c r="J403" s="359" t="str">
        <f>IFERROR(LOOKUP(2,1/([1]!JUEVES[[CEDULA ]]=[1]!Tabla9[[#This Row],[CEDULA ]]),[1]!JUEVES[HORA]),"No registró")</f>
        <v>No registró</v>
      </c>
      <c r="K403" s="359">
        <f>IFERROR(VLOOKUP([1]!Tabla9[[CEDULA ]],[1]!VIERNES[#Data],5,0),"No registró")</f>
        <v>0.3524768518518519</v>
      </c>
      <c r="L403" s="359">
        <f>IFERROR(LOOKUP(2,1/([1]!VIERNES[[CEDULA ]]=[1]!Tabla9[[#This Row],[CEDULA ]]),[1]!VIERNES[HORA]),"No registró")</f>
        <v>0.55641203703703701</v>
      </c>
      <c r="M403" s="359" t="str">
        <f>IFERROR(VLOOKUP([1]!Tabla9[[CEDULA ]],[1]!SABADO[#Data],5,0),"No registró")</f>
        <v>No registró</v>
      </c>
      <c r="N403" s="359" t="str">
        <f>IFERROR(LOOKUP(2,1/([1]!SABADO[[CEDULA ]]=[1]!Tabla9[[#This Row],[CEDULA ]]),[1]!SABADO[HORA]),"No registró")</f>
        <v>No registró</v>
      </c>
      <c r="O403" s="359" t="str">
        <f>IFERROR(VLOOKUP([1]!Tabla9[[CEDULA ]],[1]!DOMINGO[#Data],5,0),"No registró")</f>
        <v>No registró</v>
      </c>
      <c r="P403" s="359" t="str">
        <f>IFERROR(LOOKUP(2,1/([1]!DOMINGO[[CEDULA ]]=[1]!Tabla9[[#This Row],[CEDULA ]]),[1]!DOMINGO[HORA]),"No registró")</f>
        <v>No registró</v>
      </c>
      <c r="Q403" s="240" t="str">
        <f>IFERROR(VLOOKUP(A403,DATOS[],10,0),"")</f>
        <v>5. GUARENAS</v>
      </c>
    </row>
    <row r="404" spans="1:17" x14ac:dyDescent="0.25">
      <c r="A404" s="238"/>
      <c r="B404" s="239"/>
      <c r="C404" s="246"/>
      <c r="D404" s="246"/>
      <c r="E404" s="246"/>
      <c r="F404" s="246"/>
      <c r="G404" s="246"/>
      <c r="H404" s="246"/>
      <c r="I404" s="246"/>
      <c r="J404" s="246"/>
      <c r="K404" s="246"/>
      <c r="L404" s="246"/>
      <c r="M404" s="246"/>
      <c r="N404" s="246"/>
      <c r="O404" s="246"/>
      <c r="P404" s="246"/>
      <c r="Q404" s="240" t="str">
        <f>IFERROR(VLOOKUP(A404,DATOS[],10,0),"")</f>
        <v/>
      </c>
    </row>
    <row r="405" spans="1:17" x14ac:dyDescent="0.25">
      <c r="A405" s="238"/>
      <c r="B405" s="239"/>
      <c r="C405" s="246"/>
      <c r="D405" s="246"/>
      <c r="E405" s="246"/>
      <c r="F405" s="246"/>
      <c r="G405" s="246"/>
      <c r="H405" s="246"/>
      <c r="I405" s="246"/>
      <c r="J405" s="246"/>
      <c r="K405" s="246"/>
      <c r="L405" s="246"/>
      <c r="M405" s="246"/>
      <c r="N405" s="246"/>
      <c r="O405" s="246"/>
      <c r="P405" s="246"/>
      <c r="Q405" s="240" t="str">
        <f>IFERROR(VLOOKUP(A405,DATOS[],10,0),"")</f>
        <v/>
      </c>
    </row>
    <row r="406" spans="1:17" x14ac:dyDescent="0.25">
      <c r="A406" s="238"/>
      <c r="B406" s="239"/>
      <c r="C406" s="246"/>
      <c r="D406" s="246"/>
      <c r="E406" s="246"/>
      <c r="F406" s="246"/>
      <c r="G406" s="246"/>
      <c r="H406" s="246"/>
      <c r="I406" s="246"/>
      <c r="J406" s="246"/>
      <c r="K406" s="246"/>
      <c r="L406" s="246"/>
      <c r="M406" s="246"/>
      <c r="N406" s="246"/>
      <c r="O406" s="246"/>
      <c r="P406" s="246"/>
      <c r="Q406" s="240" t="str">
        <f>IFERROR(VLOOKUP(A406,DATOS[],10,0),"")</f>
        <v/>
      </c>
    </row>
    <row r="407" spans="1:17" x14ac:dyDescent="0.25">
      <c r="A407" s="238"/>
      <c r="B407" s="239"/>
      <c r="C407" s="246"/>
      <c r="D407" s="246"/>
      <c r="E407" s="246"/>
      <c r="F407" s="246"/>
      <c r="G407" s="246"/>
      <c r="H407" s="246"/>
      <c r="I407" s="246"/>
      <c r="J407" s="246"/>
      <c r="K407" s="246"/>
      <c r="L407" s="246"/>
      <c r="M407" s="246"/>
      <c r="N407" s="246"/>
      <c r="O407" s="246"/>
      <c r="P407" s="246"/>
      <c r="Q407" s="240" t="str">
        <f>IFERROR(VLOOKUP(A407,DATOS[],10,0),"")</f>
        <v/>
      </c>
    </row>
    <row r="408" spans="1:17" x14ac:dyDescent="0.25">
      <c r="A408" s="238"/>
      <c r="B408" s="239"/>
      <c r="C408" s="246"/>
      <c r="D408" s="246"/>
      <c r="E408" s="246"/>
      <c r="F408" s="246"/>
      <c r="G408" s="246"/>
      <c r="H408" s="246"/>
      <c r="I408" s="246"/>
      <c r="J408" s="246"/>
      <c r="K408" s="246"/>
      <c r="L408" s="246"/>
      <c r="M408" s="246"/>
      <c r="N408" s="246"/>
      <c r="O408" s="246"/>
      <c r="P408" s="246"/>
      <c r="Q408" s="240" t="str">
        <f>IFERROR(VLOOKUP(A408,DATOS[],10,0),"")</f>
        <v/>
      </c>
    </row>
    <row r="409" spans="1:17" x14ac:dyDescent="0.25">
      <c r="A409" s="238"/>
      <c r="B409" s="239"/>
      <c r="C409" s="246"/>
      <c r="D409" s="246"/>
      <c r="E409" s="246"/>
      <c r="F409" s="246"/>
      <c r="G409" s="246"/>
      <c r="H409" s="246"/>
      <c r="I409" s="246"/>
      <c r="J409" s="246"/>
      <c r="K409" s="246"/>
      <c r="L409" s="246"/>
      <c r="M409" s="246"/>
      <c r="N409" s="246"/>
      <c r="O409" s="246"/>
      <c r="P409" s="246"/>
      <c r="Q409" s="240" t="str">
        <f>IFERROR(VLOOKUP(A409,DATOS[],10,0),"")</f>
        <v/>
      </c>
    </row>
    <row r="410" spans="1:17" x14ac:dyDescent="0.25">
      <c r="A410" s="238"/>
      <c r="B410" s="239"/>
      <c r="C410" s="246"/>
      <c r="D410" s="246"/>
      <c r="E410" s="246"/>
      <c r="F410" s="246"/>
      <c r="G410" s="246"/>
      <c r="H410" s="246"/>
      <c r="I410" s="246"/>
      <c r="J410" s="246"/>
      <c r="K410" s="246"/>
      <c r="L410" s="246"/>
      <c r="M410" s="246"/>
      <c r="N410" s="246"/>
      <c r="O410" s="246"/>
      <c r="P410" s="246"/>
      <c r="Q410" s="240" t="str">
        <f>IFERROR(VLOOKUP(A410,DATOS[],10,0),"")</f>
        <v/>
      </c>
    </row>
    <row r="411" spans="1:17" x14ac:dyDescent="0.25">
      <c r="A411" s="238"/>
      <c r="B411" s="239"/>
      <c r="C411" s="246"/>
      <c r="D411" s="246"/>
      <c r="E411" s="246"/>
      <c r="F411" s="246"/>
      <c r="G411" s="246"/>
      <c r="H411" s="246"/>
      <c r="I411" s="246"/>
      <c r="J411" s="246"/>
      <c r="K411" s="246"/>
      <c r="L411" s="246"/>
      <c r="M411" s="246"/>
      <c r="N411" s="246"/>
      <c r="O411" s="246"/>
      <c r="P411" s="246"/>
      <c r="Q411" s="240" t="str">
        <f>IFERROR(VLOOKUP(A411,DATOS[],10,0),"")</f>
        <v/>
      </c>
    </row>
    <row r="412" spans="1:17" x14ac:dyDescent="0.25">
      <c r="A412" s="238"/>
      <c r="B412" s="239"/>
      <c r="C412" s="246"/>
      <c r="D412" s="246"/>
      <c r="E412" s="246"/>
      <c r="F412" s="246"/>
      <c r="G412" s="246"/>
      <c r="H412" s="246"/>
      <c r="I412" s="246"/>
      <c r="J412" s="246"/>
      <c r="K412" s="246"/>
      <c r="L412" s="246"/>
      <c r="M412" s="246"/>
      <c r="N412" s="246"/>
      <c r="O412" s="246"/>
      <c r="P412" s="246"/>
      <c r="Q412" s="240" t="str">
        <f>IFERROR(VLOOKUP(A412,DATOS[],10,0),"")</f>
        <v/>
      </c>
    </row>
    <row r="413" spans="1:17" x14ac:dyDescent="0.25">
      <c r="A413" s="238"/>
      <c r="B413" s="239"/>
      <c r="C413" s="246"/>
      <c r="D413" s="246"/>
      <c r="E413" s="246"/>
      <c r="F413" s="246"/>
      <c r="G413" s="246"/>
      <c r="H413" s="246"/>
      <c r="I413" s="246"/>
      <c r="J413" s="246"/>
      <c r="K413" s="246"/>
      <c r="L413" s="246"/>
      <c r="M413" s="246"/>
      <c r="N413" s="246"/>
      <c r="O413" s="246"/>
      <c r="P413" s="246"/>
      <c r="Q413" s="240" t="str">
        <f>IFERROR(VLOOKUP(A413,DATOS[],10,0),"")</f>
        <v/>
      </c>
    </row>
    <row r="414" spans="1:17" x14ac:dyDescent="0.25">
      <c r="A414" s="238"/>
      <c r="B414" s="239"/>
      <c r="C414" s="246"/>
      <c r="D414" s="246"/>
      <c r="E414" s="246"/>
      <c r="F414" s="246"/>
      <c r="G414" s="246"/>
      <c r="H414" s="246"/>
      <c r="I414" s="246"/>
      <c r="J414" s="246"/>
      <c r="K414" s="246"/>
      <c r="L414" s="246"/>
      <c r="M414" s="246"/>
      <c r="N414" s="246"/>
      <c r="O414" s="246"/>
      <c r="P414" s="246"/>
      <c r="Q414" s="240" t="str">
        <f>IFERROR(VLOOKUP(A414,DATOS[],10,0),"")</f>
        <v/>
      </c>
    </row>
    <row r="415" spans="1:17" x14ac:dyDescent="0.25">
      <c r="A415" s="238"/>
      <c r="B415" s="239"/>
      <c r="C415" s="246"/>
      <c r="D415" s="246"/>
      <c r="E415" s="246"/>
      <c r="F415" s="246"/>
      <c r="G415" s="246"/>
      <c r="H415" s="246"/>
      <c r="I415" s="246"/>
      <c r="J415" s="246"/>
      <c r="K415" s="246"/>
      <c r="L415" s="246"/>
      <c r="M415" s="246"/>
      <c r="N415" s="246"/>
      <c r="O415" s="246"/>
      <c r="P415" s="246"/>
      <c r="Q415" s="240" t="str">
        <f>IFERROR(VLOOKUP(A415,DATOS[],10,0),"")</f>
        <v/>
      </c>
    </row>
    <row r="416" spans="1:17" x14ac:dyDescent="0.25">
      <c r="A416" s="238"/>
      <c r="B416" s="239"/>
      <c r="C416" s="246"/>
      <c r="D416" s="246"/>
      <c r="E416" s="246"/>
      <c r="F416" s="246"/>
      <c r="G416" s="246"/>
      <c r="H416" s="246"/>
      <c r="I416" s="246"/>
      <c r="J416" s="246"/>
      <c r="K416" s="246"/>
      <c r="L416" s="246"/>
      <c r="M416" s="246"/>
      <c r="N416" s="246"/>
      <c r="O416" s="246"/>
      <c r="P416" s="246"/>
      <c r="Q416" s="240" t="str">
        <f>IFERROR(VLOOKUP(A416,DATOS[],10,0),"")</f>
        <v/>
      </c>
    </row>
    <row r="417" spans="1:18" x14ac:dyDescent="0.25">
      <c r="A417" s="238"/>
      <c r="B417" s="239"/>
      <c r="C417" s="246"/>
      <c r="D417" s="246"/>
      <c r="E417" s="246"/>
      <c r="F417" s="246"/>
      <c r="G417" s="246"/>
      <c r="H417" s="246"/>
      <c r="I417" s="246"/>
      <c r="J417" s="246"/>
      <c r="K417" s="246"/>
      <c r="L417" s="246"/>
      <c r="M417" s="246"/>
      <c r="N417" s="246"/>
      <c r="O417" s="246"/>
      <c r="P417" s="246"/>
      <c r="Q417" s="240" t="str">
        <f>IFERROR(VLOOKUP(A417,DATOS[],10,0),"")</f>
        <v/>
      </c>
    </row>
    <row r="418" spans="1:18" x14ac:dyDescent="0.25">
      <c r="A418" s="238"/>
      <c r="B418" s="239"/>
      <c r="C418" s="246"/>
      <c r="D418" s="246"/>
      <c r="E418" s="246"/>
      <c r="F418" s="246"/>
      <c r="G418" s="246"/>
      <c r="H418" s="246"/>
      <c r="I418" s="246"/>
      <c r="J418" s="246"/>
      <c r="K418" s="246"/>
      <c r="L418" s="246"/>
      <c r="M418" s="246"/>
      <c r="N418" s="246"/>
      <c r="O418" s="246"/>
      <c r="P418" s="246"/>
      <c r="Q418" s="240" t="str">
        <f>IFERROR(VLOOKUP(A418,DATOS[],10,0),"")</f>
        <v/>
      </c>
    </row>
    <row r="419" spans="1:18" x14ac:dyDescent="0.25">
      <c r="A419" s="238"/>
      <c r="B419" s="239"/>
      <c r="C419" s="246"/>
      <c r="D419" s="246"/>
      <c r="E419" s="246"/>
      <c r="F419" s="246"/>
      <c r="G419" s="246"/>
      <c r="H419" s="246"/>
      <c r="I419" s="246"/>
      <c r="J419" s="246"/>
      <c r="K419" s="246"/>
      <c r="L419" s="246"/>
      <c r="M419" s="246"/>
      <c r="N419" s="246"/>
      <c r="O419" s="246"/>
      <c r="P419" s="246"/>
      <c r="Q419" s="240" t="str">
        <f>IFERROR(VLOOKUP(A419,DATOS[],10,0),"")</f>
        <v/>
      </c>
    </row>
    <row r="420" spans="1:18" x14ac:dyDescent="0.25">
      <c r="A420" s="238"/>
      <c r="B420" s="239"/>
      <c r="C420" s="246"/>
      <c r="D420" s="246"/>
      <c r="E420" s="246"/>
      <c r="F420" s="246"/>
      <c r="G420" s="246"/>
      <c r="H420" s="246"/>
      <c r="I420" s="246"/>
      <c r="J420" s="246"/>
      <c r="K420" s="246"/>
      <c r="L420" s="246"/>
      <c r="M420" s="246"/>
      <c r="N420" s="246"/>
      <c r="O420" s="246"/>
      <c r="P420" s="246"/>
      <c r="Q420" s="240" t="str">
        <f>IFERROR(VLOOKUP(A420,DATOS[],10,0),"")</f>
        <v/>
      </c>
    </row>
    <row r="421" spans="1:18" x14ac:dyDescent="0.25">
      <c r="A421" s="238"/>
      <c r="B421" s="239"/>
      <c r="C421" s="246"/>
      <c r="D421" s="246"/>
      <c r="E421" s="246"/>
      <c r="F421" s="246"/>
      <c r="G421" s="246"/>
      <c r="H421" s="246"/>
      <c r="I421" s="246"/>
      <c r="J421" s="246"/>
      <c r="K421" s="246"/>
      <c r="L421" s="246"/>
      <c r="M421" s="246"/>
      <c r="N421" s="246"/>
      <c r="O421" s="246"/>
      <c r="P421" s="246"/>
      <c r="Q421" s="240" t="str">
        <f>IFERROR(VLOOKUP(A421,DATOS[],10,0),"")</f>
        <v/>
      </c>
    </row>
    <row r="422" spans="1:18" s="104" customFormat="1" x14ac:dyDescent="0.25">
      <c r="A422" s="238"/>
      <c r="B422" s="239"/>
      <c r="C422" s="246"/>
      <c r="D422" s="246"/>
      <c r="E422" s="246"/>
      <c r="F422" s="246"/>
      <c r="G422" s="246"/>
      <c r="H422" s="246"/>
      <c r="I422" s="246"/>
      <c r="J422" s="246"/>
      <c r="K422" s="246"/>
      <c r="L422" s="246"/>
      <c r="M422" s="246"/>
      <c r="N422" s="246"/>
      <c r="O422" s="246"/>
      <c r="P422" s="246"/>
      <c r="Q422" s="240" t="str">
        <f>IFERROR(VLOOKUP(A422,DATOS[],10,0),"")</f>
        <v/>
      </c>
      <c r="R422" s="139"/>
    </row>
    <row r="423" spans="1:18" x14ac:dyDescent="0.25">
      <c r="A423" s="238"/>
      <c r="B423" s="239"/>
      <c r="C423" s="246"/>
      <c r="D423" s="246"/>
      <c r="E423" s="246"/>
      <c r="F423" s="246"/>
      <c r="G423" s="246"/>
      <c r="H423" s="246"/>
      <c r="I423" s="246"/>
      <c r="J423" s="246"/>
      <c r="K423" s="246"/>
      <c r="L423" s="246"/>
      <c r="M423" s="246"/>
      <c r="N423" s="246"/>
      <c r="O423" s="246"/>
      <c r="P423" s="246"/>
      <c r="Q423" s="240" t="str">
        <f>IFERROR(VLOOKUP(A423,DATOS[],10,0),"")</f>
        <v/>
      </c>
    </row>
    <row r="424" spans="1:18" x14ac:dyDescent="0.25">
      <c r="A424" s="238"/>
      <c r="B424" s="239"/>
      <c r="C424" s="246"/>
      <c r="D424" s="246"/>
      <c r="E424" s="246"/>
      <c r="F424" s="246"/>
      <c r="G424" s="246"/>
      <c r="H424" s="246"/>
      <c r="I424" s="246"/>
      <c r="J424" s="246"/>
      <c r="K424" s="246"/>
      <c r="L424" s="246"/>
      <c r="M424" s="246"/>
      <c r="N424" s="246"/>
      <c r="O424" s="246"/>
      <c r="P424" s="246"/>
      <c r="Q424" s="240" t="str">
        <f>IFERROR(VLOOKUP(A424,DATOS[],10,0),"")</f>
        <v/>
      </c>
    </row>
    <row r="425" spans="1:18" x14ac:dyDescent="0.25">
      <c r="A425" s="238"/>
      <c r="B425" s="239"/>
      <c r="C425" s="246"/>
      <c r="D425" s="246"/>
      <c r="E425" s="246"/>
      <c r="F425" s="246"/>
      <c r="G425" s="246"/>
      <c r="H425" s="246"/>
      <c r="I425" s="246"/>
      <c r="J425" s="246"/>
      <c r="K425" s="246"/>
      <c r="L425" s="246"/>
      <c r="M425" s="246"/>
      <c r="N425" s="246"/>
      <c r="O425" s="246"/>
      <c r="P425" s="246"/>
      <c r="Q425" s="240" t="str">
        <f>IFERROR(VLOOKUP(A425,DATOS[],10,0),"")</f>
        <v/>
      </c>
    </row>
    <row r="426" spans="1:18" x14ac:dyDescent="0.25">
      <c r="A426" s="238"/>
      <c r="B426" s="239"/>
      <c r="C426" s="246"/>
      <c r="D426" s="246"/>
      <c r="E426" s="246"/>
      <c r="F426" s="246"/>
      <c r="G426" s="246"/>
      <c r="H426" s="246"/>
      <c r="I426" s="246"/>
      <c r="J426" s="246"/>
      <c r="K426" s="246"/>
      <c r="L426" s="246"/>
      <c r="M426" s="246"/>
      <c r="N426" s="246"/>
      <c r="O426" s="246"/>
      <c r="P426" s="246"/>
      <c r="Q426" s="240" t="str">
        <f>IFERROR(VLOOKUP(A426,DATOS[],10,0),"")</f>
        <v/>
      </c>
    </row>
    <row r="427" spans="1:18" x14ac:dyDescent="0.25">
      <c r="A427" s="238"/>
      <c r="B427" s="239"/>
      <c r="C427" s="246"/>
      <c r="D427" s="246"/>
      <c r="E427" s="246"/>
      <c r="F427" s="246"/>
      <c r="G427" s="246"/>
      <c r="H427" s="246"/>
      <c r="I427" s="246"/>
      <c r="J427" s="246"/>
      <c r="K427" s="246"/>
      <c r="L427" s="246"/>
      <c r="M427" s="246"/>
      <c r="N427" s="246"/>
      <c r="O427" s="246"/>
      <c r="P427" s="246"/>
      <c r="Q427" s="240" t="str">
        <f>IFERROR(VLOOKUP(A427,DATOS[],10,0),"")</f>
        <v/>
      </c>
    </row>
    <row r="428" spans="1:18" x14ac:dyDescent="0.25">
      <c r="A428" s="238"/>
      <c r="B428" s="239"/>
      <c r="C428" s="246"/>
      <c r="D428" s="246"/>
      <c r="E428" s="246"/>
      <c r="F428" s="246"/>
      <c r="G428" s="246"/>
      <c r="H428" s="246"/>
      <c r="I428" s="246"/>
      <c r="J428" s="246"/>
      <c r="K428" s="246"/>
      <c r="L428" s="246"/>
      <c r="M428" s="246"/>
      <c r="N428" s="246"/>
      <c r="O428" s="246"/>
      <c r="P428" s="246"/>
      <c r="Q428" s="240" t="str">
        <f>IFERROR(VLOOKUP(A428,DATOS[],10,0),"")</f>
        <v/>
      </c>
    </row>
    <row r="429" spans="1:18" x14ac:dyDescent="0.25">
      <c r="A429" s="238"/>
      <c r="B429" s="239"/>
      <c r="C429" s="246"/>
      <c r="D429" s="246"/>
      <c r="E429" s="246"/>
      <c r="F429" s="246"/>
      <c r="G429" s="246"/>
      <c r="H429" s="246"/>
      <c r="I429" s="246"/>
      <c r="J429" s="246"/>
      <c r="K429" s="246"/>
      <c r="L429" s="246"/>
      <c r="M429" s="246"/>
      <c r="N429" s="246"/>
      <c r="O429" s="246"/>
      <c r="P429" s="246"/>
      <c r="Q429" s="240" t="str">
        <f>IFERROR(VLOOKUP(A429,DATOS[],10,0),"")</f>
        <v/>
      </c>
    </row>
    <row r="430" spans="1:18" x14ac:dyDescent="0.25">
      <c r="A430" s="238"/>
      <c r="B430" s="239"/>
      <c r="C430" s="246"/>
      <c r="D430" s="246"/>
      <c r="E430" s="246"/>
      <c r="F430" s="246"/>
      <c r="G430" s="246"/>
      <c r="H430" s="246"/>
      <c r="I430" s="246"/>
      <c r="J430" s="246"/>
      <c r="K430" s="246"/>
      <c r="L430" s="246"/>
      <c r="M430" s="246"/>
      <c r="N430" s="246"/>
      <c r="O430" s="246"/>
      <c r="P430" s="246"/>
      <c r="Q430" s="240" t="str">
        <f>IFERROR(VLOOKUP(A430,DATOS[],10,0),"")</f>
        <v/>
      </c>
    </row>
    <row r="431" spans="1:18" x14ac:dyDescent="0.25">
      <c r="A431" s="238"/>
      <c r="B431" s="239"/>
      <c r="C431" s="246"/>
      <c r="D431" s="246"/>
      <c r="E431" s="246"/>
      <c r="F431" s="246"/>
      <c r="G431" s="246"/>
      <c r="H431" s="246"/>
      <c r="I431" s="246"/>
      <c r="J431" s="246"/>
      <c r="K431" s="246"/>
      <c r="L431" s="246"/>
      <c r="M431" s="246"/>
      <c r="N431" s="246"/>
      <c r="O431" s="246"/>
      <c r="P431" s="246"/>
      <c r="Q431" s="240" t="str">
        <f>IFERROR(VLOOKUP(A431,DATOS[],10,0),"")</f>
        <v/>
      </c>
    </row>
    <row r="432" spans="1:18" x14ac:dyDescent="0.25">
      <c r="A432" s="238"/>
      <c r="B432" s="239"/>
      <c r="C432" s="246"/>
      <c r="D432" s="246"/>
      <c r="E432" s="246"/>
      <c r="F432" s="246"/>
      <c r="G432" s="246"/>
      <c r="H432" s="246"/>
      <c r="I432" s="246"/>
      <c r="J432" s="246"/>
      <c r="K432" s="246"/>
      <c r="L432" s="246"/>
      <c r="M432" s="246"/>
      <c r="N432" s="246"/>
      <c r="O432" s="246"/>
      <c r="P432" s="246"/>
      <c r="Q432" s="240" t="str">
        <f>IFERROR(VLOOKUP(A432,DATOS[],10,0),"")</f>
        <v/>
      </c>
    </row>
    <row r="433" spans="1:18" x14ac:dyDescent="0.25">
      <c r="A433" s="238"/>
      <c r="B433" s="239"/>
      <c r="C433" s="246"/>
      <c r="D433" s="246"/>
      <c r="E433" s="246"/>
      <c r="F433" s="246"/>
      <c r="G433" s="246"/>
      <c r="H433" s="246"/>
      <c r="I433" s="246"/>
      <c r="J433" s="246"/>
      <c r="K433" s="246"/>
      <c r="L433" s="246"/>
      <c r="M433" s="246"/>
      <c r="N433" s="246"/>
      <c r="O433" s="246"/>
      <c r="P433" s="246"/>
      <c r="Q433" s="240" t="str">
        <f>IFERROR(VLOOKUP(A433,DATOS[],10,0),"")</f>
        <v/>
      </c>
    </row>
    <row r="434" spans="1:18" x14ac:dyDescent="0.25">
      <c r="A434" s="238"/>
      <c r="B434" s="239"/>
      <c r="C434" s="246"/>
      <c r="D434" s="246"/>
      <c r="E434" s="246"/>
      <c r="F434" s="246"/>
      <c r="G434" s="246"/>
      <c r="H434" s="246"/>
      <c r="I434" s="246"/>
      <c r="J434" s="246"/>
      <c r="K434" s="246"/>
      <c r="L434" s="246"/>
      <c r="M434" s="246"/>
      <c r="N434" s="246"/>
      <c r="O434" s="246"/>
      <c r="P434" s="246"/>
      <c r="Q434" s="240" t="str">
        <f>IFERROR(VLOOKUP(A434,DATOS[],10,0),"")</f>
        <v/>
      </c>
    </row>
    <row r="435" spans="1:18" x14ac:dyDescent="0.25">
      <c r="A435" s="238"/>
      <c r="B435" s="239"/>
      <c r="C435" s="246"/>
      <c r="D435" s="246"/>
      <c r="E435" s="246"/>
      <c r="F435" s="246"/>
      <c r="G435" s="246"/>
      <c r="H435" s="246"/>
      <c r="I435" s="246"/>
      <c r="J435" s="246"/>
      <c r="K435" s="246"/>
      <c r="L435" s="246"/>
      <c r="M435" s="246"/>
      <c r="N435" s="246"/>
      <c r="O435" s="246"/>
      <c r="P435" s="246"/>
      <c r="Q435" s="240" t="str">
        <f>IFERROR(VLOOKUP(A435,DATOS[],10,0),"")</f>
        <v/>
      </c>
    </row>
    <row r="436" spans="1:18" x14ac:dyDescent="0.25">
      <c r="A436" s="238"/>
      <c r="B436" s="239"/>
      <c r="C436" s="246"/>
      <c r="D436" s="246"/>
      <c r="E436" s="246"/>
      <c r="F436" s="246"/>
      <c r="G436" s="246"/>
      <c r="H436" s="246"/>
      <c r="I436" s="246"/>
      <c r="J436" s="246"/>
      <c r="K436" s="246"/>
      <c r="L436" s="246"/>
      <c r="M436" s="246"/>
      <c r="N436" s="246"/>
      <c r="O436" s="246"/>
      <c r="P436" s="246"/>
      <c r="Q436" s="240" t="str">
        <f>IFERROR(VLOOKUP(A436,DATOS[],10,0),"")</f>
        <v/>
      </c>
    </row>
    <row r="437" spans="1:18" s="104" customFormat="1" x14ac:dyDescent="0.25">
      <c r="A437" s="238"/>
      <c r="B437" s="239"/>
      <c r="C437" s="246"/>
      <c r="D437" s="246"/>
      <c r="E437" s="246"/>
      <c r="F437" s="246"/>
      <c r="G437" s="246"/>
      <c r="H437" s="246"/>
      <c r="I437" s="246"/>
      <c r="J437" s="246"/>
      <c r="K437" s="246"/>
      <c r="L437" s="246"/>
      <c r="M437" s="246"/>
      <c r="N437" s="246"/>
      <c r="O437" s="246"/>
      <c r="P437" s="246"/>
      <c r="Q437" s="240" t="str">
        <f>IFERROR(VLOOKUP(A437,DATOS[],10,0),"")</f>
        <v/>
      </c>
      <c r="R437" s="139"/>
    </row>
    <row r="438" spans="1:18" x14ac:dyDescent="0.25">
      <c r="A438" s="238"/>
      <c r="B438" s="239"/>
      <c r="C438" s="246"/>
      <c r="D438" s="246"/>
      <c r="E438" s="246"/>
      <c r="F438" s="246"/>
      <c r="G438" s="246"/>
      <c r="H438" s="246"/>
      <c r="I438" s="246"/>
      <c r="J438" s="246"/>
      <c r="K438" s="246"/>
      <c r="L438" s="246"/>
      <c r="M438" s="246"/>
      <c r="N438" s="246"/>
      <c r="O438" s="246"/>
      <c r="P438" s="246"/>
      <c r="Q438" s="240" t="str">
        <f>IFERROR(VLOOKUP(A438,DATOS[],10,0),"")</f>
        <v/>
      </c>
    </row>
    <row r="439" spans="1:18" x14ac:dyDescent="0.25">
      <c r="A439" s="238"/>
      <c r="B439" s="239"/>
      <c r="C439" s="246"/>
      <c r="D439" s="246"/>
      <c r="E439" s="246"/>
      <c r="F439" s="246"/>
      <c r="G439" s="246"/>
      <c r="H439" s="246"/>
      <c r="I439" s="246"/>
      <c r="J439" s="246"/>
      <c r="K439" s="246"/>
      <c r="L439" s="246"/>
      <c r="M439" s="246"/>
      <c r="N439" s="246"/>
      <c r="O439" s="246"/>
      <c r="P439" s="246"/>
      <c r="Q439" s="240" t="str">
        <f>IFERROR(VLOOKUP(A439,DATOS[],10,0),"")</f>
        <v/>
      </c>
    </row>
    <row r="440" spans="1:18" x14ac:dyDescent="0.25">
      <c r="A440" s="238"/>
      <c r="B440" s="239"/>
      <c r="C440" s="246"/>
      <c r="D440" s="246"/>
      <c r="E440" s="246"/>
      <c r="F440" s="246"/>
      <c r="G440" s="246"/>
      <c r="H440" s="246"/>
      <c r="I440" s="246"/>
      <c r="J440" s="246"/>
      <c r="K440" s="246"/>
      <c r="L440" s="246"/>
      <c r="M440" s="246"/>
      <c r="N440" s="246"/>
      <c r="O440" s="246"/>
      <c r="P440" s="246"/>
      <c r="Q440" s="240" t="str">
        <f>IFERROR(VLOOKUP(A440,DATOS[],10,0),"")</f>
        <v/>
      </c>
    </row>
    <row r="441" spans="1:18" x14ac:dyDescent="0.25">
      <c r="A441" s="238"/>
      <c r="B441" s="239"/>
      <c r="C441" s="246"/>
      <c r="D441" s="246"/>
      <c r="E441" s="246"/>
      <c r="F441" s="246"/>
      <c r="G441" s="246"/>
      <c r="H441" s="246"/>
      <c r="I441" s="246"/>
      <c r="J441" s="246"/>
      <c r="K441" s="246"/>
      <c r="L441" s="246"/>
      <c r="M441" s="246"/>
      <c r="N441" s="246"/>
      <c r="O441" s="246"/>
      <c r="P441" s="246"/>
      <c r="Q441" s="240" t="str">
        <f>IFERROR(VLOOKUP(A441,DATOS[],10,0),"")</f>
        <v/>
      </c>
    </row>
    <row r="442" spans="1:18" x14ac:dyDescent="0.25">
      <c r="A442" s="238"/>
      <c r="B442" s="239"/>
      <c r="C442" s="246"/>
      <c r="D442" s="246"/>
      <c r="E442" s="246"/>
      <c r="F442" s="246"/>
      <c r="G442" s="246"/>
      <c r="H442" s="246"/>
      <c r="I442" s="246"/>
      <c r="J442" s="246"/>
      <c r="K442" s="246"/>
      <c r="L442" s="246"/>
      <c r="M442" s="246"/>
      <c r="N442" s="246"/>
      <c r="O442" s="246"/>
      <c r="P442" s="246"/>
      <c r="Q442" s="240" t="str">
        <f>IFERROR(VLOOKUP(A442,DATOS[],10,0),"")</f>
        <v/>
      </c>
    </row>
    <row r="443" spans="1:18" x14ac:dyDescent="0.25">
      <c r="A443" s="238"/>
      <c r="B443" s="239"/>
      <c r="C443" s="246"/>
      <c r="D443" s="246"/>
      <c r="E443" s="246"/>
      <c r="F443" s="246"/>
      <c r="G443" s="246"/>
      <c r="H443" s="246"/>
      <c r="I443" s="246"/>
      <c r="J443" s="246"/>
      <c r="K443" s="246"/>
      <c r="L443" s="246"/>
      <c r="M443" s="246"/>
      <c r="N443" s="246"/>
      <c r="O443" s="246"/>
      <c r="P443" s="246"/>
      <c r="Q443" s="240" t="str">
        <f>IFERROR(VLOOKUP(A443,DATOS[],10,0),"")</f>
        <v/>
      </c>
    </row>
    <row r="444" spans="1:18" x14ac:dyDescent="0.25">
      <c r="A444" s="238"/>
      <c r="B444" s="239"/>
      <c r="C444" s="246"/>
      <c r="D444" s="246"/>
      <c r="E444" s="246"/>
      <c r="F444" s="246"/>
      <c r="G444" s="246"/>
      <c r="H444" s="246"/>
      <c r="I444" s="246"/>
      <c r="J444" s="246"/>
      <c r="K444" s="246"/>
      <c r="L444" s="246"/>
      <c r="M444" s="246"/>
      <c r="N444" s="246"/>
      <c r="O444" s="246"/>
      <c r="P444" s="246"/>
      <c r="Q444" s="240" t="str">
        <f>IFERROR(VLOOKUP(A444,DATOS[],10,0),"")</f>
        <v/>
      </c>
    </row>
    <row r="445" spans="1:18" x14ac:dyDescent="0.25">
      <c r="A445" s="238"/>
      <c r="B445" s="239"/>
      <c r="C445" s="246"/>
      <c r="D445" s="246"/>
      <c r="E445" s="246"/>
      <c r="F445" s="246"/>
      <c r="G445" s="246"/>
      <c r="H445" s="246"/>
      <c r="I445" s="246"/>
      <c r="J445" s="246"/>
      <c r="K445" s="246"/>
      <c r="L445" s="246"/>
      <c r="M445" s="246"/>
      <c r="N445" s="246"/>
      <c r="O445" s="246"/>
      <c r="P445" s="246"/>
      <c r="Q445" s="240" t="str">
        <f>IFERROR(VLOOKUP(A445,DATOS[],10,0),"")</f>
        <v/>
      </c>
    </row>
    <row r="446" spans="1:18" x14ac:dyDescent="0.25">
      <c r="A446" s="238"/>
      <c r="B446" s="239"/>
      <c r="C446" s="246"/>
      <c r="D446" s="246"/>
      <c r="E446" s="246"/>
      <c r="F446" s="246"/>
      <c r="G446" s="246"/>
      <c r="H446" s="246"/>
      <c r="I446" s="246"/>
      <c r="J446" s="246"/>
      <c r="K446" s="246"/>
      <c r="L446" s="246"/>
      <c r="M446" s="246"/>
      <c r="N446" s="246"/>
      <c r="O446" s="246"/>
      <c r="P446" s="246"/>
      <c r="Q446" s="240" t="str">
        <f>IFERROR(VLOOKUP(A446,DATOS[],10,0),"")</f>
        <v/>
      </c>
    </row>
    <row r="447" spans="1:18" x14ac:dyDescent="0.25">
      <c r="A447" s="238"/>
      <c r="B447" s="239"/>
      <c r="C447" s="246"/>
      <c r="D447" s="246"/>
      <c r="E447" s="246"/>
      <c r="F447" s="246"/>
      <c r="G447" s="246"/>
      <c r="H447" s="246"/>
      <c r="I447" s="246"/>
      <c r="J447" s="246"/>
      <c r="K447" s="246"/>
      <c r="L447" s="246"/>
      <c r="M447" s="246"/>
      <c r="N447" s="246"/>
      <c r="O447" s="246"/>
      <c r="P447" s="246"/>
      <c r="Q447" s="240" t="str">
        <f>IFERROR(VLOOKUP(A447,DATOS[],10,0),"")</f>
        <v/>
      </c>
    </row>
    <row r="448" spans="1:18" x14ac:dyDescent="0.25">
      <c r="A448" s="238"/>
      <c r="B448" s="239"/>
      <c r="C448" s="246"/>
      <c r="D448" s="246"/>
      <c r="E448" s="246"/>
      <c r="F448" s="246"/>
      <c r="G448" s="246"/>
      <c r="H448" s="246"/>
      <c r="I448" s="246"/>
      <c r="J448" s="246"/>
      <c r="K448" s="246"/>
      <c r="L448" s="246"/>
      <c r="M448" s="246"/>
      <c r="N448" s="246"/>
      <c r="O448" s="246"/>
      <c r="P448" s="246"/>
      <c r="Q448" s="240" t="str">
        <f>IFERROR(VLOOKUP(A448,DATOS[],10,0),"")</f>
        <v/>
      </c>
    </row>
    <row r="450" spans="1:1" x14ac:dyDescent="0.25">
      <c r="A450" s="326"/>
    </row>
    <row r="451" spans="1:1" x14ac:dyDescent="0.25">
      <c r="A451" s="326"/>
    </row>
    <row r="452" spans="1:1" x14ac:dyDescent="0.25">
      <c r="A452" s="326"/>
    </row>
    <row r="453" spans="1:1" x14ac:dyDescent="0.25">
      <c r="A453" s="326"/>
    </row>
    <row r="454" spans="1:1" x14ac:dyDescent="0.25">
      <c r="A454" s="326"/>
    </row>
    <row r="455" spans="1:1" x14ac:dyDescent="0.25">
      <c r="A455" s="326"/>
    </row>
    <row r="456" spans="1:1" x14ac:dyDescent="0.25">
      <c r="A456" s="326"/>
    </row>
    <row r="457" spans="1:1" x14ac:dyDescent="0.25">
      <c r="A457" s="326"/>
    </row>
    <row r="458" spans="1:1" x14ac:dyDescent="0.25">
      <c r="A458" s="326"/>
    </row>
    <row r="459" spans="1:1" x14ac:dyDescent="0.25">
      <c r="A459" s="326"/>
    </row>
    <row r="460" spans="1:1" x14ac:dyDescent="0.25">
      <c r="A460" s="326"/>
    </row>
    <row r="461" spans="1:1" x14ac:dyDescent="0.25">
      <c r="A461" s="326"/>
    </row>
    <row r="462" spans="1:1" x14ac:dyDescent="0.25">
      <c r="A462" s="326"/>
    </row>
    <row r="463" spans="1:1" x14ac:dyDescent="0.25">
      <c r="A463" s="326"/>
    </row>
    <row r="464" spans="1:1" x14ac:dyDescent="0.25">
      <c r="A464" s="326"/>
    </row>
    <row r="465" spans="1:1" x14ac:dyDescent="0.25">
      <c r="A465" s="326"/>
    </row>
    <row r="466" spans="1:1" x14ac:dyDescent="0.25">
      <c r="A466" s="326"/>
    </row>
    <row r="467" spans="1:1" x14ac:dyDescent="0.25">
      <c r="A467" s="326"/>
    </row>
    <row r="468" spans="1:1" x14ac:dyDescent="0.25">
      <c r="A468" s="326"/>
    </row>
    <row r="469" spans="1:1" x14ac:dyDescent="0.25">
      <c r="A469" s="326"/>
    </row>
    <row r="470" spans="1:1" x14ac:dyDescent="0.25">
      <c r="A470" s="326"/>
    </row>
    <row r="471" spans="1:1" x14ac:dyDescent="0.25">
      <c r="A471" s="326"/>
    </row>
    <row r="472" spans="1:1" x14ac:dyDescent="0.25">
      <c r="A472" s="326"/>
    </row>
    <row r="473" spans="1:1" x14ac:dyDescent="0.25">
      <c r="A473" s="326"/>
    </row>
    <row r="474" spans="1:1" x14ac:dyDescent="0.25">
      <c r="A474" s="326"/>
    </row>
    <row r="475" spans="1:1" x14ac:dyDescent="0.25">
      <c r="A475" s="326"/>
    </row>
    <row r="476" spans="1:1" x14ac:dyDescent="0.25">
      <c r="A476" s="326"/>
    </row>
    <row r="477" spans="1:1" x14ac:dyDescent="0.25">
      <c r="A477" s="326"/>
    </row>
    <row r="478" spans="1:1" x14ac:dyDescent="0.25">
      <c r="A478" s="326"/>
    </row>
    <row r="479" spans="1:1" x14ac:dyDescent="0.25">
      <c r="A479" s="326"/>
    </row>
    <row r="480" spans="1:1" x14ac:dyDescent="0.25">
      <c r="A480" s="326"/>
    </row>
    <row r="481" spans="1:1" x14ac:dyDescent="0.25">
      <c r="A481" s="326"/>
    </row>
    <row r="482" spans="1:1" x14ac:dyDescent="0.25">
      <c r="A482" s="326"/>
    </row>
    <row r="483" spans="1:1" x14ac:dyDescent="0.25">
      <c r="A483" s="326"/>
    </row>
    <row r="484" spans="1:1" x14ac:dyDescent="0.25">
      <c r="A484" s="326"/>
    </row>
    <row r="485" spans="1:1" x14ac:dyDescent="0.25">
      <c r="A485" s="326"/>
    </row>
    <row r="486" spans="1:1" x14ac:dyDescent="0.25">
      <c r="A486" s="326"/>
    </row>
    <row r="487" spans="1:1" x14ac:dyDescent="0.25">
      <c r="A487" s="326"/>
    </row>
    <row r="488" spans="1:1" x14ac:dyDescent="0.25">
      <c r="A488" s="326"/>
    </row>
    <row r="489" spans="1:1" x14ac:dyDescent="0.25">
      <c r="A489" s="326"/>
    </row>
    <row r="490" spans="1:1" x14ac:dyDescent="0.25">
      <c r="A490" s="326"/>
    </row>
    <row r="491" spans="1:1" x14ac:dyDescent="0.25">
      <c r="A491" s="326"/>
    </row>
    <row r="492" spans="1:1" x14ac:dyDescent="0.25">
      <c r="A492" s="326"/>
    </row>
    <row r="493" spans="1:1" x14ac:dyDescent="0.25">
      <c r="A493" s="326"/>
    </row>
    <row r="494" spans="1:1" x14ac:dyDescent="0.25">
      <c r="A494" s="326"/>
    </row>
    <row r="495" spans="1:1" x14ac:dyDescent="0.25">
      <c r="A495" s="326"/>
    </row>
    <row r="496" spans="1:1" x14ac:dyDescent="0.25">
      <c r="A496" s="326"/>
    </row>
    <row r="497" spans="1:1" x14ac:dyDescent="0.25">
      <c r="A497" s="326"/>
    </row>
    <row r="498" spans="1:1" x14ac:dyDescent="0.25">
      <c r="A498" s="326"/>
    </row>
    <row r="499" spans="1:1" x14ac:dyDescent="0.25">
      <c r="A499" s="326"/>
    </row>
    <row r="500" spans="1:1" x14ac:dyDescent="0.25">
      <c r="A500" s="326"/>
    </row>
    <row r="501" spans="1:1" x14ac:dyDescent="0.25">
      <c r="A501" s="326"/>
    </row>
    <row r="502" spans="1:1" x14ac:dyDescent="0.25">
      <c r="A502" s="326"/>
    </row>
    <row r="503" spans="1:1" x14ac:dyDescent="0.25">
      <c r="A503" s="326"/>
    </row>
    <row r="504" spans="1:1" x14ac:dyDescent="0.25">
      <c r="A504" s="326"/>
    </row>
    <row r="505" spans="1:1" x14ac:dyDescent="0.25">
      <c r="A505" s="326"/>
    </row>
    <row r="506" spans="1:1" x14ac:dyDescent="0.25">
      <c r="A506" s="326"/>
    </row>
    <row r="507" spans="1:1" x14ac:dyDescent="0.25">
      <c r="A507" s="326"/>
    </row>
    <row r="508" spans="1:1" x14ac:dyDescent="0.25">
      <c r="A508" s="326"/>
    </row>
    <row r="509" spans="1:1" x14ac:dyDescent="0.25">
      <c r="A509" s="30"/>
    </row>
    <row r="510" spans="1:1" x14ac:dyDescent="0.25">
      <c r="A510" s="30"/>
    </row>
    <row r="511" spans="1:1" x14ac:dyDescent="0.25">
      <c r="A511" s="30"/>
    </row>
  </sheetData>
  <mergeCells count="24">
    <mergeCell ref="AF1:AG1"/>
    <mergeCell ref="AD1:AE1"/>
    <mergeCell ref="AB1:AC1"/>
    <mergeCell ref="Z1:AA1"/>
    <mergeCell ref="X1:Y1"/>
    <mergeCell ref="AF2:AG2"/>
    <mergeCell ref="AD2:AE2"/>
    <mergeCell ref="AB2:AC2"/>
    <mergeCell ref="X2:Y2"/>
    <mergeCell ref="Z2:AA2"/>
    <mergeCell ref="C2:D2"/>
    <mergeCell ref="E2:F2"/>
    <mergeCell ref="G1:H1"/>
    <mergeCell ref="G2:H2"/>
    <mergeCell ref="I1:J1"/>
    <mergeCell ref="I2:J2"/>
    <mergeCell ref="C1:D1"/>
    <mergeCell ref="E1:F1"/>
    <mergeCell ref="K1:L1"/>
    <mergeCell ref="K2:L2"/>
    <mergeCell ref="M1:N1"/>
    <mergeCell ref="M2:N2"/>
    <mergeCell ref="O1:P1"/>
    <mergeCell ref="O2:P2"/>
  </mergeCells>
  <phoneticPr fontId="26" type="noConversion"/>
  <conditionalFormatting sqref="E4:E421 I4:I421 K4:K421 M4:M421 O4:O421 I423:I436 G423:G436 E423:E436 C423:C436 C438:C448 E438:E448 G438:G448 I438:I448 G4:G421 O423:O448 M423:M448 K423:K436 K438:K448 C4:C421">
    <cfRule type="cellIs" dxfId="93" priority="118" operator="equal">
      <formula>"No Registró"</formula>
    </cfRule>
  </conditionalFormatting>
  <conditionalFormatting sqref="M4:M448 O4:O448 I4:I448 G4:G448 E4:E448 C423:C448 K4:K436 K438:K448 C4:C421">
    <cfRule type="cellIs" dxfId="92" priority="169440" operator="greaterThan">
      <formula>$S$2</formula>
    </cfRule>
  </conditionalFormatting>
  <conditionalFormatting sqref="W4">
    <cfRule type="containsText" dxfId="91" priority="29" operator="containsText" text="4">
      <formula>NOT(ISERROR(SEARCH("4",W4)))</formula>
    </cfRule>
    <cfRule type="containsText" dxfId="90" priority="30" operator="containsText" text="3">
      <formula>NOT(ISERROR(SEARCH("3",W4)))</formula>
    </cfRule>
    <cfRule type="containsText" dxfId="89" priority="31" operator="containsText" text="5">
      <formula>NOT(ISERROR(SEARCH("5",W4)))</formula>
    </cfRule>
    <cfRule type="containsText" dxfId="88" priority="32" operator="containsText" text="2">
      <formula>NOT(ISERROR(SEARCH("2",W4)))</formula>
    </cfRule>
    <cfRule type="containsText" dxfId="87" priority="33" operator="containsText" text="1">
      <formula>NOT(ISERROR(SEARCH("1",W4)))</formula>
    </cfRule>
  </conditionalFormatting>
  <conditionalFormatting sqref="W4">
    <cfRule type="containsText" dxfId="86" priority="28" operator="containsText" text="6">
      <formula>NOT(ISERROR(SEARCH("6",W4)))</formula>
    </cfRule>
  </conditionalFormatting>
  <conditionalFormatting sqref="N404">
    <cfRule type="cellIs" dxfId="85" priority="25" operator="equal">
      <formula>"No Registró"</formula>
    </cfRule>
  </conditionalFormatting>
  <conditionalFormatting sqref="N404">
    <cfRule type="cellIs" dxfId="84" priority="24" operator="greaterThan">
      <formula>$S$2</formula>
    </cfRule>
  </conditionalFormatting>
  <conditionalFormatting sqref="L420">
    <cfRule type="cellIs" dxfId="83" priority="18" operator="equal">
      <formula>"No Registró"</formula>
    </cfRule>
  </conditionalFormatting>
  <conditionalFormatting sqref="L420">
    <cfRule type="cellIs" dxfId="82" priority="17" operator="greaterThan">
      <formula>$S$2</formula>
    </cfRule>
  </conditionalFormatting>
  <conditionalFormatting sqref="A1:A421 A423:A436 A438:A1048576">
    <cfRule type="duplicateValues" dxfId="81" priority="13"/>
    <cfRule type="duplicateValues" dxfId="80" priority="14"/>
  </conditionalFormatting>
  <conditionalFormatting sqref="C422 E422 G422 I422 K422 M422 O422">
    <cfRule type="cellIs" dxfId="79" priority="12" operator="equal">
      <formula>"No Registró"</formula>
    </cfRule>
  </conditionalFormatting>
  <conditionalFormatting sqref="C422">
    <cfRule type="cellIs" dxfId="78" priority="11" operator="greaterThan">
      <formula>$S$2</formula>
    </cfRule>
  </conditionalFormatting>
  <conditionalFormatting sqref="A422">
    <cfRule type="duplicateValues" dxfId="77" priority="9"/>
    <cfRule type="duplicateValues" dxfId="76" priority="10"/>
  </conditionalFormatting>
  <conditionalFormatting sqref="K437 I437 G437 E437 C437">
    <cfRule type="cellIs" dxfId="75" priority="8" operator="equal">
      <formula>"No Registró"</formula>
    </cfRule>
  </conditionalFormatting>
  <conditionalFormatting sqref="K437">
    <cfRule type="cellIs" dxfId="74" priority="7" operator="greaterThan">
      <formula>$S$2</formula>
    </cfRule>
  </conditionalFormatting>
  <conditionalFormatting sqref="A437">
    <cfRule type="duplicateValues" dxfId="73" priority="5"/>
    <cfRule type="duplicateValues" dxfId="72" priority="6"/>
  </conditionalFormatting>
  <conditionalFormatting sqref="H205">
    <cfRule type="cellIs" dxfId="71" priority="4" operator="equal">
      <formula>"No Registró"</formula>
    </cfRule>
  </conditionalFormatting>
  <conditionalFormatting sqref="H205">
    <cfRule type="cellIs" dxfId="70" priority="3" operator="greaterThan">
      <formula>$S$2</formula>
    </cfRule>
  </conditionalFormatting>
  <conditionalFormatting sqref="H190">
    <cfRule type="cellIs" dxfId="69" priority="2" operator="equal">
      <formula>"No Registró"</formula>
    </cfRule>
  </conditionalFormatting>
  <conditionalFormatting sqref="H190">
    <cfRule type="cellIs" dxfId="68" priority="1" operator="greaterThan">
      <formula>$S$2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C000"/>
  </sheetPr>
  <dimension ref="A1:W72"/>
  <sheetViews>
    <sheetView showGridLines="0" zoomScale="90" zoomScaleNormal="90" zoomScaleSheetLayoutView="90" workbookViewId="0">
      <pane xSplit="3" ySplit="8" topLeftCell="P9" activePane="bottomRight" state="frozen"/>
      <selection pane="topRight" activeCell="D1" sqref="D1"/>
      <selection pane="bottomLeft" activeCell="A9" sqref="A9"/>
      <selection pane="bottomRight" activeCell="S12" sqref="S12"/>
    </sheetView>
  </sheetViews>
  <sheetFormatPr baseColWidth="10" defaultColWidth="11.42578125" defaultRowHeight="15.75" x14ac:dyDescent="0.25"/>
  <cols>
    <col min="1" max="1" width="12.5703125" style="65" bestFit="1" customWidth="1"/>
    <col min="2" max="2" width="29" style="48" customWidth="1"/>
    <col min="3" max="3" width="20.28515625" style="172" bestFit="1" customWidth="1"/>
    <col min="4" max="4" width="34.7109375" style="45" customWidth="1"/>
    <col min="5" max="10" width="13.7109375" style="39" customWidth="1"/>
    <col min="11" max="11" width="14.42578125" style="39" bestFit="1" customWidth="1"/>
    <col min="12" max="13" width="13.7109375" style="39" customWidth="1"/>
    <col min="14" max="14" width="24.7109375" style="41" customWidth="1"/>
    <col min="15" max="15" width="25.42578125" style="41" customWidth="1"/>
    <col min="16" max="16" width="17.85546875" style="41" customWidth="1"/>
    <col min="17" max="17" width="17.85546875" style="247" customWidth="1"/>
    <col min="18" max="18" width="23" style="41" customWidth="1"/>
    <col min="19" max="20" width="74" style="46" customWidth="1"/>
    <col min="21" max="21" width="73.42578125" style="46" customWidth="1"/>
    <col min="22" max="22" width="80" style="257" bestFit="1" customWidth="1"/>
    <col min="23" max="23" width="18.7109375" style="34" hidden="1" customWidth="1"/>
    <col min="24" max="16384" width="11.42578125" style="35"/>
  </cols>
  <sheetData>
    <row r="1" spans="1:23" x14ac:dyDescent="0.25">
      <c r="C1" s="45"/>
    </row>
    <row r="2" spans="1:23" ht="8.25" customHeight="1" x14ac:dyDescent="0.25">
      <c r="A2" s="36"/>
      <c r="B2" s="37"/>
      <c r="C2" s="37"/>
      <c r="D2" s="37"/>
      <c r="E2" s="38"/>
      <c r="F2" s="38"/>
      <c r="G2" s="38"/>
      <c r="N2" s="38"/>
      <c r="O2" s="38"/>
      <c r="S2" s="42"/>
      <c r="T2" s="42"/>
      <c r="U2" s="42"/>
      <c r="V2" s="258"/>
    </row>
    <row r="3" spans="1:23" ht="20.100000000000001" customHeight="1" thickBot="1" x14ac:dyDescent="0.3">
      <c r="A3" s="36"/>
      <c r="B3" s="37"/>
      <c r="C3" s="37"/>
      <c r="D3" s="37"/>
      <c r="E3" s="38"/>
      <c r="F3" s="38"/>
      <c r="G3" s="38"/>
      <c r="L3" s="35"/>
      <c r="M3" s="35"/>
      <c r="N3" s="35"/>
      <c r="O3" s="35"/>
      <c r="P3" s="35"/>
      <c r="Q3" s="248"/>
      <c r="R3" s="35"/>
      <c r="S3" s="35"/>
      <c r="T3" s="35"/>
      <c r="U3" s="42"/>
      <c r="V3" s="258"/>
    </row>
    <row r="4" spans="1:23" ht="27" customHeight="1" x14ac:dyDescent="0.25">
      <c r="A4" s="43"/>
      <c r="B4" s="44"/>
      <c r="C4" s="223"/>
      <c r="H4" s="50" t="s">
        <v>462</v>
      </c>
      <c r="I4" s="51" t="s">
        <v>463</v>
      </c>
      <c r="J4" s="68"/>
      <c r="K4" s="52" t="s">
        <v>464</v>
      </c>
      <c r="L4" s="35"/>
      <c r="M4" s="35"/>
      <c r="N4" s="69" t="s">
        <v>701</v>
      </c>
      <c r="O4" s="61" t="s">
        <v>459</v>
      </c>
      <c r="P4" s="70" t="s">
        <v>460</v>
      </c>
      <c r="Q4" s="249" t="s">
        <v>795</v>
      </c>
      <c r="S4" s="47"/>
      <c r="T4" s="47"/>
      <c r="U4" s="35"/>
      <c r="V4" s="259"/>
    </row>
    <row r="5" spans="1:23" s="34" customFormat="1" ht="15.75" customHeight="1" thickBot="1" x14ac:dyDescent="0.3">
      <c r="A5" s="43"/>
      <c r="B5" s="45"/>
      <c r="C5" s="45"/>
      <c r="D5" s="49"/>
      <c r="H5" s="94">
        <f>WEEKNUM(I5,21)</f>
        <v>16</v>
      </c>
      <c r="I5" s="53">
        <v>45761</v>
      </c>
      <c r="J5" s="95" t="s">
        <v>461</v>
      </c>
      <c r="K5" s="54">
        <f>I5+6</f>
        <v>45767</v>
      </c>
      <c r="N5" s="93" t="s">
        <v>503</v>
      </c>
      <c r="O5" s="235">
        <f>IF(N5="INHRR",COUNTIF(METAS[TOTAL METAS],"&gt;0"),COUNTIFS(METAS[UNIDAD DE ADSCRIPCION],N5,METAS[TOTAL METAS],"&gt;0"))</f>
        <v>64</v>
      </c>
      <c r="P5" s="236">
        <f>IF(N5="INHRR",SUM(METAS[TOTAL METAS]),SUMIF(METAS[UNIDAD DE ADSCRIPCION],N5,METAS[TOTAL METAS]))</f>
        <v>131</v>
      </c>
      <c r="Q5" s="234">
        <f>IF(N5="INHRR",SUM(METAS[TOTAL A PAGAR]),SUMIF(METAS[UNIDAD DE ADSCRIPCION],N5,METAS[TOTAL A PAGAR]))</f>
        <v>47425.059999999983</v>
      </c>
      <c r="V5" s="259"/>
    </row>
    <row r="6" spans="1:23" s="34" customFormat="1" x14ac:dyDescent="0.25">
      <c r="A6" s="43"/>
      <c r="B6" s="45"/>
      <c r="C6" s="30"/>
      <c r="D6" s="49"/>
      <c r="Q6" s="250"/>
      <c r="V6" s="259"/>
    </row>
    <row r="7" spans="1:23" x14ac:dyDescent="0.25">
      <c r="A7" s="43"/>
      <c r="C7" s="45"/>
      <c r="D7" s="55"/>
      <c r="K7" s="56"/>
      <c r="L7" s="40"/>
      <c r="M7" s="40"/>
      <c r="N7" s="57"/>
      <c r="S7" s="58"/>
      <c r="T7" s="58"/>
      <c r="U7" s="33" t="str">
        <f>"SEMANA:"&amp;" "&amp;H5+1</f>
        <v>SEMANA: 17</v>
      </c>
    </row>
    <row r="8" spans="1:23" s="34" customFormat="1" ht="28.5" customHeight="1" x14ac:dyDescent="0.25">
      <c r="A8" s="59" t="s">
        <v>0</v>
      </c>
      <c r="B8" s="60" t="s">
        <v>1</v>
      </c>
      <c r="C8" s="60" t="s">
        <v>787</v>
      </c>
      <c r="D8" s="61" t="s">
        <v>701</v>
      </c>
      <c r="E8" s="62" t="s">
        <v>494</v>
      </c>
      <c r="F8" s="62" t="s">
        <v>495</v>
      </c>
      <c r="G8" s="62" t="s">
        <v>496</v>
      </c>
      <c r="H8" s="62" t="s">
        <v>497</v>
      </c>
      <c r="I8" s="62" t="s">
        <v>498</v>
      </c>
      <c r="J8" s="63" t="s">
        <v>499</v>
      </c>
      <c r="K8" s="63" t="s">
        <v>500</v>
      </c>
      <c r="L8" s="63" t="s">
        <v>501</v>
      </c>
      <c r="M8" s="150" t="s">
        <v>842</v>
      </c>
      <c r="N8" s="149" t="s">
        <v>796</v>
      </c>
      <c r="O8" s="149" t="s">
        <v>798</v>
      </c>
      <c r="P8" s="149" t="s">
        <v>797</v>
      </c>
      <c r="Q8" s="251" t="s">
        <v>841</v>
      </c>
      <c r="R8" s="168" t="s">
        <v>783</v>
      </c>
      <c r="S8" s="31" t="s">
        <v>910</v>
      </c>
      <c r="T8" s="31" t="s">
        <v>911</v>
      </c>
      <c r="U8" s="32" t="s">
        <v>688</v>
      </c>
      <c r="V8" s="260" t="s">
        <v>2</v>
      </c>
      <c r="W8" s="83" t="s">
        <v>782</v>
      </c>
    </row>
    <row r="9" spans="1:23" ht="20.100000000000001" customHeight="1" x14ac:dyDescent="0.25">
      <c r="A9" s="280">
        <v>7928721</v>
      </c>
      <c r="B9" s="310" t="str">
        <f>IF(METAS[[#This Row],[OTRO PAGO]]=0,VLOOKUP(METAS[[#This Row],[CEDULA]],DATOS[],2,0),"")</f>
        <v>SANCHEZ DORIS</v>
      </c>
      <c r="C9" s="282" t="str">
        <f>VLOOKUP(METAS[[#This Row],[CEDULA]],DATOS[],5,0)</f>
        <v>PROFESIONAL</v>
      </c>
      <c r="D9" s="311" t="s">
        <v>819</v>
      </c>
      <c r="E9" s="313"/>
      <c r="F9" s="313"/>
      <c r="G9" s="313"/>
      <c r="H9" s="313"/>
      <c r="I9" s="313"/>
      <c r="J9" s="313"/>
      <c r="K9" s="313"/>
      <c r="L9" s="313"/>
      <c r="M9" s="322">
        <v>1</v>
      </c>
      <c r="N9" s="284">
        <f>METAS[[#This Row],[L]]+METAS[[#This Row],[M]]+METAS[[#This Row],[MI]]</f>
        <v>0</v>
      </c>
      <c r="O9" s="285">
        <f>METAS[[#This Row],[J]]+METAS[[#This Row],[V]]+METAS[[#This Row],[S]]+METAS[[#This Row],[D]]</f>
        <v>0</v>
      </c>
      <c r="P9" s="285">
        <f>METAS[[#This Row],[TOTAL METAS L-V]]+METAS[[#This Row],[TOTAL METAS S-D-F]]+METAS[[#This Row],[DIA PEN. ]]</f>
        <v>1</v>
      </c>
      <c r="Q9" s="323">
        <v>258.75</v>
      </c>
      <c r="R9" s="286">
        <f>(VLOOKUP(METAS[[#This Row],[NIVEL Y CARGO]],NUEVO[],2,0)*METAS[[#This Row],[TOTAL METAS L-V]])+(VLOOKUP(METAS[[#This Row],[NIVEL Y CARGO]],NUEVO[],3,0)*METAS[[#This Row],[TOTAL METAS S-D-F]])+METAS[[#This Row],[DIA POR PAGAR]]</f>
        <v>258.75</v>
      </c>
      <c r="S9" s="316" t="s">
        <v>962</v>
      </c>
      <c r="T9" s="317"/>
      <c r="U9" s="316" t="s">
        <v>962</v>
      </c>
      <c r="V9" s="318" t="s">
        <v>1395</v>
      </c>
      <c r="W9" s="289">
        <f>VLOOKUP(METAS[[#This Row],[CEDULA]],DATOS[],9,0)</f>
        <v>0</v>
      </c>
    </row>
    <row r="10" spans="1:23" x14ac:dyDescent="0.25">
      <c r="A10" s="280">
        <v>3759325</v>
      </c>
      <c r="B10" s="281" t="str">
        <f>IF(METAS[[#This Row],[OTRO PAGO]]=0,VLOOKUP(METAS[[#This Row],[CEDULA]],DATOS[],2,0),"")</f>
        <v>LINARES JOSE</v>
      </c>
      <c r="C10" s="282" t="str">
        <f>VLOOKUP(METAS[[#This Row],[CEDULA]],DATOS[],5,0)</f>
        <v>OBRERO</v>
      </c>
      <c r="D10" s="311" t="s">
        <v>819</v>
      </c>
      <c r="E10" s="313"/>
      <c r="F10" s="313"/>
      <c r="G10" s="313"/>
      <c r="H10" s="313"/>
      <c r="I10" s="313"/>
      <c r="J10" s="313">
        <v>1</v>
      </c>
      <c r="K10" s="313"/>
      <c r="L10" s="313"/>
      <c r="M10" s="283"/>
      <c r="N10" s="284">
        <f>METAS[[#This Row],[L]]+METAS[[#This Row],[M]]+METAS[[#This Row],[MI]]</f>
        <v>0</v>
      </c>
      <c r="O10" s="285">
        <f>METAS[[#This Row],[J]]+METAS[[#This Row],[V]]+METAS[[#This Row],[S]]+METAS[[#This Row],[D]]</f>
        <v>1</v>
      </c>
      <c r="P10" s="285">
        <f>METAS[[#This Row],[TOTAL METAS L-V]]+METAS[[#This Row],[TOTAL METAS S-D-F]]+METAS[[#This Row],[DIA PEN. ]]</f>
        <v>1</v>
      </c>
      <c r="Q10" s="286"/>
      <c r="R10" s="286">
        <f>(VLOOKUP(METAS[[#This Row],[NIVEL Y CARGO]],NUEVO[],2,0)*METAS[[#This Row],[TOTAL METAS L-V]])+(VLOOKUP(METAS[[#This Row],[NIVEL Y CARGO]],NUEVO[],3,0)*METAS[[#This Row],[TOTAL METAS S-D-F]])+METAS[[#This Row],[DIA POR PAGAR]]</f>
        <v>401.26</v>
      </c>
      <c r="S10" s="316"/>
      <c r="T10" s="316" t="s">
        <v>963</v>
      </c>
      <c r="U10" s="316" t="s">
        <v>963</v>
      </c>
      <c r="V10" s="316"/>
      <c r="W10" s="289">
        <f>VLOOKUP(METAS[[#This Row],[CEDULA]],DATOS[],9,0)</f>
        <v>0</v>
      </c>
    </row>
    <row r="11" spans="1:23" ht="45" x14ac:dyDescent="0.25">
      <c r="A11" s="280">
        <v>7948797</v>
      </c>
      <c r="B11" s="281" t="str">
        <f>IF(METAS[[#This Row],[OTRO PAGO]]=0,VLOOKUP(METAS[[#This Row],[CEDULA]],DATOS[],2,0),"")</f>
        <v>OLIVARES MARIA</v>
      </c>
      <c r="C11" s="282" t="str">
        <f>VLOOKUP(METAS[[#This Row],[CEDULA]],DATOS[],5,0)</f>
        <v>OBRERO</v>
      </c>
      <c r="D11" s="311" t="s">
        <v>819</v>
      </c>
      <c r="E11" s="313"/>
      <c r="F11" s="313"/>
      <c r="G11" s="313"/>
      <c r="H11" s="313"/>
      <c r="I11" s="313"/>
      <c r="J11" s="313">
        <v>1</v>
      </c>
      <c r="K11" s="313"/>
      <c r="L11" s="313"/>
      <c r="M11" s="283"/>
      <c r="N11" s="284">
        <f>METAS[[#This Row],[L]]+METAS[[#This Row],[M]]+METAS[[#This Row],[MI]]</f>
        <v>0</v>
      </c>
      <c r="O11" s="285">
        <f>METAS[[#This Row],[J]]+METAS[[#This Row],[V]]+METAS[[#This Row],[S]]+METAS[[#This Row],[D]]</f>
        <v>1</v>
      </c>
      <c r="P11" s="285">
        <f>METAS[[#This Row],[TOTAL METAS L-V]]+METAS[[#This Row],[TOTAL METAS S-D-F]]+METAS[[#This Row],[DIA PEN. ]]</f>
        <v>1</v>
      </c>
      <c r="Q11" s="286"/>
      <c r="R11" s="286">
        <f>(VLOOKUP(METAS[[#This Row],[NIVEL Y CARGO]],NUEVO[],2,0)*METAS[[#This Row],[TOTAL METAS L-V]])+(VLOOKUP(METAS[[#This Row],[NIVEL Y CARGO]],NUEVO[],3,0)*METAS[[#This Row],[TOTAL METAS S-D-F]])+METAS[[#This Row],[DIA POR PAGAR]]</f>
        <v>401.26</v>
      </c>
      <c r="S11" s="317"/>
      <c r="T11" s="316" t="s">
        <v>1396</v>
      </c>
      <c r="U11" s="317" t="s">
        <v>965</v>
      </c>
      <c r="V11" s="316" t="s">
        <v>964</v>
      </c>
      <c r="W11" s="289">
        <f>VLOOKUP(METAS[[#This Row],[CEDULA]],DATOS[],9,0)</f>
        <v>0</v>
      </c>
    </row>
    <row r="12" spans="1:23" ht="90" x14ac:dyDescent="0.25">
      <c r="A12" s="280">
        <v>13615404</v>
      </c>
      <c r="B12" s="281" t="str">
        <f>IF(METAS[[#This Row],[OTRO PAGO]]=0,VLOOKUP(METAS[[#This Row],[CEDULA]],DATOS[],2,0),"")</f>
        <v>SALAZAR JOSE</v>
      </c>
      <c r="C12" s="282" t="str">
        <f>VLOOKUP(METAS[[#This Row],[CEDULA]],DATOS[],5,0)</f>
        <v>OBRERO</v>
      </c>
      <c r="D12" s="311" t="s">
        <v>819</v>
      </c>
      <c r="E12" s="313"/>
      <c r="F12" s="313"/>
      <c r="G12" s="313"/>
      <c r="H12" s="313"/>
      <c r="I12" s="313"/>
      <c r="J12" s="313">
        <v>1</v>
      </c>
      <c r="K12" s="313"/>
      <c r="L12" s="313"/>
      <c r="M12" s="283"/>
      <c r="N12" s="284">
        <f>METAS[[#This Row],[L]]+METAS[[#This Row],[M]]+METAS[[#This Row],[MI]]</f>
        <v>0</v>
      </c>
      <c r="O12" s="285">
        <f>METAS[[#This Row],[J]]+METAS[[#This Row],[V]]+METAS[[#This Row],[S]]+METAS[[#This Row],[D]]</f>
        <v>1</v>
      </c>
      <c r="P12" s="285">
        <f>METAS[[#This Row],[TOTAL METAS L-V]]+METAS[[#This Row],[TOTAL METAS S-D-F]]+METAS[[#This Row],[DIA PEN. ]]</f>
        <v>1</v>
      </c>
      <c r="Q12" s="286"/>
      <c r="R12" s="286">
        <f>(VLOOKUP(METAS[[#This Row],[NIVEL Y CARGO]],NUEVO[],2,0)*METAS[[#This Row],[TOTAL METAS L-V]])+(VLOOKUP(METAS[[#This Row],[NIVEL Y CARGO]],NUEVO[],3,0)*METAS[[#This Row],[TOTAL METAS S-D-F]])+METAS[[#This Row],[DIA POR PAGAR]]</f>
        <v>401.26</v>
      </c>
      <c r="S12" s="316"/>
      <c r="T12" s="316" t="s">
        <v>1396</v>
      </c>
      <c r="U12" s="316" t="s">
        <v>1398</v>
      </c>
      <c r="V12" s="316" t="s">
        <v>964</v>
      </c>
      <c r="W12" s="289">
        <f>VLOOKUP(METAS[[#This Row],[CEDULA]],DATOS[],9,0)</f>
        <v>0</v>
      </c>
    </row>
    <row r="13" spans="1:23" ht="105" x14ac:dyDescent="0.25">
      <c r="A13" s="280">
        <v>23000253</v>
      </c>
      <c r="B13" s="281" t="str">
        <f>IF(METAS[[#This Row],[OTRO PAGO]]=0,VLOOKUP(METAS[[#This Row],[CEDULA]],DATOS[],2,0),"")</f>
        <v>ROJAS ODRHY</v>
      </c>
      <c r="C13" s="282" t="str">
        <f>VLOOKUP(METAS[[#This Row],[CEDULA]],DATOS[],5,0)</f>
        <v>OBRERO</v>
      </c>
      <c r="D13" s="311" t="s">
        <v>819</v>
      </c>
      <c r="E13" s="313"/>
      <c r="F13" s="313"/>
      <c r="G13" s="313"/>
      <c r="H13" s="313"/>
      <c r="I13" s="313"/>
      <c r="J13" s="313">
        <v>1</v>
      </c>
      <c r="K13" s="313"/>
      <c r="L13" s="313"/>
      <c r="M13" s="283"/>
      <c r="N13" s="284">
        <f>METAS[[#This Row],[L]]+METAS[[#This Row],[M]]+METAS[[#This Row],[MI]]</f>
        <v>0</v>
      </c>
      <c r="O13" s="285">
        <f>METAS[[#This Row],[J]]+METAS[[#This Row],[V]]+METAS[[#This Row],[S]]+METAS[[#This Row],[D]]</f>
        <v>1</v>
      </c>
      <c r="P13" s="285">
        <f>METAS[[#This Row],[TOTAL METAS L-V]]+METAS[[#This Row],[TOTAL METAS S-D-F]]+METAS[[#This Row],[DIA PEN. ]]</f>
        <v>1</v>
      </c>
      <c r="Q13" s="286"/>
      <c r="R13" s="286">
        <f>(VLOOKUP(METAS[[#This Row],[NIVEL Y CARGO]],NUEVO[],2,0)*METAS[[#This Row],[TOTAL METAS L-V]])+(VLOOKUP(METAS[[#This Row],[NIVEL Y CARGO]],NUEVO[],3,0)*METAS[[#This Row],[TOTAL METAS S-D-F]])+METAS[[#This Row],[DIA POR PAGAR]]</f>
        <v>401.26</v>
      </c>
      <c r="S13" s="316"/>
      <c r="T13" s="316" t="s">
        <v>1396</v>
      </c>
      <c r="U13" s="316" t="s">
        <v>1397</v>
      </c>
      <c r="V13" s="316" t="s">
        <v>966</v>
      </c>
      <c r="W13" s="289">
        <f>VLOOKUP(METAS[[#This Row],[CEDULA]],DATOS[],9,0)</f>
        <v>0</v>
      </c>
    </row>
    <row r="14" spans="1:23" ht="30" x14ac:dyDescent="0.25">
      <c r="A14" s="280">
        <v>12287719</v>
      </c>
      <c r="B14" s="281" t="str">
        <f>IF(METAS[[#This Row],[OTRO PAGO]]=0,VLOOKUP(METAS[[#This Row],[CEDULA]],DATOS[],2,0),"")</f>
        <v>GOMEZ DAISY</v>
      </c>
      <c r="C14" s="282" t="str">
        <f>VLOOKUP(METAS[[#This Row],[CEDULA]],DATOS[],5,0)</f>
        <v>OBRERO</v>
      </c>
      <c r="D14" s="311" t="s">
        <v>819</v>
      </c>
      <c r="E14" s="313"/>
      <c r="F14" s="313"/>
      <c r="G14" s="313"/>
      <c r="H14" s="313"/>
      <c r="I14" s="313"/>
      <c r="J14" s="313">
        <v>1</v>
      </c>
      <c r="K14" s="313"/>
      <c r="L14" s="313"/>
      <c r="M14" s="283"/>
      <c r="N14" s="284">
        <f>METAS[[#This Row],[L]]+METAS[[#This Row],[M]]+METAS[[#This Row],[MI]]</f>
        <v>0</v>
      </c>
      <c r="O14" s="285">
        <f>METAS[[#This Row],[J]]+METAS[[#This Row],[V]]+METAS[[#This Row],[S]]+METAS[[#This Row],[D]]</f>
        <v>1</v>
      </c>
      <c r="P14" s="285">
        <f>METAS[[#This Row],[TOTAL METAS L-V]]+METAS[[#This Row],[TOTAL METAS S-D-F]]+METAS[[#This Row],[DIA PEN. ]]</f>
        <v>1</v>
      </c>
      <c r="Q14" s="286"/>
      <c r="R14" s="286">
        <f>(VLOOKUP(METAS[[#This Row],[NIVEL Y CARGO]],NUEVO[],2,0)*METAS[[#This Row],[TOTAL METAS L-V]])+(VLOOKUP(METAS[[#This Row],[NIVEL Y CARGO]],NUEVO[],3,0)*METAS[[#This Row],[TOTAL METAS S-D-F]])+METAS[[#This Row],[DIA POR PAGAR]]</f>
        <v>401.26</v>
      </c>
      <c r="S14" s="317"/>
      <c r="T14" s="316" t="s">
        <v>1396</v>
      </c>
      <c r="U14" s="317" t="s">
        <v>967</v>
      </c>
      <c r="V14" s="316" t="s">
        <v>966</v>
      </c>
      <c r="W14" s="289">
        <f>VLOOKUP(METAS[[#This Row],[CEDULA]],DATOS[],9,0)</f>
        <v>0</v>
      </c>
    </row>
    <row r="15" spans="1:23" ht="120" x14ac:dyDescent="0.25">
      <c r="A15" s="280">
        <v>13717013</v>
      </c>
      <c r="B15" s="281" t="str">
        <f>IF(METAS[[#This Row],[OTRO PAGO]]=0,VLOOKUP(METAS[[#This Row],[CEDULA]],DATOS[],2,0),"")</f>
        <v>AREVALO YASMIN</v>
      </c>
      <c r="C15" s="282" t="str">
        <f>VLOOKUP(METAS[[#This Row],[CEDULA]],DATOS[],5,0)</f>
        <v>SUPERVISORIO</v>
      </c>
      <c r="D15" s="311" t="s">
        <v>819</v>
      </c>
      <c r="E15" s="313"/>
      <c r="F15" s="313"/>
      <c r="G15" s="313"/>
      <c r="H15" s="313"/>
      <c r="I15" s="313"/>
      <c r="J15" s="313">
        <v>1</v>
      </c>
      <c r="K15" s="313"/>
      <c r="L15" s="313"/>
      <c r="M15" s="283"/>
      <c r="N15" s="284">
        <f>METAS[[#This Row],[L]]+METAS[[#This Row],[M]]+METAS[[#This Row],[MI]]</f>
        <v>0</v>
      </c>
      <c r="O15" s="285">
        <f>METAS[[#This Row],[J]]+METAS[[#This Row],[V]]+METAS[[#This Row],[S]]+METAS[[#This Row],[D]]</f>
        <v>1</v>
      </c>
      <c r="P15" s="285">
        <f>METAS[[#This Row],[TOTAL METAS L-V]]+METAS[[#This Row],[TOTAL METAS S-D-F]]+METAS[[#This Row],[DIA PEN. ]]</f>
        <v>1</v>
      </c>
      <c r="Q15" s="286"/>
      <c r="R15" s="286">
        <f>(VLOOKUP(METAS[[#This Row],[NIVEL Y CARGO]],NUEVO[],2,0)*METAS[[#This Row],[TOTAL METAS L-V]])+(VLOOKUP(METAS[[#This Row],[NIVEL Y CARGO]],NUEVO[],3,0)*METAS[[#This Row],[TOTAL METAS S-D-F]])+METAS[[#This Row],[DIA POR PAGAR]]</f>
        <v>575.62</v>
      </c>
      <c r="S15" s="316"/>
      <c r="T15" s="316" t="s">
        <v>1396</v>
      </c>
      <c r="U15" s="316" t="s">
        <v>1399</v>
      </c>
      <c r="V15" s="316" t="s">
        <v>964</v>
      </c>
      <c r="W15" s="289">
        <f>VLOOKUP(METAS[[#This Row],[CEDULA]],DATOS[],9,0)</f>
        <v>0</v>
      </c>
    </row>
    <row r="16" spans="1:23" x14ac:dyDescent="0.25">
      <c r="A16" s="332">
        <v>8593916</v>
      </c>
      <c r="B16" s="310" t="str">
        <f>IF(METAS[[#This Row],[OTRO PAGO]]=0,VLOOKUP(METAS[[#This Row],[CEDULA]],DATOS[],2,0),"")</f>
        <v>UGARTE CARMEN</v>
      </c>
      <c r="C16" s="282" t="str">
        <f>VLOOKUP(METAS[[#This Row],[CEDULA]],DATOS[],5,0)</f>
        <v>PROFESIONAL</v>
      </c>
      <c r="D16" s="311" t="s">
        <v>867</v>
      </c>
      <c r="E16" s="315"/>
      <c r="F16" s="315"/>
      <c r="G16" s="315"/>
      <c r="H16" s="315"/>
      <c r="I16" s="315"/>
      <c r="J16" s="315">
        <v>1</v>
      </c>
      <c r="K16" s="315"/>
      <c r="L16" s="315"/>
      <c r="M16" s="283"/>
      <c r="N16" s="284">
        <f>METAS[[#This Row],[L]]+METAS[[#This Row],[M]]+METAS[[#This Row],[MI]]</f>
        <v>0</v>
      </c>
      <c r="O16" s="285">
        <f>METAS[[#This Row],[J]]+METAS[[#This Row],[V]]+METAS[[#This Row],[S]]+METAS[[#This Row],[D]]</f>
        <v>1</v>
      </c>
      <c r="P16" s="285">
        <f>METAS[[#This Row],[TOTAL METAS L-V]]+METAS[[#This Row],[TOTAL METAS S-D-F]]+METAS[[#This Row],[DIA PEN. ]]</f>
        <v>1</v>
      </c>
      <c r="Q16" s="286"/>
      <c r="R16" s="286">
        <f>(VLOOKUP(METAS[[#This Row],[NIVEL Y CARGO]],NUEVO[],2,0)*METAS[[#This Row],[TOTAL METAS L-V]])+(VLOOKUP(METAS[[#This Row],[NIVEL Y CARGO]],NUEVO[],3,0)*METAS[[#This Row],[TOTAL METAS S-D-F]])+METAS[[#This Row],[DIA POR PAGAR]]</f>
        <v>517.5</v>
      </c>
      <c r="S16" s="287"/>
      <c r="T16" s="319" t="s">
        <v>961</v>
      </c>
      <c r="U16" s="287"/>
      <c r="V16" s="288"/>
      <c r="W16" s="289">
        <f>VLOOKUP(METAS[[#This Row],[CEDULA]],DATOS[],9,0)</f>
        <v>0</v>
      </c>
    </row>
    <row r="17" spans="1:23" x14ac:dyDescent="0.25">
      <c r="A17" s="332">
        <v>25482546</v>
      </c>
      <c r="B17" s="281" t="str">
        <f>IF(METAS[[#This Row],[OTRO PAGO]]=0,VLOOKUP(METAS[[#This Row],[CEDULA]],DATOS[],2,0),"")</f>
        <v>ATENCIO MARIA</v>
      </c>
      <c r="C17" s="282" t="str">
        <f>VLOOKUP(METAS[[#This Row],[CEDULA]],DATOS[],5,0)</f>
        <v>PROFESIONAL</v>
      </c>
      <c r="D17" s="311" t="s">
        <v>867</v>
      </c>
      <c r="E17" s="315"/>
      <c r="F17" s="315"/>
      <c r="G17" s="315"/>
      <c r="H17" s="315"/>
      <c r="I17" s="315">
        <v>1</v>
      </c>
      <c r="J17" s="315"/>
      <c r="K17" s="315"/>
      <c r="L17" s="315"/>
      <c r="M17" s="283"/>
      <c r="N17" s="284">
        <f>METAS[[#This Row],[L]]+METAS[[#This Row],[M]]+METAS[[#This Row],[MI]]</f>
        <v>0</v>
      </c>
      <c r="O17" s="285">
        <f>METAS[[#This Row],[J]]+METAS[[#This Row],[V]]+METAS[[#This Row],[S]]+METAS[[#This Row],[D]]</f>
        <v>1</v>
      </c>
      <c r="P17" s="285">
        <f>METAS[[#This Row],[TOTAL METAS L-V]]+METAS[[#This Row],[TOTAL METAS S-D-F]]+METAS[[#This Row],[DIA PEN. ]]</f>
        <v>1</v>
      </c>
      <c r="Q17" s="286"/>
      <c r="R17" s="286">
        <f>(VLOOKUP(METAS[[#This Row],[NIVEL Y CARGO]],NUEVO[],2,0)*METAS[[#This Row],[TOTAL METAS L-V]])+(VLOOKUP(METAS[[#This Row],[NIVEL Y CARGO]],NUEVO[],3,0)*METAS[[#This Row],[TOTAL METAS S-D-F]])+METAS[[#This Row],[DIA POR PAGAR]]</f>
        <v>517.5</v>
      </c>
      <c r="S17" s="287"/>
      <c r="T17" s="319" t="s">
        <v>961</v>
      </c>
      <c r="U17" s="287"/>
      <c r="V17" s="288"/>
      <c r="W17" s="289">
        <f>VLOOKUP(METAS[[#This Row],[CEDULA]],DATOS[],9,0)</f>
        <v>0</v>
      </c>
    </row>
    <row r="18" spans="1:23" x14ac:dyDescent="0.25">
      <c r="A18" s="336">
        <v>15676996</v>
      </c>
      <c r="B18" s="296" t="str">
        <f>IF(METAS[[#This Row],[OTRO PAGO]]=0,VLOOKUP(METAS[[#This Row],[CEDULA]],DATOS[],2,0),"")</f>
        <v>ROSAS VERONICA</v>
      </c>
      <c r="C18" s="297" t="str">
        <f>VLOOKUP(METAS[[#This Row],[CEDULA]],DATOS[],5,0)</f>
        <v>PROFESIONAL</v>
      </c>
      <c r="D18" s="311" t="s">
        <v>867</v>
      </c>
      <c r="E18" s="315"/>
      <c r="F18" s="315"/>
      <c r="G18" s="315">
        <v>1</v>
      </c>
      <c r="H18" s="315"/>
      <c r="I18" s="315"/>
      <c r="J18" s="315"/>
      <c r="K18" s="315"/>
      <c r="L18" s="315"/>
      <c r="M18" s="298"/>
      <c r="N18" s="299">
        <f>METAS[[#This Row],[L]]+METAS[[#This Row],[M]]+METAS[[#This Row],[MI]]</f>
        <v>1</v>
      </c>
      <c r="O18" s="300">
        <f>METAS[[#This Row],[J]]+METAS[[#This Row],[V]]+METAS[[#This Row],[S]]+METAS[[#This Row],[D]]</f>
        <v>0</v>
      </c>
      <c r="P18" s="300">
        <f>METAS[[#This Row],[TOTAL METAS L-V]]+METAS[[#This Row],[TOTAL METAS S-D-F]]+METAS[[#This Row],[DIA PEN. ]]</f>
        <v>1</v>
      </c>
      <c r="Q18" s="301"/>
      <c r="R18" s="301">
        <f>(VLOOKUP(METAS[[#This Row],[NIVEL Y CARGO]],NUEVO[],2,0)*METAS[[#This Row],[TOTAL METAS L-V]])+(VLOOKUP(METAS[[#This Row],[NIVEL Y CARGO]],NUEVO[],3,0)*METAS[[#This Row],[TOTAL METAS S-D-F]])+METAS[[#This Row],[DIA POR PAGAR]]</f>
        <v>258.75</v>
      </c>
      <c r="S18" s="287"/>
      <c r="T18" s="319" t="s">
        <v>961</v>
      </c>
      <c r="U18" s="302"/>
      <c r="V18" s="303"/>
      <c r="W18" s="289">
        <f>VLOOKUP(METAS[[#This Row],[CEDULA]],DATOS[],9,0)</f>
        <v>0</v>
      </c>
    </row>
    <row r="19" spans="1:23" ht="30" x14ac:dyDescent="0.25">
      <c r="A19" s="332">
        <v>11307551</v>
      </c>
      <c r="B19" s="281" t="str">
        <f>IF(METAS[[#This Row],[OTRO PAGO]]=0,VLOOKUP(METAS[[#This Row],[CEDULA]],DATOS[],2,0),"")</f>
        <v>ALARCON VICTOR</v>
      </c>
      <c r="C19" s="282" t="str">
        <f>VLOOKUP(METAS[[#This Row],[CEDULA]],DATOS[],5,0)</f>
        <v>SUPERVISORIO</v>
      </c>
      <c r="D19" s="311" t="s">
        <v>867</v>
      </c>
      <c r="E19" s="315"/>
      <c r="F19" s="315"/>
      <c r="G19" s="315"/>
      <c r="H19" s="315"/>
      <c r="I19" s="315">
        <v>1</v>
      </c>
      <c r="J19" s="315"/>
      <c r="K19" s="315">
        <v>1</v>
      </c>
      <c r="L19" s="315"/>
      <c r="M19" s="283"/>
      <c r="N19" s="284">
        <f>METAS[[#This Row],[L]]+METAS[[#This Row],[M]]+METAS[[#This Row],[MI]]</f>
        <v>0</v>
      </c>
      <c r="O19" s="285">
        <f>METAS[[#This Row],[J]]+METAS[[#This Row],[V]]+METAS[[#This Row],[S]]+METAS[[#This Row],[D]]</f>
        <v>2</v>
      </c>
      <c r="P19" s="285">
        <f>METAS[[#This Row],[TOTAL METAS L-V]]+METAS[[#This Row],[TOTAL METAS S-D-F]]+METAS[[#This Row],[DIA PEN. ]]</f>
        <v>2</v>
      </c>
      <c r="Q19" s="286"/>
      <c r="R19" s="286">
        <f>(VLOOKUP(METAS[[#This Row],[NIVEL Y CARGO]],NUEVO[],2,0)*METAS[[#This Row],[TOTAL METAS L-V]])+(VLOOKUP(METAS[[#This Row],[NIVEL Y CARGO]],NUEVO[],3,0)*METAS[[#This Row],[TOTAL METAS S-D-F]])+METAS[[#This Row],[DIA POR PAGAR]]</f>
        <v>1151.24</v>
      </c>
      <c r="S19" s="287"/>
      <c r="T19" s="319" t="s">
        <v>1387</v>
      </c>
      <c r="U19" s="287"/>
      <c r="V19" s="288"/>
      <c r="W19" s="289">
        <f>VLOOKUP(METAS[[#This Row],[CEDULA]],DATOS[],9,0)</f>
        <v>0</v>
      </c>
    </row>
    <row r="20" spans="1:23" x14ac:dyDescent="0.25">
      <c r="A20" s="309">
        <v>10219318</v>
      </c>
      <c r="B20" s="281" t="str">
        <f>IF(METAS[[#This Row],[OTRO PAGO]]=0,VLOOKUP(METAS[[#This Row],[CEDULA]],DATOS[],2,0),"")</f>
        <v>PAYARES DAISY</v>
      </c>
      <c r="C20" s="282" t="str">
        <f>VLOOKUP(METAS[[#This Row],[CEDULA]],DATOS[],5,0)</f>
        <v>SUPERVISORIO</v>
      </c>
      <c r="D20" s="311" t="s">
        <v>867</v>
      </c>
      <c r="E20" s="312"/>
      <c r="F20" s="312"/>
      <c r="G20" s="312">
        <v>1</v>
      </c>
      <c r="H20" s="312"/>
      <c r="I20" s="312"/>
      <c r="J20" s="312"/>
      <c r="K20" s="312"/>
      <c r="L20" s="312"/>
      <c r="M20" s="283"/>
      <c r="N20" s="284">
        <f>METAS[[#This Row],[L]]+METAS[[#This Row],[M]]+METAS[[#This Row],[MI]]</f>
        <v>1</v>
      </c>
      <c r="O20" s="285">
        <f>METAS[[#This Row],[J]]+METAS[[#This Row],[V]]+METAS[[#This Row],[S]]+METAS[[#This Row],[D]]</f>
        <v>0</v>
      </c>
      <c r="P20" s="285">
        <f>METAS[[#This Row],[TOTAL METAS L-V]]+METAS[[#This Row],[TOTAL METAS S-D-F]]+METAS[[#This Row],[DIA PEN. ]]</f>
        <v>1</v>
      </c>
      <c r="Q20" s="286"/>
      <c r="R20" s="286">
        <f>(VLOOKUP(METAS[[#This Row],[NIVEL Y CARGO]],NUEVO[],2,0)*METAS[[#This Row],[TOTAL METAS L-V]])+(VLOOKUP(METAS[[#This Row],[NIVEL Y CARGO]],NUEVO[],3,0)*METAS[[#This Row],[TOTAL METAS S-D-F]])+METAS[[#This Row],[DIA POR PAGAR]]</f>
        <v>287.81</v>
      </c>
      <c r="S20" s="287"/>
      <c r="T20" s="319" t="s">
        <v>961</v>
      </c>
      <c r="U20" s="287"/>
      <c r="V20" s="288"/>
      <c r="W20" s="289">
        <f>VLOOKUP(METAS[[#This Row],[CEDULA]],DATOS[],9,0)</f>
        <v>0</v>
      </c>
    </row>
    <row r="21" spans="1:23" x14ac:dyDescent="0.25">
      <c r="A21" s="280">
        <v>6207120</v>
      </c>
      <c r="B21" s="310" t="str">
        <f>IF(METAS[[#This Row],[OTRO PAGO]]=0,VLOOKUP(METAS[[#This Row],[CEDULA]],DATOS[],2,0),"")</f>
        <v>ARAOZ FRANCISCO</v>
      </c>
      <c r="C21" s="282" t="str">
        <f>VLOOKUP(METAS[[#This Row],[CEDULA]],DATOS[],5,0)</f>
        <v>PROFESIONAL</v>
      </c>
      <c r="D21" s="311" t="s">
        <v>869</v>
      </c>
      <c r="E21" s="315">
        <v>1</v>
      </c>
      <c r="F21" s="315">
        <v>1</v>
      </c>
      <c r="G21" s="315"/>
      <c r="H21" s="315"/>
      <c r="I21" s="315"/>
      <c r="J21" s="315"/>
      <c r="K21" s="315"/>
      <c r="L21" s="315"/>
      <c r="M21" s="283"/>
      <c r="N21" s="284">
        <f>METAS[[#This Row],[L]]+METAS[[#This Row],[M]]+METAS[[#This Row],[MI]]</f>
        <v>2</v>
      </c>
      <c r="O21" s="285">
        <f>METAS[[#This Row],[J]]+METAS[[#This Row],[V]]+METAS[[#This Row],[S]]+METAS[[#This Row],[D]]</f>
        <v>0</v>
      </c>
      <c r="P21" s="285">
        <f>METAS[[#This Row],[TOTAL METAS L-V]]+METAS[[#This Row],[TOTAL METAS S-D-F]]+METAS[[#This Row],[DIA PEN. ]]</f>
        <v>2</v>
      </c>
      <c r="Q21" s="286"/>
      <c r="R21" s="286">
        <f>(VLOOKUP(METAS[[#This Row],[NIVEL Y CARGO]],NUEVO[],2,0)*METAS[[#This Row],[TOTAL METAS L-V]])+(VLOOKUP(METAS[[#This Row],[NIVEL Y CARGO]],NUEVO[],3,0)*METAS[[#This Row],[TOTAL METAS S-D-F]])+METAS[[#This Row],[DIA POR PAGAR]]</f>
        <v>517.5</v>
      </c>
      <c r="S21" s="319" t="s">
        <v>985</v>
      </c>
      <c r="T21" s="319"/>
      <c r="U21" s="287"/>
      <c r="V21" s="288"/>
      <c r="W21" s="289">
        <f>VLOOKUP(METAS[[#This Row],[CEDULA]],DATOS[],9,0)</f>
        <v>0</v>
      </c>
    </row>
    <row r="22" spans="1:23" x14ac:dyDescent="0.25">
      <c r="A22" s="295">
        <v>3523168</v>
      </c>
      <c r="B22" s="296" t="str">
        <f>IF(METAS[[#This Row],[OTRO PAGO]]=0,VLOOKUP(METAS[[#This Row],[CEDULA]],DATOS[],2,0),"")</f>
        <v>BRICENO ESPERANZA</v>
      </c>
      <c r="C22" s="297" t="str">
        <f>VLOOKUP(METAS[[#This Row],[CEDULA]],DATOS[],5,0)</f>
        <v>SUPERVISORIO</v>
      </c>
      <c r="D22" s="311" t="s">
        <v>869</v>
      </c>
      <c r="E22" s="313">
        <v>1</v>
      </c>
      <c r="F22" s="313">
        <v>1</v>
      </c>
      <c r="G22" s="313"/>
      <c r="H22" s="313"/>
      <c r="I22" s="313"/>
      <c r="J22" s="313"/>
      <c r="K22" s="313"/>
      <c r="L22" s="313"/>
      <c r="M22" s="298"/>
      <c r="N22" s="299">
        <f>METAS[[#This Row],[L]]+METAS[[#This Row],[M]]+METAS[[#This Row],[MI]]</f>
        <v>2</v>
      </c>
      <c r="O22" s="300">
        <f>METAS[[#This Row],[J]]+METAS[[#This Row],[V]]+METAS[[#This Row],[S]]+METAS[[#This Row],[D]]</f>
        <v>0</v>
      </c>
      <c r="P22" s="300">
        <f>METAS[[#This Row],[TOTAL METAS L-V]]+METAS[[#This Row],[TOTAL METAS S-D-F]]+METAS[[#This Row],[DIA PEN. ]]</f>
        <v>2</v>
      </c>
      <c r="Q22" s="301"/>
      <c r="R22" s="301">
        <f>(VLOOKUP(METAS[[#This Row],[NIVEL Y CARGO]],NUEVO[],2,0)*METAS[[#This Row],[TOTAL METAS L-V]])+(VLOOKUP(METAS[[#This Row],[NIVEL Y CARGO]],NUEVO[],3,0)*METAS[[#This Row],[TOTAL METAS S-D-F]])+METAS[[#This Row],[DIA POR PAGAR]]</f>
        <v>575.62</v>
      </c>
      <c r="S22" s="316" t="s">
        <v>984</v>
      </c>
      <c r="T22" s="317"/>
      <c r="U22" s="302"/>
      <c r="V22" s="303"/>
      <c r="W22" s="289">
        <f>VLOOKUP(METAS[[#This Row],[CEDULA]],DATOS[],9,0)</f>
        <v>0</v>
      </c>
    </row>
    <row r="23" spans="1:23" x14ac:dyDescent="0.25">
      <c r="A23" s="295">
        <v>12900851</v>
      </c>
      <c r="B23" s="296" t="str">
        <f>IF(METAS[[#This Row],[OTRO PAGO]]=0,VLOOKUP(METAS[[#This Row],[CEDULA]],DATOS[],2,0),"")</f>
        <v>ACEVEDO MOISES</v>
      </c>
      <c r="C23" s="297" t="str">
        <f>VLOOKUP(METAS[[#This Row],[CEDULA]],DATOS[],5,0)</f>
        <v>SUPERVISORIO</v>
      </c>
      <c r="D23" s="314" t="s">
        <v>869</v>
      </c>
      <c r="E23" s="313">
        <v>1</v>
      </c>
      <c r="F23" s="313">
        <v>1</v>
      </c>
      <c r="G23" s="313">
        <v>1</v>
      </c>
      <c r="H23" s="313">
        <v>1</v>
      </c>
      <c r="I23" s="313">
        <v>1</v>
      </c>
      <c r="J23" s="313">
        <v>1</v>
      </c>
      <c r="K23" s="313">
        <v>1</v>
      </c>
      <c r="L23" s="313"/>
      <c r="M23" s="298"/>
      <c r="N23" s="299">
        <f>METAS[[#This Row],[L]]+METAS[[#This Row],[M]]+METAS[[#This Row],[MI]]</f>
        <v>3</v>
      </c>
      <c r="O23" s="300">
        <f>METAS[[#This Row],[J]]+METAS[[#This Row],[V]]+METAS[[#This Row],[S]]+METAS[[#This Row],[D]]</f>
        <v>4</v>
      </c>
      <c r="P23" s="300">
        <f>METAS[[#This Row],[TOTAL METAS L-V]]+METAS[[#This Row],[TOTAL METAS S-D-F]]+METAS[[#This Row],[DIA PEN. ]]</f>
        <v>7</v>
      </c>
      <c r="Q23" s="301"/>
      <c r="R23" s="301">
        <f>(VLOOKUP(METAS[[#This Row],[NIVEL Y CARGO]],NUEVO[],2,0)*METAS[[#This Row],[TOTAL METAS L-V]])+(VLOOKUP(METAS[[#This Row],[NIVEL Y CARGO]],NUEVO[],3,0)*METAS[[#This Row],[TOTAL METAS S-D-F]])+METAS[[#This Row],[DIA POR PAGAR]]</f>
        <v>3165.91</v>
      </c>
      <c r="S23" s="316" t="s">
        <v>985</v>
      </c>
      <c r="T23" s="317"/>
      <c r="U23" s="287"/>
      <c r="V23" s="303"/>
      <c r="W23" s="289">
        <f>VLOOKUP(METAS[[#This Row],[CEDULA]],DATOS[],9,0)</f>
        <v>0</v>
      </c>
    </row>
    <row r="24" spans="1:23" x14ac:dyDescent="0.25">
      <c r="A24" s="280">
        <v>7452015</v>
      </c>
      <c r="B24" s="281" t="str">
        <f>IF(METAS[[#This Row],[OTRO PAGO]]=0,VLOOKUP(METAS[[#This Row],[CEDULA]],DATOS[],2,0),"")</f>
        <v>GONZALEZ RITO</v>
      </c>
      <c r="C24" s="282" t="str">
        <f>VLOOKUP(METAS[[#This Row],[CEDULA]],DATOS[],5,0)</f>
        <v>SUPERVISORIO</v>
      </c>
      <c r="D24" s="311" t="s">
        <v>869</v>
      </c>
      <c r="E24" s="313">
        <v>1</v>
      </c>
      <c r="F24" s="313">
        <v>1</v>
      </c>
      <c r="G24" s="313">
        <v>1</v>
      </c>
      <c r="H24" s="313">
        <v>1</v>
      </c>
      <c r="I24" s="313">
        <v>1</v>
      </c>
      <c r="J24" s="313">
        <v>1</v>
      </c>
      <c r="K24" s="313">
        <v>1</v>
      </c>
      <c r="L24" s="313"/>
      <c r="M24" s="283"/>
      <c r="N24" s="284">
        <f>METAS[[#This Row],[L]]+METAS[[#This Row],[M]]+METAS[[#This Row],[MI]]</f>
        <v>3</v>
      </c>
      <c r="O24" s="285">
        <f>METAS[[#This Row],[J]]+METAS[[#This Row],[V]]+METAS[[#This Row],[S]]+METAS[[#This Row],[D]]</f>
        <v>4</v>
      </c>
      <c r="P24" s="285">
        <f>METAS[[#This Row],[TOTAL METAS L-V]]+METAS[[#This Row],[TOTAL METAS S-D-F]]+METAS[[#This Row],[DIA PEN. ]]</f>
        <v>7</v>
      </c>
      <c r="Q24" s="286"/>
      <c r="R24" s="286">
        <f>(VLOOKUP(METAS[[#This Row],[NIVEL Y CARGO]],NUEVO[],2,0)*METAS[[#This Row],[TOTAL METAS L-V]])+(VLOOKUP(METAS[[#This Row],[NIVEL Y CARGO]],NUEVO[],3,0)*METAS[[#This Row],[TOTAL METAS S-D-F]])+METAS[[#This Row],[DIA POR PAGAR]]</f>
        <v>3165.91</v>
      </c>
      <c r="S24" s="317" t="s">
        <v>986</v>
      </c>
      <c r="T24" s="317" t="s">
        <v>986</v>
      </c>
      <c r="U24" s="287"/>
      <c r="V24" s="288"/>
      <c r="W24" s="289">
        <f>VLOOKUP(METAS[[#This Row],[CEDULA]],DATOS[],9,0)</f>
        <v>0</v>
      </c>
    </row>
    <row r="25" spans="1:23" x14ac:dyDescent="0.25">
      <c r="A25" s="280">
        <v>9420460</v>
      </c>
      <c r="B25" s="310" t="str">
        <f>IF(METAS[[#This Row],[OTRO PAGO]]=0,VLOOKUP(METAS[[#This Row],[CEDULA]],DATOS[],2,0),"")</f>
        <v>MOYA MANUEL</v>
      </c>
      <c r="C25" s="282" t="str">
        <f>VLOOKUP(METAS[[#This Row],[CEDULA]],DATOS[],5,0)</f>
        <v>SUPERVISORIO</v>
      </c>
      <c r="D25" s="311" t="s">
        <v>868</v>
      </c>
      <c r="E25" s="315"/>
      <c r="F25" s="315"/>
      <c r="G25" s="315">
        <v>1</v>
      </c>
      <c r="H25" s="315"/>
      <c r="I25" s="315"/>
      <c r="J25" s="315">
        <v>1</v>
      </c>
      <c r="K25" s="315"/>
      <c r="L25" s="315"/>
      <c r="M25" s="283"/>
      <c r="N25" s="284">
        <f>METAS[[#This Row],[L]]+METAS[[#This Row],[M]]+METAS[[#This Row],[MI]]</f>
        <v>1</v>
      </c>
      <c r="O25" s="285">
        <f>METAS[[#This Row],[J]]+METAS[[#This Row],[V]]+METAS[[#This Row],[S]]+METAS[[#This Row],[D]]</f>
        <v>1</v>
      </c>
      <c r="P25" s="285">
        <f>METAS[[#This Row],[TOTAL METAS L-V]]+METAS[[#This Row],[TOTAL METAS S-D-F]]+METAS[[#This Row],[DIA PEN. ]]</f>
        <v>2</v>
      </c>
      <c r="Q25" s="286"/>
      <c r="R25" s="286">
        <f>(VLOOKUP(METAS[[#This Row],[NIVEL Y CARGO]],NUEVO[],2,0)*METAS[[#This Row],[TOTAL METAS L-V]])+(VLOOKUP(METAS[[#This Row],[NIVEL Y CARGO]],NUEVO[],3,0)*METAS[[#This Row],[TOTAL METAS S-D-F]])+METAS[[#This Row],[DIA POR PAGAR]]</f>
        <v>863.43000000000006</v>
      </c>
      <c r="S25" s="319"/>
      <c r="T25" s="316" t="s">
        <v>1400</v>
      </c>
      <c r="U25" s="319"/>
      <c r="V25" s="391" t="s">
        <v>1421</v>
      </c>
      <c r="W25" s="289">
        <f>VLOOKUP(METAS[[#This Row],[CEDULA]],DATOS[],9,0)</f>
        <v>0</v>
      </c>
    </row>
    <row r="26" spans="1:23" x14ac:dyDescent="0.25">
      <c r="A26" s="280">
        <v>14346582</v>
      </c>
      <c r="B26" s="281" t="str">
        <f>IF(METAS[[#This Row],[OTRO PAGO]]=0,VLOOKUP(METAS[[#This Row],[CEDULA]],DATOS[],2,0),"")</f>
        <v>ESQUEA LUIS</v>
      </c>
      <c r="C26" s="282" t="str">
        <f>VLOOKUP(METAS[[#This Row],[CEDULA]],DATOS[],5,0)</f>
        <v>OBRERO</v>
      </c>
      <c r="D26" s="311" t="s">
        <v>868</v>
      </c>
      <c r="E26" s="315"/>
      <c r="F26" s="315"/>
      <c r="G26" s="315">
        <v>1</v>
      </c>
      <c r="H26" s="315"/>
      <c r="I26" s="315"/>
      <c r="J26" s="315"/>
      <c r="K26" s="315"/>
      <c r="L26" s="315"/>
      <c r="M26" s="283"/>
      <c r="N26" s="284">
        <f>METAS[[#This Row],[L]]+METAS[[#This Row],[M]]+METAS[[#This Row],[MI]]</f>
        <v>1</v>
      </c>
      <c r="O26" s="285">
        <f>METAS[[#This Row],[J]]+METAS[[#This Row],[V]]+METAS[[#This Row],[S]]+METAS[[#This Row],[D]]</f>
        <v>0</v>
      </c>
      <c r="P26" s="285">
        <f>METAS[[#This Row],[TOTAL METAS L-V]]+METAS[[#This Row],[TOTAL METAS S-D-F]]+METAS[[#This Row],[DIA PEN. ]]</f>
        <v>1</v>
      </c>
      <c r="Q26" s="286"/>
      <c r="R26" s="286">
        <f>(VLOOKUP(METAS[[#This Row],[NIVEL Y CARGO]],NUEVO[],2,0)*METAS[[#This Row],[TOTAL METAS L-V]])+(VLOOKUP(METAS[[#This Row],[NIVEL Y CARGO]],NUEVO[],3,0)*METAS[[#This Row],[TOTAL METAS S-D-F]])+METAS[[#This Row],[DIA POR PAGAR]]</f>
        <v>200.63</v>
      </c>
      <c r="S26" s="319"/>
      <c r="T26" s="316" t="s">
        <v>1401</v>
      </c>
      <c r="U26" s="319"/>
      <c r="V26" s="319"/>
      <c r="W26" s="289">
        <f>VLOOKUP(METAS[[#This Row],[CEDULA]],DATOS[],9,0)</f>
        <v>0</v>
      </c>
    </row>
    <row r="27" spans="1:23" x14ac:dyDescent="0.25">
      <c r="A27" s="280">
        <v>10628857</v>
      </c>
      <c r="B27" s="281" t="str">
        <f>IF(METAS[[#This Row],[OTRO PAGO]]=0,VLOOKUP(METAS[[#This Row],[CEDULA]],DATOS[],2,0),"")</f>
        <v>ANGARITA YEISON</v>
      </c>
      <c r="C27" s="282" t="str">
        <f>VLOOKUP(METAS[[#This Row],[CEDULA]],DATOS[],5,0)</f>
        <v>OBRERO</v>
      </c>
      <c r="D27" s="311" t="s">
        <v>868</v>
      </c>
      <c r="E27" s="315"/>
      <c r="F27" s="315"/>
      <c r="G27" s="315"/>
      <c r="H27" s="315"/>
      <c r="I27" s="315">
        <v>1</v>
      </c>
      <c r="J27" s="315"/>
      <c r="K27" s="315"/>
      <c r="L27" s="315"/>
      <c r="M27" s="283"/>
      <c r="N27" s="284">
        <f>METAS[[#This Row],[L]]+METAS[[#This Row],[M]]+METAS[[#This Row],[MI]]</f>
        <v>0</v>
      </c>
      <c r="O27" s="285">
        <f>METAS[[#This Row],[J]]+METAS[[#This Row],[V]]+METAS[[#This Row],[S]]+METAS[[#This Row],[D]]</f>
        <v>1</v>
      </c>
      <c r="P27" s="285">
        <f>METAS[[#This Row],[TOTAL METAS L-V]]+METAS[[#This Row],[TOTAL METAS S-D-F]]+METAS[[#This Row],[DIA PEN. ]]</f>
        <v>1</v>
      </c>
      <c r="Q27" s="286"/>
      <c r="R27" s="286">
        <f>(VLOOKUP(METAS[[#This Row],[NIVEL Y CARGO]],NUEVO[],2,0)*METAS[[#This Row],[TOTAL METAS L-V]])+(VLOOKUP(METAS[[#This Row],[NIVEL Y CARGO]],NUEVO[],3,0)*METAS[[#This Row],[TOTAL METAS S-D-F]])+METAS[[#This Row],[DIA POR PAGAR]]</f>
        <v>401.26</v>
      </c>
      <c r="S27" s="319"/>
      <c r="T27" s="316" t="s">
        <v>1401</v>
      </c>
      <c r="U27" s="319"/>
      <c r="V27" s="319"/>
      <c r="W27" s="289">
        <f>VLOOKUP(METAS[[#This Row],[CEDULA]],DATOS[],9,0)</f>
        <v>0</v>
      </c>
    </row>
    <row r="28" spans="1:23" x14ac:dyDescent="0.25">
      <c r="A28" s="280">
        <v>11037153</v>
      </c>
      <c r="B28" s="281" t="str">
        <f>IF(METAS[[#This Row],[OTRO PAGO]]=0,VLOOKUP(METAS[[#This Row],[CEDULA]],DATOS[],2,0),"")</f>
        <v>CASTRO JOSEFA</v>
      </c>
      <c r="C28" s="282" t="str">
        <f>VLOOKUP(METAS[[#This Row],[CEDULA]],DATOS[],5,0)</f>
        <v>OBRERO</v>
      </c>
      <c r="D28" s="311" t="s">
        <v>868</v>
      </c>
      <c r="E28" s="315"/>
      <c r="F28" s="315"/>
      <c r="G28" s="315">
        <v>1</v>
      </c>
      <c r="H28" s="315"/>
      <c r="I28" s="315"/>
      <c r="J28" s="315">
        <v>1</v>
      </c>
      <c r="K28" s="315"/>
      <c r="L28" s="315"/>
      <c r="M28" s="283"/>
      <c r="N28" s="284">
        <f>METAS[[#This Row],[L]]+METAS[[#This Row],[M]]+METAS[[#This Row],[MI]]</f>
        <v>1</v>
      </c>
      <c r="O28" s="285">
        <f>METAS[[#This Row],[J]]+METAS[[#This Row],[V]]+METAS[[#This Row],[S]]+METAS[[#This Row],[D]]</f>
        <v>1</v>
      </c>
      <c r="P28" s="285">
        <f>METAS[[#This Row],[TOTAL METAS L-V]]+METAS[[#This Row],[TOTAL METAS S-D-F]]+METAS[[#This Row],[DIA PEN. ]]</f>
        <v>2</v>
      </c>
      <c r="Q28" s="286"/>
      <c r="R28" s="286">
        <f>(VLOOKUP(METAS[[#This Row],[NIVEL Y CARGO]],NUEVO[],2,0)*METAS[[#This Row],[TOTAL METAS L-V]])+(VLOOKUP(METAS[[#This Row],[NIVEL Y CARGO]],NUEVO[],3,0)*METAS[[#This Row],[TOTAL METAS S-D-F]])+METAS[[#This Row],[DIA POR PAGAR]]</f>
        <v>601.89</v>
      </c>
      <c r="S28" s="319"/>
      <c r="T28" s="316" t="s">
        <v>1402</v>
      </c>
      <c r="U28" s="319"/>
      <c r="V28" s="319"/>
      <c r="W28" s="289">
        <f>VLOOKUP(METAS[[#This Row],[CEDULA]],DATOS[],9,0)</f>
        <v>0</v>
      </c>
    </row>
    <row r="29" spans="1:23" x14ac:dyDescent="0.25">
      <c r="A29" s="280">
        <v>13548201</v>
      </c>
      <c r="B29" s="281" t="str">
        <f>IF(METAS[[#This Row],[OTRO PAGO]]=0,VLOOKUP(METAS[[#This Row],[CEDULA]],DATOS[],2,0),"")</f>
        <v>AULAR JOSE</v>
      </c>
      <c r="C29" s="282" t="str">
        <f>VLOOKUP(METAS[[#This Row],[CEDULA]],DATOS[],5,0)</f>
        <v>OBRERO</v>
      </c>
      <c r="D29" s="311" t="s">
        <v>868</v>
      </c>
      <c r="E29" s="315"/>
      <c r="F29" s="315"/>
      <c r="G29" s="315"/>
      <c r="H29" s="315">
        <v>1</v>
      </c>
      <c r="I29" s="315">
        <v>1</v>
      </c>
      <c r="J29" s="315"/>
      <c r="K29" s="315"/>
      <c r="L29" s="315"/>
      <c r="M29" s="283"/>
      <c r="N29" s="284">
        <f>METAS[[#This Row],[L]]+METAS[[#This Row],[M]]+METAS[[#This Row],[MI]]</f>
        <v>0</v>
      </c>
      <c r="O29" s="285">
        <f>METAS[[#This Row],[J]]+METAS[[#This Row],[V]]+METAS[[#This Row],[S]]+METAS[[#This Row],[D]]</f>
        <v>2</v>
      </c>
      <c r="P29" s="285">
        <f>METAS[[#This Row],[TOTAL METAS L-V]]+METAS[[#This Row],[TOTAL METAS S-D-F]]+METAS[[#This Row],[DIA PEN. ]]</f>
        <v>2</v>
      </c>
      <c r="Q29" s="286"/>
      <c r="R29" s="286">
        <f>(VLOOKUP(METAS[[#This Row],[NIVEL Y CARGO]],NUEVO[],2,0)*METAS[[#This Row],[TOTAL METAS L-V]])+(VLOOKUP(METAS[[#This Row],[NIVEL Y CARGO]],NUEVO[],3,0)*METAS[[#This Row],[TOTAL METAS S-D-F]])+METAS[[#This Row],[DIA POR PAGAR]]</f>
        <v>802.52</v>
      </c>
      <c r="S29" s="319"/>
      <c r="T29" s="316" t="s">
        <v>1403</v>
      </c>
      <c r="U29" s="319"/>
      <c r="V29" s="319"/>
      <c r="W29" s="289">
        <f>VLOOKUP(METAS[[#This Row],[CEDULA]],DATOS[],9,0)</f>
        <v>0</v>
      </c>
    </row>
    <row r="30" spans="1:23" x14ac:dyDescent="0.25">
      <c r="A30" s="295">
        <v>5466538</v>
      </c>
      <c r="B30" s="296" t="str">
        <f>IF(METAS[[#This Row],[OTRO PAGO]]=0,VLOOKUP(METAS[[#This Row],[CEDULA]],DATOS[],2,0),"")</f>
        <v>BRITO LYSBETH</v>
      </c>
      <c r="C30" s="297" t="str">
        <f>VLOOKUP(METAS[[#This Row],[CEDULA]],DATOS[],5,0)</f>
        <v>SUPERVISORIO</v>
      </c>
      <c r="D30" s="311" t="s">
        <v>868</v>
      </c>
      <c r="E30" s="315"/>
      <c r="F30" s="315"/>
      <c r="G30" s="315"/>
      <c r="H30" s="315"/>
      <c r="I30" s="315">
        <v>1</v>
      </c>
      <c r="J30" s="315"/>
      <c r="K30" s="315"/>
      <c r="L30" s="315"/>
      <c r="M30" s="298"/>
      <c r="N30" s="299">
        <f>METAS[[#This Row],[L]]+METAS[[#This Row],[M]]+METAS[[#This Row],[MI]]</f>
        <v>0</v>
      </c>
      <c r="O30" s="300">
        <f>METAS[[#This Row],[J]]+METAS[[#This Row],[V]]+METAS[[#This Row],[S]]+METAS[[#This Row],[D]]</f>
        <v>1</v>
      </c>
      <c r="P30" s="300">
        <f>METAS[[#This Row],[TOTAL METAS L-V]]+METAS[[#This Row],[TOTAL METAS S-D-F]]+METAS[[#This Row],[DIA PEN. ]]</f>
        <v>1</v>
      </c>
      <c r="Q30" s="301"/>
      <c r="R30" s="301">
        <f>(VLOOKUP(METAS[[#This Row],[NIVEL Y CARGO]],NUEVO[],2,0)*METAS[[#This Row],[TOTAL METAS L-V]])+(VLOOKUP(METAS[[#This Row],[NIVEL Y CARGO]],NUEVO[],3,0)*METAS[[#This Row],[TOTAL METAS S-D-F]])+METAS[[#This Row],[DIA POR PAGAR]]</f>
        <v>575.62</v>
      </c>
      <c r="S30" s="319"/>
      <c r="T30" s="316" t="s">
        <v>1404</v>
      </c>
      <c r="U30" s="319"/>
      <c r="V30" s="319"/>
      <c r="W30" s="289">
        <f>VLOOKUP(METAS[[#This Row],[CEDULA]],DATOS[],9,0)</f>
        <v>0</v>
      </c>
    </row>
    <row r="31" spans="1:23" x14ac:dyDescent="0.25">
      <c r="A31" s="280">
        <v>6318111</v>
      </c>
      <c r="B31" s="281" t="str">
        <f>IF(METAS[[#This Row],[OTRO PAGO]]=0,VLOOKUP(METAS[[#This Row],[CEDULA]],DATOS[],2,0),"")</f>
        <v>GARCIA CARLOS</v>
      </c>
      <c r="C31" s="282" t="str">
        <f>VLOOKUP(METAS[[#This Row],[CEDULA]],DATOS[],5,0)</f>
        <v>OBRERO</v>
      </c>
      <c r="D31" s="311" t="s">
        <v>868</v>
      </c>
      <c r="E31" s="315"/>
      <c r="F31" s="315"/>
      <c r="G31" s="315"/>
      <c r="H31" s="315"/>
      <c r="I31" s="315">
        <v>1</v>
      </c>
      <c r="J31" s="315"/>
      <c r="K31" s="315"/>
      <c r="L31" s="315"/>
      <c r="M31" s="283"/>
      <c r="N31" s="284">
        <f>METAS[[#This Row],[L]]+METAS[[#This Row],[M]]+METAS[[#This Row],[MI]]</f>
        <v>0</v>
      </c>
      <c r="O31" s="285">
        <f>METAS[[#This Row],[J]]+METAS[[#This Row],[V]]+METAS[[#This Row],[S]]+METAS[[#This Row],[D]]</f>
        <v>1</v>
      </c>
      <c r="P31" s="285">
        <f>METAS[[#This Row],[TOTAL METAS L-V]]+METAS[[#This Row],[TOTAL METAS S-D-F]]+METAS[[#This Row],[DIA PEN. ]]</f>
        <v>1</v>
      </c>
      <c r="Q31" s="286"/>
      <c r="R31" s="286">
        <f>(VLOOKUP(METAS[[#This Row],[NIVEL Y CARGO]],NUEVO[],2,0)*METAS[[#This Row],[TOTAL METAS L-V]])+(VLOOKUP(METAS[[#This Row],[NIVEL Y CARGO]],NUEVO[],3,0)*METAS[[#This Row],[TOTAL METAS S-D-F]])+METAS[[#This Row],[DIA POR PAGAR]]</f>
        <v>401.26</v>
      </c>
      <c r="S31" s="319"/>
      <c r="T31" s="316" t="s">
        <v>1405</v>
      </c>
      <c r="U31" s="319"/>
      <c r="V31" s="319"/>
      <c r="W31" s="289">
        <f>VLOOKUP(METAS[[#This Row],[CEDULA]],DATOS[],9,0)</f>
        <v>0</v>
      </c>
    </row>
    <row r="32" spans="1:23" x14ac:dyDescent="0.25">
      <c r="A32" s="280">
        <v>33396857</v>
      </c>
      <c r="B32" s="281" t="str">
        <f>IF(METAS[[#This Row],[OTRO PAGO]]=0,VLOOKUP(METAS[[#This Row],[CEDULA]],DATOS[],2,0),"")</f>
        <v>RIVAS ABDIAS</v>
      </c>
      <c r="C32" s="282" t="str">
        <f>VLOOKUP(METAS[[#This Row],[CEDULA]],DATOS[],5,0)</f>
        <v>ADMINISTRATIVO</v>
      </c>
      <c r="D32" s="311" t="s">
        <v>868</v>
      </c>
      <c r="E32" s="315"/>
      <c r="F32" s="315"/>
      <c r="G32" s="315"/>
      <c r="H32" s="315"/>
      <c r="I32" s="315">
        <v>1</v>
      </c>
      <c r="J32" s="315"/>
      <c r="K32" s="315"/>
      <c r="L32" s="315"/>
      <c r="M32" s="283"/>
      <c r="N32" s="284">
        <f>METAS[[#This Row],[L]]+METAS[[#This Row],[M]]+METAS[[#This Row],[MI]]</f>
        <v>0</v>
      </c>
      <c r="O32" s="285">
        <f>METAS[[#This Row],[J]]+METAS[[#This Row],[V]]+METAS[[#This Row],[S]]+METAS[[#This Row],[D]]</f>
        <v>1</v>
      </c>
      <c r="P32" s="285">
        <f>METAS[[#This Row],[TOTAL METAS L-V]]+METAS[[#This Row],[TOTAL METAS S-D-F]]+METAS[[#This Row],[DIA PEN. ]]</f>
        <v>1</v>
      </c>
      <c r="Q32" s="286"/>
      <c r="R32" s="286">
        <f>(VLOOKUP(METAS[[#This Row],[NIVEL Y CARGO]],NUEVO[],2,0)*METAS[[#This Row],[TOTAL METAS L-V]])+(VLOOKUP(METAS[[#This Row],[NIVEL Y CARGO]],NUEVO[],3,0)*METAS[[#This Row],[TOTAL METAS S-D-F]])+METAS[[#This Row],[DIA POR PAGAR]]</f>
        <v>430.32</v>
      </c>
      <c r="S32" s="319"/>
      <c r="T32" s="316" t="s">
        <v>1405</v>
      </c>
      <c r="U32" s="319"/>
      <c r="V32" s="319"/>
      <c r="W32" s="289">
        <f>VLOOKUP(METAS[[#This Row],[CEDULA]],DATOS[],9,0)</f>
        <v>0</v>
      </c>
    </row>
    <row r="33" spans="1:23" ht="75" x14ac:dyDescent="0.25">
      <c r="A33" s="280">
        <v>6965462</v>
      </c>
      <c r="B33" s="310" t="str">
        <f>IF(METAS[[#This Row],[OTRO PAGO]]=0,VLOOKUP(METAS[[#This Row],[CEDULA]],DATOS[],2,0),"")</f>
        <v>QUINTANA ANTONIO</v>
      </c>
      <c r="C33" s="282" t="str">
        <f>VLOOKUP(METAS[[#This Row],[CEDULA]],DATOS[],5,0)</f>
        <v>PROFESIONAL</v>
      </c>
      <c r="D33" s="311" t="s">
        <v>870</v>
      </c>
      <c r="E33" s="315"/>
      <c r="F33" s="315"/>
      <c r="G33" s="315">
        <v>1</v>
      </c>
      <c r="H33" s="315"/>
      <c r="I33" s="315"/>
      <c r="J33" s="315">
        <v>1</v>
      </c>
      <c r="K33" s="315"/>
      <c r="L33" s="315"/>
      <c r="M33" s="283"/>
      <c r="N33" s="284">
        <f>METAS[[#This Row],[L]]+METAS[[#This Row],[M]]+METAS[[#This Row],[MI]]</f>
        <v>1</v>
      </c>
      <c r="O33" s="285">
        <f>METAS[[#This Row],[J]]+METAS[[#This Row],[V]]+METAS[[#This Row],[S]]+METAS[[#This Row],[D]]</f>
        <v>1</v>
      </c>
      <c r="P33" s="285">
        <f>METAS[[#This Row],[TOTAL METAS L-V]]+METAS[[#This Row],[TOTAL METAS S-D-F]]+METAS[[#This Row],[DIA PEN. ]]</f>
        <v>2</v>
      </c>
      <c r="Q33" s="286"/>
      <c r="R33" s="286">
        <f>(VLOOKUP(METAS[[#This Row],[NIVEL Y CARGO]],NUEVO[],2,0)*METAS[[#This Row],[TOTAL METAS L-V]])+(VLOOKUP(METAS[[#This Row],[NIVEL Y CARGO]],NUEVO[],3,0)*METAS[[#This Row],[TOTAL METAS S-D-F]])+METAS[[#This Row],[DIA POR PAGAR]]</f>
        <v>776.25</v>
      </c>
      <c r="S33" s="319" t="s">
        <v>1393</v>
      </c>
      <c r="T33" s="319" t="s">
        <v>1394</v>
      </c>
      <c r="U33" s="319" t="s">
        <v>983</v>
      </c>
      <c r="V33" s="288"/>
      <c r="W33" s="289">
        <f>VLOOKUP(METAS[[#This Row],[CEDULA]],DATOS[],9,0)</f>
        <v>0</v>
      </c>
    </row>
    <row r="34" spans="1:23" ht="30" x14ac:dyDescent="0.25">
      <c r="A34" s="280">
        <v>6040404</v>
      </c>
      <c r="B34" s="310" t="str">
        <f>IF(METAS[[#This Row],[OTRO PAGO]]=0,VLOOKUP(METAS[[#This Row],[CEDULA]],DATOS[],2,0),"")</f>
        <v>CRISTANCHO CIRO</v>
      </c>
      <c r="C34" s="282" t="str">
        <f>VLOOKUP(METAS[[#This Row],[CEDULA]],DATOS[],5,0)</f>
        <v>OBRERO</v>
      </c>
      <c r="D34" s="311" t="s">
        <v>862</v>
      </c>
      <c r="E34" s="334"/>
      <c r="F34" s="334"/>
      <c r="G34" s="334">
        <v>1</v>
      </c>
      <c r="H34" s="334"/>
      <c r="I34" s="334"/>
      <c r="J34" s="334"/>
      <c r="K34" s="334"/>
      <c r="L34" s="334"/>
      <c r="M34" s="283"/>
      <c r="N34" s="284">
        <f>METAS[[#This Row],[L]]+METAS[[#This Row],[M]]+METAS[[#This Row],[MI]]</f>
        <v>1</v>
      </c>
      <c r="O34" s="285">
        <f>METAS[[#This Row],[J]]+METAS[[#This Row],[V]]+METAS[[#This Row],[S]]+METAS[[#This Row],[D]]</f>
        <v>0</v>
      </c>
      <c r="P34" s="285">
        <f>METAS[[#This Row],[TOTAL METAS L-V]]+METAS[[#This Row],[TOTAL METAS S-D-F]]+METAS[[#This Row],[DIA PEN. ]]</f>
        <v>1</v>
      </c>
      <c r="Q34" s="286"/>
      <c r="R34" s="286">
        <f>(VLOOKUP(METAS[[#This Row],[NIVEL Y CARGO]],NUEVO[],2,0)*METAS[[#This Row],[TOTAL METAS L-V]])+(VLOOKUP(METAS[[#This Row],[NIVEL Y CARGO]],NUEVO[],3,0)*METAS[[#This Row],[TOTAL METAS S-D-F]])+METAS[[#This Row],[DIA POR PAGAR]]</f>
        <v>200.63</v>
      </c>
      <c r="S34" s="320" t="s">
        <v>974</v>
      </c>
      <c r="T34" s="320"/>
      <c r="U34" s="320"/>
      <c r="V34" s="320"/>
      <c r="W34" s="289">
        <f>VLOOKUP(METAS[[#This Row],[CEDULA]],DATOS[],9,0)</f>
        <v>0</v>
      </c>
    </row>
    <row r="35" spans="1:23" ht="60" x14ac:dyDescent="0.25">
      <c r="A35" s="280">
        <v>9489511</v>
      </c>
      <c r="B35" s="281" t="str">
        <f>IF(METAS[[#This Row],[OTRO PAGO]]=0,VLOOKUP(METAS[[#This Row],[CEDULA]],DATOS[],2,0),"")</f>
        <v>FEO LUIS</v>
      </c>
      <c r="C35" s="282" t="str">
        <f>VLOOKUP(METAS[[#This Row],[CEDULA]],DATOS[],5,0)</f>
        <v>OBRERO</v>
      </c>
      <c r="D35" s="311" t="s">
        <v>862</v>
      </c>
      <c r="E35" s="334">
        <v>1</v>
      </c>
      <c r="F35" s="334">
        <v>1</v>
      </c>
      <c r="G35" s="334">
        <v>1</v>
      </c>
      <c r="H35" s="334">
        <v>1</v>
      </c>
      <c r="I35" s="334">
        <v>1</v>
      </c>
      <c r="J35" s="334"/>
      <c r="K35" s="334"/>
      <c r="L35" s="334"/>
      <c r="M35" s="283"/>
      <c r="N35" s="284">
        <f>METAS[[#This Row],[L]]+METAS[[#This Row],[M]]+METAS[[#This Row],[MI]]</f>
        <v>3</v>
      </c>
      <c r="O35" s="285">
        <f>METAS[[#This Row],[J]]+METAS[[#This Row],[V]]+METAS[[#This Row],[S]]+METAS[[#This Row],[D]]</f>
        <v>2</v>
      </c>
      <c r="P35" s="285">
        <f>METAS[[#This Row],[TOTAL METAS L-V]]+METAS[[#This Row],[TOTAL METAS S-D-F]]+METAS[[#This Row],[DIA PEN. ]]</f>
        <v>5</v>
      </c>
      <c r="Q35" s="286"/>
      <c r="R35" s="286">
        <f>(VLOOKUP(METAS[[#This Row],[NIVEL Y CARGO]],NUEVO[],2,0)*METAS[[#This Row],[TOTAL METAS L-V]])+(VLOOKUP(METAS[[#This Row],[NIVEL Y CARGO]],NUEVO[],3,0)*METAS[[#This Row],[TOTAL METAS S-D-F]])+METAS[[#This Row],[DIA POR PAGAR]]</f>
        <v>1404.4099999999999</v>
      </c>
      <c r="S35" s="320" t="s">
        <v>972</v>
      </c>
      <c r="T35" s="320" t="s">
        <v>972</v>
      </c>
      <c r="U35" s="320"/>
      <c r="V35" s="320" t="s">
        <v>1406</v>
      </c>
      <c r="W35" s="289">
        <f>VLOOKUP(METAS[[#This Row],[CEDULA]],DATOS[],9,0)</f>
        <v>0</v>
      </c>
    </row>
    <row r="36" spans="1:23" ht="60" x14ac:dyDescent="0.25">
      <c r="A36" s="280">
        <v>11921508</v>
      </c>
      <c r="B36" s="281" t="str">
        <f>IF(METAS[[#This Row],[OTRO PAGO]]=0,VLOOKUP(METAS[[#This Row],[CEDULA]],DATOS[],2,0),"")</f>
        <v>MARTINEZ JAVIER</v>
      </c>
      <c r="C36" s="282" t="str">
        <f>VLOOKUP(METAS[[#This Row],[CEDULA]],DATOS[],5,0)</f>
        <v>OBRERO</v>
      </c>
      <c r="D36" s="311" t="s">
        <v>862</v>
      </c>
      <c r="E36" s="334">
        <v>1</v>
      </c>
      <c r="F36" s="334">
        <v>1</v>
      </c>
      <c r="G36" s="334"/>
      <c r="H36" s="334"/>
      <c r="I36" s="334"/>
      <c r="J36" s="334"/>
      <c r="K36" s="334">
        <v>1</v>
      </c>
      <c r="L36" s="334"/>
      <c r="M36" s="322">
        <v>5</v>
      </c>
      <c r="N36" s="284">
        <f>METAS[[#This Row],[L]]+METAS[[#This Row],[M]]+METAS[[#This Row],[MI]]</f>
        <v>2</v>
      </c>
      <c r="O36" s="285">
        <f>METAS[[#This Row],[J]]+METAS[[#This Row],[V]]+METAS[[#This Row],[S]]+METAS[[#This Row],[D]]</f>
        <v>1</v>
      </c>
      <c r="P36" s="285">
        <f>METAS[[#This Row],[TOTAL METAS L-V]]+METAS[[#This Row],[TOTAL METAS S-D-F]]+METAS[[#This Row],[DIA PEN. ]]</f>
        <v>8</v>
      </c>
      <c r="Q36" s="323">
        <v>1003.15</v>
      </c>
      <c r="R36" s="286">
        <f>(VLOOKUP(METAS[[#This Row],[NIVEL Y CARGO]],NUEVO[],2,0)*METAS[[#This Row],[TOTAL METAS L-V]])+(VLOOKUP(METAS[[#This Row],[NIVEL Y CARGO]],NUEVO[],3,0)*METAS[[#This Row],[TOTAL METAS S-D-F]])+METAS[[#This Row],[DIA POR PAGAR]]</f>
        <v>1805.67</v>
      </c>
      <c r="S36" s="320" t="s">
        <v>972</v>
      </c>
      <c r="T36" s="320" t="s">
        <v>972</v>
      </c>
      <c r="U36" s="320" t="s">
        <v>972</v>
      </c>
      <c r="V36" s="335" t="s">
        <v>1407</v>
      </c>
      <c r="W36" s="289">
        <f>VLOOKUP(METAS[[#This Row],[CEDULA]],DATOS[],9,0)</f>
        <v>0</v>
      </c>
    </row>
    <row r="37" spans="1:23" ht="45" x14ac:dyDescent="0.25">
      <c r="A37" s="280">
        <v>11994919</v>
      </c>
      <c r="B37" s="281" t="str">
        <f>IF(METAS[[#This Row],[OTRO PAGO]]=0,VLOOKUP(METAS[[#This Row],[CEDULA]],DATOS[],2,0),"")</f>
        <v>DIAZ JORGE</v>
      </c>
      <c r="C37" s="282" t="str">
        <f>VLOOKUP(METAS[[#This Row],[CEDULA]],DATOS[],5,0)</f>
        <v>OBRERO</v>
      </c>
      <c r="D37" s="311" t="s">
        <v>862</v>
      </c>
      <c r="E37" s="334">
        <v>1</v>
      </c>
      <c r="F37" s="334"/>
      <c r="G37" s="334"/>
      <c r="H37" s="334"/>
      <c r="I37" s="334">
        <v>1</v>
      </c>
      <c r="J37" s="334"/>
      <c r="K37" s="334"/>
      <c r="L37" s="334"/>
      <c r="M37" s="283"/>
      <c r="N37" s="284">
        <f>METAS[[#This Row],[L]]+METAS[[#This Row],[M]]+METAS[[#This Row],[MI]]</f>
        <v>1</v>
      </c>
      <c r="O37" s="285">
        <f>METAS[[#This Row],[J]]+METAS[[#This Row],[V]]+METAS[[#This Row],[S]]+METAS[[#This Row],[D]]</f>
        <v>1</v>
      </c>
      <c r="P37" s="285">
        <f>METAS[[#This Row],[TOTAL METAS L-V]]+METAS[[#This Row],[TOTAL METAS S-D-F]]+METAS[[#This Row],[DIA PEN. ]]</f>
        <v>2</v>
      </c>
      <c r="Q37" s="286"/>
      <c r="R37" s="286">
        <f>(VLOOKUP(METAS[[#This Row],[NIVEL Y CARGO]],NUEVO[],2,0)*METAS[[#This Row],[TOTAL METAS L-V]])+(VLOOKUP(METAS[[#This Row],[NIVEL Y CARGO]],NUEVO[],3,0)*METAS[[#This Row],[TOTAL METAS S-D-F]])+METAS[[#This Row],[DIA POR PAGAR]]</f>
        <v>601.89</v>
      </c>
      <c r="S37" s="316" t="s">
        <v>973</v>
      </c>
      <c r="T37" s="316" t="s">
        <v>973</v>
      </c>
      <c r="U37" s="316" t="s">
        <v>973</v>
      </c>
      <c r="V37" s="320"/>
      <c r="W37" s="289">
        <f>VLOOKUP(METAS[[#This Row],[CEDULA]],DATOS[],9,0)</f>
        <v>0</v>
      </c>
    </row>
    <row r="38" spans="1:23" ht="30" x14ac:dyDescent="0.25">
      <c r="A38" s="295">
        <v>9062557</v>
      </c>
      <c r="B38" s="296" t="str">
        <f>IF(METAS[[#This Row],[OTRO PAGO]]=0,VLOOKUP(METAS[[#This Row],[CEDULA]],DATOS[],2,0),"")</f>
        <v>GOMEZ SILFREDO</v>
      </c>
      <c r="C38" s="297" t="str">
        <f>VLOOKUP(METAS[[#This Row],[CEDULA]],DATOS[],5,0)</f>
        <v>SUPERVISORIO</v>
      </c>
      <c r="D38" s="311" t="s">
        <v>862</v>
      </c>
      <c r="E38" s="334"/>
      <c r="F38" s="334">
        <v>1</v>
      </c>
      <c r="G38" s="334"/>
      <c r="H38" s="334"/>
      <c r="I38" s="334"/>
      <c r="J38" s="334">
        <v>1</v>
      </c>
      <c r="K38" s="334"/>
      <c r="L38" s="334"/>
      <c r="M38" s="298"/>
      <c r="N38" s="299">
        <f>METAS[[#This Row],[L]]+METAS[[#This Row],[M]]+METAS[[#This Row],[MI]]</f>
        <v>1</v>
      </c>
      <c r="O38" s="300">
        <f>METAS[[#This Row],[J]]+METAS[[#This Row],[V]]+METAS[[#This Row],[S]]+METAS[[#This Row],[D]]</f>
        <v>1</v>
      </c>
      <c r="P38" s="300">
        <f>METAS[[#This Row],[TOTAL METAS L-V]]+METAS[[#This Row],[TOTAL METAS S-D-F]]+METAS[[#This Row],[DIA PEN. ]]</f>
        <v>2</v>
      </c>
      <c r="Q38" s="301"/>
      <c r="R38" s="301">
        <f>(VLOOKUP(METAS[[#This Row],[NIVEL Y CARGO]],NUEVO[],2,0)*METAS[[#This Row],[TOTAL METAS L-V]])+(VLOOKUP(METAS[[#This Row],[NIVEL Y CARGO]],NUEVO[],3,0)*METAS[[#This Row],[TOTAL METAS S-D-F]])+METAS[[#This Row],[DIA POR PAGAR]]</f>
        <v>863.43000000000006</v>
      </c>
      <c r="S38" s="320" t="s">
        <v>974</v>
      </c>
      <c r="T38" s="320" t="s">
        <v>974</v>
      </c>
      <c r="U38" s="320"/>
      <c r="V38" s="320"/>
      <c r="W38" s="289">
        <f>VLOOKUP(METAS[[#This Row],[CEDULA]],DATOS[],9,0)</f>
        <v>0</v>
      </c>
    </row>
    <row r="39" spans="1:23" ht="30" x14ac:dyDescent="0.25">
      <c r="A39" s="280">
        <v>4854896</v>
      </c>
      <c r="B39" s="281" t="str">
        <f>IF(METAS[[#This Row],[OTRO PAGO]]=0,VLOOKUP(METAS[[#This Row],[CEDULA]],DATOS[],2,0),"")</f>
        <v>PENA ENRIQUE</v>
      </c>
      <c r="C39" s="282" t="str">
        <f>VLOOKUP(METAS[[#This Row],[CEDULA]],DATOS[],5,0)</f>
        <v>SUPERVISORIO</v>
      </c>
      <c r="D39" s="311" t="s">
        <v>862</v>
      </c>
      <c r="E39" s="334"/>
      <c r="F39" s="334"/>
      <c r="G39" s="334">
        <v>1</v>
      </c>
      <c r="H39" s="334"/>
      <c r="I39" s="334"/>
      <c r="J39" s="334"/>
      <c r="K39" s="334">
        <v>1</v>
      </c>
      <c r="L39" s="334"/>
      <c r="M39" s="283"/>
      <c r="N39" s="284">
        <f>METAS[[#This Row],[L]]+METAS[[#This Row],[M]]+METAS[[#This Row],[MI]]</f>
        <v>1</v>
      </c>
      <c r="O39" s="285">
        <f>METAS[[#This Row],[J]]+METAS[[#This Row],[V]]+METAS[[#This Row],[S]]+METAS[[#This Row],[D]]</f>
        <v>1</v>
      </c>
      <c r="P39" s="285">
        <f>METAS[[#This Row],[TOTAL METAS L-V]]+METAS[[#This Row],[TOTAL METAS S-D-F]]+METAS[[#This Row],[DIA PEN. ]]</f>
        <v>2</v>
      </c>
      <c r="Q39" s="286"/>
      <c r="R39" s="286">
        <f>(VLOOKUP(METAS[[#This Row],[NIVEL Y CARGO]],NUEVO[],2,0)*METAS[[#This Row],[TOTAL METAS L-V]])+(VLOOKUP(METAS[[#This Row],[NIVEL Y CARGO]],NUEVO[],3,0)*METAS[[#This Row],[TOTAL METAS S-D-F]])+METAS[[#This Row],[DIA POR PAGAR]]</f>
        <v>863.43000000000006</v>
      </c>
      <c r="S39" s="320" t="s">
        <v>974</v>
      </c>
      <c r="T39" s="320" t="s">
        <v>974</v>
      </c>
      <c r="U39" s="320"/>
      <c r="V39" s="320" t="s">
        <v>1375</v>
      </c>
      <c r="W39" s="289">
        <f>VLOOKUP(METAS[[#This Row],[CEDULA]],DATOS[],9,0)</f>
        <v>0</v>
      </c>
    </row>
    <row r="40" spans="1:23" ht="60" x14ac:dyDescent="0.25">
      <c r="A40" s="280">
        <v>6547888</v>
      </c>
      <c r="B40" s="281" t="str">
        <f>IF(METAS[[#This Row],[OTRO PAGO]]=0,VLOOKUP(METAS[[#This Row],[CEDULA]],DATOS[],2,0),"")</f>
        <v>NIETO JULIAN</v>
      </c>
      <c r="C40" s="282" t="str">
        <f>VLOOKUP(METAS[[#This Row],[CEDULA]],DATOS[],5,0)</f>
        <v>OBRERO</v>
      </c>
      <c r="D40" s="311" t="s">
        <v>862</v>
      </c>
      <c r="E40" s="334"/>
      <c r="F40" s="334"/>
      <c r="G40" s="334"/>
      <c r="H40" s="334"/>
      <c r="I40" s="334"/>
      <c r="J40" s="334"/>
      <c r="K40" s="334">
        <v>1</v>
      </c>
      <c r="L40" s="334"/>
      <c r="M40" s="283"/>
      <c r="N40" s="284">
        <f>METAS[[#This Row],[L]]+METAS[[#This Row],[M]]+METAS[[#This Row],[MI]]</f>
        <v>0</v>
      </c>
      <c r="O40" s="285">
        <f>METAS[[#This Row],[J]]+METAS[[#This Row],[V]]+METAS[[#This Row],[S]]+METAS[[#This Row],[D]]</f>
        <v>1</v>
      </c>
      <c r="P40" s="285">
        <f>METAS[[#This Row],[TOTAL METAS L-V]]+METAS[[#This Row],[TOTAL METAS S-D-F]]+METAS[[#This Row],[DIA PEN. ]]</f>
        <v>1</v>
      </c>
      <c r="Q40" s="286"/>
      <c r="R40" s="286">
        <f>(VLOOKUP(METAS[[#This Row],[NIVEL Y CARGO]],NUEVO[],2,0)*METAS[[#This Row],[TOTAL METAS L-V]])+(VLOOKUP(METAS[[#This Row],[NIVEL Y CARGO]],NUEVO[],3,0)*METAS[[#This Row],[TOTAL METAS S-D-F]])+METAS[[#This Row],[DIA POR PAGAR]]</f>
        <v>401.26</v>
      </c>
      <c r="S40" s="320" t="s">
        <v>972</v>
      </c>
      <c r="T40" s="320" t="s">
        <v>972</v>
      </c>
      <c r="U40" s="320"/>
      <c r="V40" s="320"/>
      <c r="W40" s="289">
        <f>VLOOKUP(METAS[[#This Row],[CEDULA]],DATOS[],9,0)</f>
        <v>0</v>
      </c>
    </row>
    <row r="41" spans="1:23" ht="45" x14ac:dyDescent="0.25">
      <c r="A41" s="280">
        <v>24750318</v>
      </c>
      <c r="B41" s="281" t="str">
        <f>IF(METAS[[#This Row],[OTRO PAGO]]=0,VLOOKUP(METAS[[#This Row],[CEDULA]],DATOS[],2,0),"")</f>
        <v>DIAZ REINALDO</v>
      </c>
      <c r="C41" s="282" t="str">
        <f>VLOOKUP(METAS[[#This Row],[CEDULA]],DATOS[],5,0)</f>
        <v>OBRERO</v>
      </c>
      <c r="D41" s="311" t="s">
        <v>862</v>
      </c>
      <c r="E41" s="334"/>
      <c r="F41" s="334"/>
      <c r="G41" s="334"/>
      <c r="H41" s="334"/>
      <c r="I41" s="334"/>
      <c r="J41" s="334">
        <v>1</v>
      </c>
      <c r="K41" s="334"/>
      <c r="L41" s="334"/>
      <c r="M41" s="283"/>
      <c r="N41" s="284">
        <f>METAS[[#This Row],[L]]+METAS[[#This Row],[M]]+METAS[[#This Row],[MI]]</f>
        <v>0</v>
      </c>
      <c r="O41" s="285">
        <f>METAS[[#This Row],[J]]+METAS[[#This Row],[V]]+METAS[[#This Row],[S]]+METAS[[#This Row],[D]]</f>
        <v>1</v>
      </c>
      <c r="P41" s="285">
        <f>METAS[[#This Row],[TOTAL METAS L-V]]+METAS[[#This Row],[TOTAL METAS S-D-F]]+METAS[[#This Row],[DIA PEN. ]]</f>
        <v>1</v>
      </c>
      <c r="Q41" s="286"/>
      <c r="R41" s="286">
        <f>(VLOOKUP(METAS[[#This Row],[NIVEL Y CARGO]],NUEVO[],2,0)*METAS[[#This Row],[TOTAL METAS L-V]])+(VLOOKUP(METAS[[#This Row],[NIVEL Y CARGO]],NUEVO[],3,0)*METAS[[#This Row],[TOTAL METAS S-D-F]])+METAS[[#This Row],[DIA POR PAGAR]]</f>
        <v>401.26</v>
      </c>
      <c r="S41" s="320" t="s">
        <v>975</v>
      </c>
      <c r="T41" s="320" t="s">
        <v>974</v>
      </c>
      <c r="U41" s="320" t="s">
        <v>974</v>
      </c>
      <c r="V41" s="320"/>
      <c r="W41" s="289">
        <f>VLOOKUP(METAS[[#This Row],[CEDULA]],DATOS[],9,0)</f>
        <v>0</v>
      </c>
    </row>
    <row r="42" spans="1:23" ht="60" x14ac:dyDescent="0.25">
      <c r="A42" s="280">
        <v>5605299</v>
      </c>
      <c r="B42" s="281" t="str">
        <f>IF(METAS[[#This Row],[OTRO PAGO]]=0,VLOOKUP(METAS[[#This Row],[CEDULA]],DATOS[],2,0),"")</f>
        <v>MANRIQUE PABLO</v>
      </c>
      <c r="C42" s="282" t="str">
        <f>VLOOKUP(METAS[[#This Row],[CEDULA]],DATOS[],5,0)</f>
        <v>OBRERO</v>
      </c>
      <c r="D42" s="311" t="s">
        <v>862</v>
      </c>
      <c r="E42" s="334">
        <v>1</v>
      </c>
      <c r="F42" s="334">
        <v>1</v>
      </c>
      <c r="G42" s="334"/>
      <c r="H42" s="334"/>
      <c r="I42" s="334"/>
      <c r="J42" s="334"/>
      <c r="K42" s="334"/>
      <c r="L42" s="334"/>
      <c r="M42" s="283"/>
      <c r="N42" s="284">
        <f>METAS[[#This Row],[L]]+METAS[[#This Row],[M]]+METAS[[#This Row],[MI]]</f>
        <v>2</v>
      </c>
      <c r="O42" s="285">
        <f>METAS[[#This Row],[J]]+METAS[[#This Row],[V]]+METAS[[#This Row],[S]]+METAS[[#This Row],[D]]</f>
        <v>0</v>
      </c>
      <c r="P42" s="285">
        <f>METAS[[#This Row],[TOTAL METAS L-V]]+METAS[[#This Row],[TOTAL METAS S-D-F]]+METAS[[#This Row],[DIA PEN. ]]</f>
        <v>2</v>
      </c>
      <c r="Q42" s="286"/>
      <c r="R42" s="286">
        <f>(VLOOKUP(METAS[[#This Row],[NIVEL Y CARGO]],NUEVO[],2,0)*METAS[[#This Row],[TOTAL METAS L-V]])+(VLOOKUP(METAS[[#This Row],[NIVEL Y CARGO]],NUEVO[],3,0)*METAS[[#This Row],[TOTAL METAS S-D-F]])+METAS[[#This Row],[DIA POR PAGAR]]</f>
        <v>401.26</v>
      </c>
      <c r="S42" s="320" t="s">
        <v>972</v>
      </c>
      <c r="T42" s="320" t="s">
        <v>972</v>
      </c>
      <c r="U42" s="320" t="s">
        <v>972</v>
      </c>
      <c r="V42" s="320"/>
      <c r="W42" s="289">
        <f>VLOOKUP(METAS[[#This Row],[CEDULA]],DATOS[],9,0)</f>
        <v>0</v>
      </c>
    </row>
    <row r="43" spans="1:23" ht="60" x14ac:dyDescent="0.25">
      <c r="A43" s="280">
        <v>11944937</v>
      </c>
      <c r="B43" s="281" t="str">
        <f>IF(METAS[[#This Row],[OTRO PAGO]]=0,VLOOKUP(METAS[[#This Row],[CEDULA]],DATOS[],2,0),"")</f>
        <v>TORREALBA NAUDYS</v>
      </c>
      <c r="C43" s="282" t="str">
        <f>VLOOKUP(METAS[[#This Row],[CEDULA]],DATOS[],5,0)</f>
        <v>OBRERO</v>
      </c>
      <c r="D43" s="311" t="s">
        <v>862</v>
      </c>
      <c r="E43" s="334">
        <v>1</v>
      </c>
      <c r="F43" s="334">
        <v>1</v>
      </c>
      <c r="G43" s="334"/>
      <c r="H43" s="334"/>
      <c r="I43" s="334"/>
      <c r="J43" s="334"/>
      <c r="K43" s="334"/>
      <c r="L43" s="334"/>
      <c r="M43" s="283"/>
      <c r="N43" s="284">
        <f>METAS[[#This Row],[L]]+METAS[[#This Row],[M]]+METAS[[#This Row],[MI]]</f>
        <v>2</v>
      </c>
      <c r="O43" s="285">
        <f>METAS[[#This Row],[J]]+METAS[[#This Row],[V]]+METAS[[#This Row],[S]]+METAS[[#This Row],[D]]</f>
        <v>0</v>
      </c>
      <c r="P43" s="285">
        <f>METAS[[#This Row],[TOTAL METAS L-V]]+METAS[[#This Row],[TOTAL METAS S-D-F]]+METAS[[#This Row],[DIA PEN. ]]</f>
        <v>2</v>
      </c>
      <c r="Q43" s="286"/>
      <c r="R43" s="286">
        <f>(VLOOKUP(METAS[[#This Row],[NIVEL Y CARGO]],NUEVO[],2,0)*METAS[[#This Row],[TOTAL METAS L-V]])+(VLOOKUP(METAS[[#This Row],[NIVEL Y CARGO]],NUEVO[],3,0)*METAS[[#This Row],[TOTAL METAS S-D-F]])+METAS[[#This Row],[DIA POR PAGAR]]</f>
        <v>401.26</v>
      </c>
      <c r="S43" s="320" t="s">
        <v>972</v>
      </c>
      <c r="T43" s="320" t="s">
        <v>972</v>
      </c>
      <c r="U43" s="320" t="s">
        <v>972</v>
      </c>
      <c r="V43" s="320"/>
      <c r="W43" s="289">
        <f>VLOOKUP(METAS[[#This Row],[CEDULA]],DATOS[],9,0)</f>
        <v>0</v>
      </c>
    </row>
    <row r="44" spans="1:23" ht="60" x14ac:dyDescent="0.25">
      <c r="A44" s="280">
        <v>16452265</v>
      </c>
      <c r="B44" s="281" t="str">
        <f>IF(METAS[[#This Row],[OTRO PAGO]]=0,VLOOKUP(METAS[[#This Row],[CEDULA]],DATOS[],2,0),"")</f>
        <v>RIVERO YANNY</v>
      </c>
      <c r="C44" s="282" t="str">
        <f>VLOOKUP(METAS[[#This Row],[CEDULA]],DATOS[],5,0)</f>
        <v>OBRERO</v>
      </c>
      <c r="D44" s="311" t="s">
        <v>862</v>
      </c>
      <c r="E44" s="334"/>
      <c r="F44" s="334"/>
      <c r="G44" s="334"/>
      <c r="H44" s="334"/>
      <c r="I44" s="334"/>
      <c r="J44" s="334"/>
      <c r="K44" s="334">
        <v>1</v>
      </c>
      <c r="L44" s="334"/>
      <c r="M44" s="283"/>
      <c r="N44" s="284">
        <f>METAS[[#This Row],[L]]+METAS[[#This Row],[M]]+METAS[[#This Row],[MI]]</f>
        <v>0</v>
      </c>
      <c r="O44" s="285">
        <f>METAS[[#This Row],[J]]+METAS[[#This Row],[V]]+METAS[[#This Row],[S]]+METAS[[#This Row],[D]]</f>
        <v>1</v>
      </c>
      <c r="P44" s="285">
        <f>METAS[[#This Row],[TOTAL METAS L-V]]+METAS[[#This Row],[TOTAL METAS S-D-F]]+METAS[[#This Row],[DIA PEN. ]]</f>
        <v>1</v>
      </c>
      <c r="Q44" s="286"/>
      <c r="R44" s="286">
        <f>(VLOOKUP(METAS[[#This Row],[NIVEL Y CARGO]],NUEVO[],2,0)*METAS[[#This Row],[TOTAL METAS L-V]])+(VLOOKUP(METAS[[#This Row],[NIVEL Y CARGO]],NUEVO[],3,0)*METAS[[#This Row],[TOTAL METAS S-D-F]])+METAS[[#This Row],[DIA POR PAGAR]]</f>
        <v>401.26</v>
      </c>
      <c r="S44" s="320" t="s">
        <v>972</v>
      </c>
      <c r="T44" s="320" t="s">
        <v>972</v>
      </c>
      <c r="U44" s="320" t="s">
        <v>972</v>
      </c>
      <c r="V44" s="320"/>
      <c r="W44" s="289">
        <f>VLOOKUP(METAS[[#This Row],[CEDULA]],DATOS[],9,0)</f>
        <v>0</v>
      </c>
    </row>
    <row r="45" spans="1:23" ht="45" x14ac:dyDescent="0.25">
      <c r="A45" s="280">
        <v>13537176</v>
      </c>
      <c r="B45" s="281" t="str">
        <f>IF(METAS[[#This Row],[OTRO PAGO]]=0,VLOOKUP(METAS[[#This Row],[CEDULA]],DATOS[],2,0),"")</f>
        <v>SERRANO GIORGI</v>
      </c>
      <c r="C45" s="282" t="str">
        <f>VLOOKUP(METAS[[#This Row],[CEDULA]],DATOS[],5,0)</f>
        <v>SUPERVISORIO</v>
      </c>
      <c r="D45" s="311" t="s">
        <v>862</v>
      </c>
      <c r="E45" s="334"/>
      <c r="F45" s="334"/>
      <c r="G45" s="334"/>
      <c r="H45" s="334">
        <v>1</v>
      </c>
      <c r="I45" s="334"/>
      <c r="J45" s="334"/>
      <c r="K45" s="334"/>
      <c r="L45" s="334"/>
      <c r="M45" s="283"/>
      <c r="N45" s="284">
        <f>METAS[[#This Row],[L]]+METAS[[#This Row],[M]]+METAS[[#This Row],[MI]]</f>
        <v>0</v>
      </c>
      <c r="O45" s="285">
        <f>METAS[[#This Row],[J]]+METAS[[#This Row],[V]]+METAS[[#This Row],[S]]+METAS[[#This Row],[D]]</f>
        <v>1</v>
      </c>
      <c r="P45" s="285">
        <f>METAS[[#This Row],[TOTAL METAS L-V]]+METAS[[#This Row],[TOTAL METAS S-D-F]]+METAS[[#This Row],[DIA PEN. ]]</f>
        <v>1</v>
      </c>
      <c r="Q45" s="286"/>
      <c r="R45" s="286">
        <f>(VLOOKUP(METAS[[#This Row],[NIVEL Y CARGO]],NUEVO[],2,0)*METAS[[#This Row],[TOTAL METAS L-V]])+(VLOOKUP(METAS[[#This Row],[NIVEL Y CARGO]],NUEVO[],3,0)*METAS[[#This Row],[TOTAL METAS S-D-F]])+METAS[[#This Row],[DIA POR PAGAR]]</f>
        <v>575.62</v>
      </c>
      <c r="S45" s="320" t="s">
        <v>973</v>
      </c>
      <c r="T45" s="320" t="s">
        <v>973</v>
      </c>
      <c r="U45" s="320" t="s">
        <v>973</v>
      </c>
      <c r="V45" s="320"/>
      <c r="W45" s="289">
        <f>VLOOKUP(METAS[[#This Row],[CEDULA]],DATOS[],9,0)</f>
        <v>0</v>
      </c>
    </row>
    <row r="46" spans="1:23" ht="45" x14ac:dyDescent="0.25">
      <c r="A46" s="280">
        <v>7710715</v>
      </c>
      <c r="B46" s="281" t="str">
        <f>IF(METAS[[#This Row],[OTRO PAGO]]=0,VLOOKUP(METAS[[#This Row],[CEDULA]],DATOS[],2,0),"")</f>
        <v>FAJARDO LUIS</v>
      </c>
      <c r="C46" s="282" t="str">
        <f>VLOOKUP(METAS[[#This Row],[CEDULA]],DATOS[],5,0)</f>
        <v>SUPERVISORIO</v>
      </c>
      <c r="D46" s="311" t="s">
        <v>862</v>
      </c>
      <c r="E46" s="334">
        <v>1</v>
      </c>
      <c r="F46" s="334"/>
      <c r="G46" s="334"/>
      <c r="H46" s="334"/>
      <c r="I46" s="334">
        <v>1</v>
      </c>
      <c r="J46" s="334"/>
      <c r="K46" s="334"/>
      <c r="L46" s="334"/>
      <c r="M46" s="283"/>
      <c r="N46" s="284">
        <f>METAS[[#This Row],[L]]+METAS[[#This Row],[M]]+METAS[[#This Row],[MI]]</f>
        <v>1</v>
      </c>
      <c r="O46" s="285">
        <f>METAS[[#This Row],[J]]+METAS[[#This Row],[V]]+METAS[[#This Row],[S]]+METAS[[#This Row],[D]]</f>
        <v>1</v>
      </c>
      <c r="P46" s="285">
        <f>METAS[[#This Row],[TOTAL METAS L-V]]+METAS[[#This Row],[TOTAL METAS S-D-F]]+METAS[[#This Row],[DIA PEN. ]]</f>
        <v>2</v>
      </c>
      <c r="Q46" s="286"/>
      <c r="R46" s="286">
        <f>(VLOOKUP(METAS[[#This Row],[NIVEL Y CARGO]],NUEVO[],2,0)*METAS[[#This Row],[TOTAL METAS L-V]])+(VLOOKUP(METAS[[#This Row],[NIVEL Y CARGO]],NUEVO[],3,0)*METAS[[#This Row],[TOTAL METAS S-D-F]])+METAS[[#This Row],[DIA POR PAGAR]]</f>
        <v>863.43000000000006</v>
      </c>
      <c r="S46" s="320" t="s">
        <v>973</v>
      </c>
      <c r="T46" s="320"/>
      <c r="U46" s="320" t="s">
        <v>973</v>
      </c>
      <c r="V46" s="320"/>
      <c r="W46" s="289">
        <f>VLOOKUP(METAS[[#This Row],[CEDULA]],DATOS[],9,0)</f>
        <v>0</v>
      </c>
    </row>
    <row r="47" spans="1:23" ht="45" x14ac:dyDescent="0.25">
      <c r="A47" s="280">
        <v>17587487</v>
      </c>
      <c r="B47" s="281" t="str">
        <f>IF(METAS[[#This Row],[OTRO PAGO]]=0,VLOOKUP(METAS[[#This Row],[CEDULA]],DATOS[],2,0),"")</f>
        <v>CARDOZA JORGE</v>
      </c>
      <c r="C47" s="282" t="str">
        <f>VLOOKUP(METAS[[#This Row],[CEDULA]],DATOS[],5,0)</f>
        <v>OBRERO</v>
      </c>
      <c r="D47" s="311" t="s">
        <v>862</v>
      </c>
      <c r="E47" s="312"/>
      <c r="F47" s="312">
        <v>1</v>
      </c>
      <c r="G47" s="312"/>
      <c r="H47" s="312"/>
      <c r="I47" s="312"/>
      <c r="J47" s="312"/>
      <c r="K47" s="312"/>
      <c r="L47" s="312"/>
      <c r="M47" s="283"/>
      <c r="N47" s="284">
        <f>METAS[[#This Row],[L]]+METAS[[#This Row],[M]]+METAS[[#This Row],[MI]]</f>
        <v>1</v>
      </c>
      <c r="O47" s="285">
        <f>METAS[[#This Row],[J]]+METAS[[#This Row],[V]]+METAS[[#This Row],[S]]+METAS[[#This Row],[D]]</f>
        <v>0</v>
      </c>
      <c r="P47" s="285">
        <f>METAS[[#This Row],[TOTAL METAS L-V]]+METAS[[#This Row],[TOTAL METAS S-D-F]]+METAS[[#This Row],[DIA PEN. ]]</f>
        <v>1</v>
      </c>
      <c r="Q47" s="286"/>
      <c r="R47" s="286">
        <f>(VLOOKUP(METAS[[#This Row],[NIVEL Y CARGO]],NUEVO[],2,0)*METAS[[#This Row],[TOTAL METAS L-V]])+(VLOOKUP(METAS[[#This Row],[NIVEL Y CARGO]],NUEVO[],3,0)*METAS[[#This Row],[TOTAL METAS S-D-F]])+METAS[[#This Row],[DIA POR PAGAR]]</f>
        <v>200.63</v>
      </c>
      <c r="S47" s="316" t="s">
        <v>973</v>
      </c>
      <c r="T47" s="316" t="s">
        <v>973</v>
      </c>
      <c r="U47" s="316" t="s">
        <v>973</v>
      </c>
      <c r="V47" s="316"/>
      <c r="W47" s="289">
        <f>VLOOKUP(METAS[[#This Row],[CEDULA]],DATOS[],9,0)</f>
        <v>0</v>
      </c>
    </row>
    <row r="48" spans="1:23" ht="45" x14ac:dyDescent="0.25">
      <c r="A48" s="280">
        <v>3524735</v>
      </c>
      <c r="B48" s="281" t="str">
        <f>IF(METAS[[#This Row],[OTRO PAGO]]=0,VLOOKUP(METAS[[#This Row],[CEDULA]],DATOS[],2,0),"")</f>
        <v>BASTIDAS JOSE</v>
      </c>
      <c r="C48" s="282" t="str">
        <f>VLOOKUP(METAS[[#This Row],[CEDULA]],DATOS[],5,0)</f>
        <v>SUPERVISORIO</v>
      </c>
      <c r="D48" s="311" t="s">
        <v>862</v>
      </c>
      <c r="E48" s="312">
        <v>1</v>
      </c>
      <c r="F48" s="312">
        <v>1</v>
      </c>
      <c r="G48" s="312"/>
      <c r="H48" s="312"/>
      <c r="I48" s="312">
        <v>1</v>
      </c>
      <c r="J48" s="312"/>
      <c r="K48" s="312"/>
      <c r="L48" s="312"/>
      <c r="M48" s="283"/>
      <c r="N48" s="284">
        <f>METAS[[#This Row],[L]]+METAS[[#This Row],[M]]+METAS[[#This Row],[MI]]</f>
        <v>2</v>
      </c>
      <c r="O48" s="285">
        <f>METAS[[#This Row],[J]]+METAS[[#This Row],[V]]+METAS[[#This Row],[S]]+METAS[[#This Row],[D]]</f>
        <v>1</v>
      </c>
      <c r="P48" s="285">
        <f>METAS[[#This Row],[TOTAL METAS L-V]]+METAS[[#This Row],[TOTAL METAS S-D-F]]+METAS[[#This Row],[DIA PEN. ]]</f>
        <v>3</v>
      </c>
      <c r="Q48" s="286"/>
      <c r="R48" s="286">
        <f>(VLOOKUP(METAS[[#This Row],[NIVEL Y CARGO]],NUEVO[],2,0)*METAS[[#This Row],[TOTAL METAS L-V]])+(VLOOKUP(METAS[[#This Row],[NIVEL Y CARGO]],NUEVO[],3,0)*METAS[[#This Row],[TOTAL METAS S-D-F]])+METAS[[#This Row],[DIA POR PAGAR]]</f>
        <v>1151.24</v>
      </c>
      <c r="S48" s="316" t="s">
        <v>976</v>
      </c>
      <c r="T48" s="316"/>
      <c r="U48" s="316" t="s">
        <v>976</v>
      </c>
      <c r="V48" s="316"/>
      <c r="W48" s="289">
        <f>VLOOKUP(METAS[[#This Row],[CEDULA]],DATOS[],9,0)</f>
        <v>0</v>
      </c>
    </row>
    <row r="49" spans="1:23" ht="60" x14ac:dyDescent="0.25">
      <c r="A49" s="280">
        <v>6276576</v>
      </c>
      <c r="B49" s="281" t="str">
        <f>IF(METAS[[#This Row],[OTRO PAGO]]=0,VLOOKUP(METAS[[#This Row],[CEDULA]],DATOS[],2,0),"")</f>
        <v>GUERRERO FRANKLIN</v>
      </c>
      <c r="C49" s="282" t="str">
        <f>VLOOKUP(METAS[[#This Row],[CEDULA]],DATOS[],5,0)</f>
        <v>OBRERO</v>
      </c>
      <c r="D49" s="311" t="s">
        <v>862</v>
      </c>
      <c r="E49" s="312"/>
      <c r="F49" s="312"/>
      <c r="G49" s="312"/>
      <c r="H49" s="312"/>
      <c r="I49" s="312"/>
      <c r="J49" s="312"/>
      <c r="K49" s="312">
        <v>1</v>
      </c>
      <c r="L49" s="312"/>
      <c r="M49" s="283"/>
      <c r="N49" s="284">
        <f>METAS[[#This Row],[L]]+METAS[[#This Row],[M]]+METAS[[#This Row],[MI]]</f>
        <v>0</v>
      </c>
      <c r="O49" s="285">
        <f>METAS[[#This Row],[J]]+METAS[[#This Row],[V]]+METAS[[#This Row],[S]]+METAS[[#This Row],[D]]</f>
        <v>1</v>
      </c>
      <c r="P49" s="285">
        <f>METAS[[#This Row],[TOTAL METAS L-V]]+METAS[[#This Row],[TOTAL METAS S-D-F]]+METAS[[#This Row],[DIA PEN. ]]</f>
        <v>1</v>
      </c>
      <c r="Q49" s="286"/>
      <c r="R49" s="286">
        <f>(VLOOKUP(METAS[[#This Row],[NIVEL Y CARGO]],NUEVO[],2,0)*METAS[[#This Row],[TOTAL METAS L-V]])+(VLOOKUP(METAS[[#This Row],[NIVEL Y CARGO]],NUEVO[],3,0)*METAS[[#This Row],[TOTAL METAS S-D-F]])+METAS[[#This Row],[DIA POR PAGAR]]</f>
        <v>401.26</v>
      </c>
      <c r="S49" s="316" t="s">
        <v>977</v>
      </c>
      <c r="T49" s="316" t="s">
        <v>977</v>
      </c>
      <c r="U49" s="316" t="s">
        <v>977</v>
      </c>
      <c r="V49" s="316"/>
      <c r="W49" s="289">
        <f>VLOOKUP(METAS[[#This Row],[CEDULA]],DATOS[],9,0)</f>
        <v>0</v>
      </c>
    </row>
    <row r="50" spans="1:23" ht="30" x14ac:dyDescent="0.25">
      <c r="A50" s="280">
        <v>6290210</v>
      </c>
      <c r="B50" s="281" t="str">
        <f>IF(METAS[[#This Row],[OTRO PAGO]]=0,VLOOKUP(METAS[[#This Row],[CEDULA]],DATOS[],2,0),"")</f>
        <v>MORENO JULIO</v>
      </c>
      <c r="C50" s="282" t="str">
        <f>VLOOKUP(METAS[[#This Row],[CEDULA]],DATOS[],5,0)</f>
        <v>SUPERVISORIO</v>
      </c>
      <c r="D50" s="311" t="s">
        <v>862</v>
      </c>
      <c r="E50" s="312">
        <v>1</v>
      </c>
      <c r="F50" s="312">
        <v>1</v>
      </c>
      <c r="G50" s="312"/>
      <c r="H50" s="312"/>
      <c r="I50" s="312">
        <v>1</v>
      </c>
      <c r="J50" s="312"/>
      <c r="K50" s="312"/>
      <c r="L50" s="312"/>
      <c r="M50" s="283"/>
      <c r="N50" s="284">
        <f>METAS[[#This Row],[L]]+METAS[[#This Row],[M]]+METAS[[#This Row],[MI]]</f>
        <v>2</v>
      </c>
      <c r="O50" s="285">
        <f>METAS[[#This Row],[J]]+METAS[[#This Row],[V]]+METAS[[#This Row],[S]]+METAS[[#This Row],[D]]</f>
        <v>1</v>
      </c>
      <c r="P50" s="285">
        <f>METAS[[#This Row],[TOTAL METAS L-V]]+METAS[[#This Row],[TOTAL METAS S-D-F]]+METAS[[#This Row],[DIA PEN. ]]</f>
        <v>3</v>
      </c>
      <c r="Q50" s="286"/>
      <c r="R50" s="286">
        <f>(VLOOKUP(METAS[[#This Row],[NIVEL Y CARGO]],NUEVO[],2,0)*METAS[[#This Row],[TOTAL METAS L-V]])+(VLOOKUP(METAS[[#This Row],[NIVEL Y CARGO]],NUEVO[],3,0)*METAS[[#This Row],[TOTAL METAS S-D-F]])+METAS[[#This Row],[DIA POR PAGAR]]</f>
        <v>1151.24</v>
      </c>
      <c r="S50" s="316" t="s">
        <v>978</v>
      </c>
      <c r="T50" s="316" t="s">
        <v>978</v>
      </c>
      <c r="U50" s="316" t="s">
        <v>978</v>
      </c>
      <c r="V50" s="316"/>
      <c r="W50" s="289">
        <f>VLOOKUP(METAS[[#This Row],[CEDULA]],DATOS[],9,0)</f>
        <v>0</v>
      </c>
    </row>
    <row r="51" spans="1:23" ht="45" x14ac:dyDescent="0.25">
      <c r="A51" s="280">
        <v>13786283</v>
      </c>
      <c r="B51" s="281" t="str">
        <f>IF(METAS[[#This Row],[OTRO PAGO]]=0,VLOOKUP(METAS[[#This Row],[CEDULA]],DATOS[],2,0),"")</f>
        <v>CARUCI WILMER</v>
      </c>
      <c r="C51" s="282" t="str">
        <f>VLOOKUP(METAS[[#This Row],[CEDULA]],DATOS[],5,0)</f>
        <v>SUPERVISORIO</v>
      </c>
      <c r="D51" s="311" t="s">
        <v>862</v>
      </c>
      <c r="E51" s="312">
        <v>1</v>
      </c>
      <c r="F51" s="312">
        <v>1</v>
      </c>
      <c r="G51" s="312"/>
      <c r="H51" s="312">
        <v>1</v>
      </c>
      <c r="I51" s="312"/>
      <c r="J51" s="312"/>
      <c r="K51" s="312">
        <v>1</v>
      </c>
      <c r="L51" s="312"/>
      <c r="M51" s="283"/>
      <c r="N51" s="284">
        <f>METAS[[#This Row],[L]]+METAS[[#This Row],[M]]+METAS[[#This Row],[MI]]</f>
        <v>2</v>
      </c>
      <c r="O51" s="285">
        <f>METAS[[#This Row],[J]]+METAS[[#This Row],[V]]+METAS[[#This Row],[S]]+METAS[[#This Row],[D]]</f>
        <v>2</v>
      </c>
      <c r="P51" s="285">
        <f>METAS[[#This Row],[TOTAL METAS L-V]]+METAS[[#This Row],[TOTAL METAS S-D-F]]+METAS[[#This Row],[DIA PEN. ]]</f>
        <v>4</v>
      </c>
      <c r="Q51" s="286"/>
      <c r="R51" s="286">
        <f>(VLOOKUP(METAS[[#This Row],[NIVEL Y CARGO]],NUEVO[],2,0)*METAS[[#This Row],[TOTAL METAS L-V]])+(VLOOKUP(METAS[[#This Row],[NIVEL Y CARGO]],NUEVO[],3,0)*METAS[[#This Row],[TOTAL METAS S-D-F]])+METAS[[#This Row],[DIA POR PAGAR]]</f>
        <v>1726.8600000000001</v>
      </c>
      <c r="S51" s="316" t="s">
        <v>979</v>
      </c>
      <c r="T51" s="316" t="s">
        <v>979</v>
      </c>
      <c r="U51" s="316" t="s">
        <v>979</v>
      </c>
      <c r="V51" s="316"/>
      <c r="W51" s="289">
        <f>VLOOKUP(METAS[[#This Row],[CEDULA]],DATOS[],9,0)</f>
        <v>0</v>
      </c>
    </row>
    <row r="52" spans="1:23" ht="30" x14ac:dyDescent="0.25">
      <c r="A52" s="280">
        <v>7092124</v>
      </c>
      <c r="B52" s="281" t="str">
        <f>IF(METAS[[#This Row],[OTRO PAGO]]=0,VLOOKUP(METAS[[#This Row],[CEDULA]],DATOS[],2,0),"")</f>
        <v>OROPEZA EUCLIDES</v>
      </c>
      <c r="C52" s="282" t="str">
        <f>VLOOKUP(METAS[[#This Row],[CEDULA]],DATOS[],5,0)</f>
        <v>SUPERVISORIO</v>
      </c>
      <c r="D52" s="311" t="s">
        <v>862</v>
      </c>
      <c r="E52" s="312">
        <v>1</v>
      </c>
      <c r="F52" s="312">
        <v>1</v>
      </c>
      <c r="G52" s="312">
        <v>1</v>
      </c>
      <c r="H52" s="312"/>
      <c r="I52" s="312">
        <v>1</v>
      </c>
      <c r="J52" s="312">
        <v>1</v>
      </c>
      <c r="K52" s="312"/>
      <c r="L52" s="312"/>
      <c r="M52" s="283"/>
      <c r="N52" s="284">
        <f>METAS[[#This Row],[L]]+METAS[[#This Row],[M]]+METAS[[#This Row],[MI]]</f>
        <v>3</v>
      </c>
      <c r="O52" s="285">
        <f>METAS[[#This Row],[J]]+METAS[[#This Row],[V]]+METAS[[#This Row],[S]]+METAS[[#This Row],[D]]</f>
        <v>2</v>
      </c>
      <c r="P52" s="285">
        <f>METAS[[#This Row],[TOTAL METAS L-V]]+METAS[[#This Row],[TOTAL METAS S-D-F]]+METAS[[#This Row],[DIA PEN. ]]</f>
        <v>5</v>
      </c>
      <c r="Q52" s="286"/>
      <c r="R52" s="286">
        <f>(VLOOKUP(METAS[[#This Row],[NIVEL Y CARGO]],NUEVO[],2,0)*METAS[[#This Row],[TOTAL METAS L-V]])+(VLOOKUP(METAS[[#This Row],[NIVEL Y CARGO]],NUEVO[],3,0)*METAS[[#This Row],[TOTAL METAS S-D-F]])+METAS[[#This Row],[DIA POR PAGAR]]</f>
        <v>2014.67</v>
      </c>
      <c r="S52" s="316" t="s">
        <v>980</v>
      </c>
      <c r="T52" s="316" t="s">
        <v>980</v>
      </c>
      <c r="U52" s="316" t="s">
        <v>980</v>
      </c>
      <c r="V52" s="316"/>
      <c r="W52" s="289">
        <f>VLOOKUP(METAS[[#This Row],[CEDULA]],DATOS[],9,0)</f>
        <v>0</v>
      </c>
    </row>
    <row r="53" spans="1:23" ht="30" x14ac:dyDescent="0.25">
      <c r="A53" s="280">
        <v>6857823</v>
      </c>
      <c r="B53" s="281" t="str">
        <f>IF(METAS[[#This Row],[OTRO PAGO]]=0,VLOOKUP(METAS[[#This Row],[CEDULA]],DATOS[],2,0),"")</f>
        <v>GODOY RAFAEL</v>
      </c>
      <c r="C53" s="282" t="str">
        <f>VLOOKUP(METAS[[#This Row],[CEDULA]],DATOS[],5,0)</f>
        <v>SUPERVISORIO</v>
      </c>
      <c r="D53" s="311" t="s">
        <v>862</v>
      </c>
      <c r="E53" s="312">
        <v>1</v>
      </c>
      <c r="F53" s="312">
        <v>1</v>
      </c>
      <c r="G53" s="312"/>
      <c r="H53" s="312"/>
      <c r="I53" s="312"/>
      <c r="J53" s="312"/>
      <c r="K53" s="312"/>
      <c r="L53" s="312"/>
      <c r="M53" s="283"/>
      <c r="N53" s="284">
        <f>METAS[[#This Row],[L]]+METAS[[#This Row],[M]]+METAS[[#This Row],[MI]]</f>
        <v>2</v>
      </c>
      <c r="O53" s="285">
        <f>METAS[[#This Row],[J]]+METAS[[#This Row],[V]]+METAS[[#This Row],[S]]+METAS[[#This Row],[D]]</f>
        <v>0</v>
      </c>
      <c r="P53" s="285">
        <f>METAS[[#This Row],[TOTAL METAS L-V]]+METAS[[#This Row],[TOTAL METAS S-D-F]]+METAS[[#This Row],[DIA PEN. ]]</f>
        <v>2</v>
      </c>
      <c r="Q53" s="286"/>
      <c r="R53" s="286">
        <f>(VLOOKUP(METAS[[#This Row],[NIVEL Y CARGO]],NUEVO[],2,0)*METAS[[#This Row],[TOTAL METAS L-V]])+(VLOOKUP(METAS[[#This Row],[NIVEL Y CARGO]],NUEVO[],3,0)*METAS[[#This Row],[TOTAL METAS S-D-F]])+METAS[[#This Row],[DIA POR PAGAR]]</f>
        <v>575.62</v>
      </c>
      <c r="S53" s="316" t="s">
        <v>981</v>
      </c>
      <c r="T53" s="316" t="s">
        <v>981</v>
      </c>
      <c r="U53" s="316" t="s">
        <v>981</v>
      </c>
      <c r="V53" s="316"/>
      <c r="W53" s="289">
        <f>VLOOKUP(METAS[[#This Row],[CEDULA]],DATOS[],9,0)</f>
        <v>0</v>
      </c>
    </row>
    <row r="54" spans="1:23" ht="45" x14ac:dyDescent="0.25">
      <c r="A54" s="280">
        <v>8643689</v>
      </c>
      <c r="B54" s="281" t="str">
        <f>IF(METAS[[#This Row],[OTRO PAGO]]=0,VLOOKUP(METAS[[#This Row],[CEDULA]],DATOS[],2,0),"")</f>
        <v>BASTARDO COSME</v>
      </c>
      <c r="C54" s="282" t="str">
        <f>VLOOKUP(METAS[[#This Row],[CEDULA]],DATOS[],5,0)</f>
        <v>OBRERO</v>
      </c>
      <c r="D54" s="311" t="s">
        <v>862</v>
      </c>
      <c r="E54" s="312"/>
      <c r="F54" s="312">
        <v>1</v>
      </c>
      <c r="G54" s="312"/>
      <c r="H54" s="312"/>
      <c r="I54" s="312"/>
      <c r="J54" s="312">
        <v>1</v>
      </c>
      <c r="K54" s="312"/>
      <c r="L54" s="312"/>
      <c r="M54" s="283"/>
      <c r="N54" s="284">
        <f>METAS[[#This Row],[L]]+METAS[[#This Row],[M]]+METAS[[#This Row],[MI]]</f>
        <v>1</v>
      </c>
      <c r="O54" s="285">
        <f>METAS[[#This Row],[J]]+METAS[[#This Row],[V]]+METAS[[#This Row],[S]]+METAS[[#This Row],[D]]</f>
        <v>1</v>
      </c>
      <c r="P54" s="285">
        <f>METAS[[#This Row],[TOTAL METAS L-V]]+METAS[[#This Row],[TOTAL METAS S-D-F]]+METAS[[#This Row],[DIA PEN. ]]</f>
        <v>2</v>
      </c>
      <c r="Q54" s="286"/>
      <c r="R54" s="286">
        <f>(VLOOKUP(METAS[[#This Row],[NIVEL Y CARGO]],NUEVO[],2,0)*METAS[[#This Row],[TOTAL METAS L-V]])+(VLOOKUP(METAS[[#This Row],[NIVEL Y CARGO]],NUEVO[],3,0)*METAS[[#This Row],[TOTAL METAS S-D-F]])+METAS[[#This Row],[DIA POR PAGAR]]</f>
        <v>601.89</v>
      </c>
      <c r="S54" s="316" t="s">
        <v>974</v>
      </c>
      <c r="T54" s="316" t="s">
        <v>973</v>
      </c>
      <c r="U54" s="316" t="s">
        <v>973</v>
      </c>
      <c r="V54" s="316"/>
      <c r="W54" s="289">
        <f>VLOOKUP(METAS[[#This Row],[CEDULA]],DATOS[],9,0)</f>
        <v>0</v>
      </c>
    </row>
    <row r="55" spans="1:23" ht="45" x14ac:dyDescent="0.25">
      <c r="A55" s="280">
        <v>6826775</v>
      </c>
      <c r="B55" s="281" t="str">
        <f>IF(METAS[[#This Row],[OTRO PAGO]]=0,VLOOKUP(METAS[[#This Row],[CEDULA]],DATOS[],2,0),"")</f>
        <v>GONZALEZ CARLOS</v>
      </c>
      <c r="C55" s="282" t="str">
        <f>VLOOKUP(METAS[[#This Row],[CEDULA]],DATOS[],5,0)</f>
        <v>OBRERO</v>
      </c>
      <c r="D55" s="311" t="s">
        <v>862</v>
      </c>
      <c r="E55" s="312"/>
      <c r="F55" s="312">
        <v>1</v>
      </c>
      <c r="G55" s="312"/>
      <c r="H55" s="312"/>
      <c r="I55" s="312"/>
      <c r="J55" s="312">
        <v>1</v>
      </c>
      <c r="K55" s="312"/>
      <c r="L55" s="312"/>
      <c r="M55" s="283"/>
      <c r="N55" s="284">
        <f>METAS[[#This Row],[L]]+METAS[[#This Row],[M]]+METAS[[#This Row],[MI]]</f>
        <v>1</v>
      </c>
      <c r="O55" s="285">
        <f>METAS[[#This Row],[J]]+METAS[[#This Row],[V]]+METAS[[#This Row],[S]]+METAS[[#This Row],[D]]</f>
        <v>1</v>
      </c>
      <c r="P55" s="285">
        <f>METAS[[#This Row],[TOTAL METAS L-V]]+METAS[[#This Row],[TOTAL METAS S-D-F]]+METAS[[#This Row],[DIA PEN. ]]</f>
        <v>2</v>
      </c>
      <c r="Q55" s="286"/>
      <c r="R55" s="286">
        <f>(VLOOKUP(METAS[[#This Row],[NIVEL Y CARGO]],NUEVO[],2,0)*METAS[[#This Row],[TOTAL METAS L-V]])+(VLOOKUP(METAS[[#This Row],[NIVEL Y CARGO]],NUEVO[],3,0)*METAS[[#This Row],[TOTAL METAS S-D-F]])+METAS[[#This Row],[DIA POR PAGAR]]</f>
        <v>601.89</v>
      </c>
      <c r="S55" s="316" t="s">
        <v>973</v>
      </c>
      <c r="T55" s="316" t="s">
        <v>973</v>
      </c>
      <c r="U55" s="316" t="s">
        <v>973</v>
      </c>
      <c r="V55" s="316"/>
      <c r="W55" s="289">
        <f>VLOOKUP(METAS[[#This Row],[CEDULA]],DATOS[],9,0)</f>
        <v>0</v>
      </c>
    </row>
    <row r="56" spans="1:23" ht="45" x14ac:dyDescent="0.25">
      <c r="A56" s="280">
        <v>15574216</v>
      </c>
      <c r="B56" s="281" t="str">
        <f>IF(METAS[[#This Row],[OTRO PAGO]]=0,VLOOKUP(METAS[[#This Row],[CEDULA]],DATOS[],2,0),"")</f>
        <v>TERAN LUIS</v>
      </c>
      <c r="C56" s="282" t="str">
        <f>VLOOKUP(METAS[[#This Row],[CEDULA]],DATOS[],5,0)</f>
        <v>OBRERO</v>
      </c>
      <c r="D56" s="311" t="s">
        <v>862</v>
      </c>
      <c r="E56" s="312"/>
      <c r="F56" s="312"/>
      <c r="G56" s="312">
        <v>1</v>
      </c>
      <c r="H56" s="312"/>
      <c r="I56" s="312"/>
      <c r="J56" s="312"/>
      <c r="K56" s="312">
        <v>1</v>
      </c>
      <c r="L56" s="312"/>
      <c r="M56" s="283"/>
      <c r="N56" s="284">
        <f>METAS[[#This Row],[L]]+METAS[[#This Row],[M]]+METAS[[#This Row],[MI]]</f>
        <v>1</v>
      </c>
      <c r="O56" s="285">
        <f>METAS[[#This Row],[J]]+METAS[[#This Row],[V]]+METAS[[#This Row],[S]]+METAS[[#This Row],[D]]</f>
        <v>1</v>
      </c>
      <c r="P56" s="285">
        <f>METAS[[#This Row],[TOTAL METAS L-V]]+METAS[[#This Row],[TOTAL METAS S-D-F]]+METAS[[#This Row],[DIA PEN. ]]</f>
        <v>2</v>
      </c>
      <c r="Q56" s="286"/>
      <c r="R56" s="286">
        <f>(VLOOKUP(METAS[[#This Row],[NIVEL Y CARGO]],NUEVO[],2,0)*METAS[[#This Row],[TOTAL METAS L-V]])+(VLOOKUP(METAS[[#This Row],[NIVEL Y CARGO]],NUEVO[],3,0)*METAS[[#This Row],[TOTAL METAS S-D-F]])+METAS[[#This Row],[DIA POR PAGAR]]</f>
        <v>601.89</v>
      </c>
      <c r="S56" s="316" t="s">
        <v>973</v>
      </c>
      <c r="T56" s="316" t="s">
        <v>973</v>
      </c>
      <c r="U56" s="316" t="s">
        <v>973</v>
      </c>
      <c r="V56" s="317"/>
      <c r="W56" s="289">
        <f>VLOOKUP(METAS[[#This Row],[CEDULA]],DATOS[],9,0)</f>
        <v>0</v>
      </c>
    </row>
    <row r="57" spans="1:23" ht="45" x14ac:dyDescent="0.25">
      <c r="A57" s="280">
        <v>6852779</v>
      </c>
      <c r="B57" s="281" t="str">
        <f>IF(METAS[[#This Row],[OTRO PAGO]]=0,VLOOKUP(METAS[[#This Row],[CEDULA]],DATOS[],2,0),"")</f>
        <v>HERNANDEZ CARLOS</v>
      </c>
      <c r="C57" s="282" t="str">
        <f>VLOOKUP(METAS[[#This Row],[CEDULA]],DATOS[],5,0)</f>
        <v>SUPERVISORIO</v>
      </c>
      <c r="D57" s="311" t="s">
        <v>862</v>
      </c>
      <c r="E57" s="312"/>
      <c r="F57" s="312"/>
      <c r="G57" s="312"/>
      <c r="H57" s="312">
        <v>1</v>
      </c>
      <c r="I57" s="312"/>
      <c r="J57" s="312"/>
      <c r="K57" s="312"/>
      <c r="L57" s="312"/>
      <c r="M57" s="283"/>
      <c r="N57" s="284">
        <f>METAS[[#This Row],[L]]+METAS[[#This Row],[M]]+METAS[[#This Row],[MI]]</f>
        <v>0</v>
      </c>
      <c r="O57" s="285">
        <f>METAS[[#This Row],[J]]+METAS[[#This Row],[V]]+METAS[[#This Row],[S]]+METAS[[#This Row],[D]]</f>
        <v>1</v>
      </c>
      <c r="P57" s="285">
        <f>METAS[[#This Row],[TOTAL METAS L-V]]+METAS[[#This Row],[TOTAL METAS S-D-F]]+METAS[[#This Row],[DIA PEN. ]]</f>
        <v>1</v>
      </c>
      <c r="Q57" s="286"/>
      <c r="R57" s="286">
        <f>(VLOOKUP(METAS[[#This Row],[NIVEL Y CARGO]],NUEVO[],2,0)*METAS[[#This Row],[TOTAL METAS L-V]])+(VLOOKUP(METAS[[#This Row],[NIVEL Y CARGO]],NUEVO[],3,0)*METAS[[#This Row],[TOTAL METAS S-D-F]])+METAS[[#This Row],[DIA POR PAGAR]]</f>
        <v>575.62</v>
      </c>
      <c r="S57" s="316" t="s">
        <v>973</v>
      </c>
      <c r="T57" s="316" t="s">
        <v>973</v>
      </c>
      <c r="U57" s="316" t="s">
        <v>973</v>
      </c>
      <c r="V57" s="316"/>
      <c r="W57" s="289">
        <f>VLOOKUP(METAS[[#This Row],[CEDULA]],DATOS[],9,0)</f>
        <v>0</v>
      </c>
    </row>
    <row r="58" spans="1:23" ht="45" x14ac:dyDescent="0.25">
      <c r="A58" s="280">
        <v>6853103</v>
      </c>
      <c r="B58" s="281" t="str">
        <f>IF(METAS[[#This Row],[OTRO PAGO]]=0,VLOOKUP(METAS[[#This Row],[CEDULA]],DATOS[],2,0),"")</f>
        <v>PEREIRA RAMON</v>
      </c>
      <c r="C58" s="282" t="str">
        <f>VLOOKUP(METAS[[#This Row],[CEDULA]],DATOS[],5,0)</f>
        <v>OBRERO</v>
      </c>
      <c r="D58" s="311" t="s">
        <v>862</v>
      </c>
      <c r="E58" s="312">
        <v>1</v>
      </c>
      <c r="F58" s="312">
        <v>1</v>
      </c>
      <c r="G58" s="312">
        <v>1</v>
      </c>
      <c r="H58" s="312"/>
      <c r="I58" s="312">
        <v>1</v>
      </c>
      <c r="J58" s="312"/>
      <c r="K58" s="312"/>
      <c r="L58" s="312"/>
      <c r="M58" s="283"/>
      <c r="N58" s="284">
        <f>METAS[[#This Row],[L]]+METAS[[#This Row],[M]]+METAS[[#This Row],[MI]]</f>
        <v>3</v>
      </c>
      <c r="O58" s="285">
        <f>METAS[[#This Row],[J]]+METAS[[#This Row],[V]]+METAS[[#This Row],[S]]+METAS[[#This Row],[D]]</f>
        <v>1</v>
      </c>
      <c r="P58" s="285">
        <f>METAS[[#This Row],[TOTAL METAS L-V]]+METAS[[#This Row],[TOTAL METAS S-D-F]]+METAS[[#This Row],[DIA PEN. ]]</f>
        <v>4</v>
      </c>
      <c r="Q58" s="286"/>
      <c r="R58" s="286">
        <f>(VLOOKUP(METAS[[#This Row],[NIVEL Y CARGO]],NUEVO[],2,0)*METAS[[#This Row],[TOTAL METAS L-V]])+(VLOOKUP(METAS[[#This Row],[NIVEL Y CARGO]],NUEVO[],3,0)*METAS[[#This Row],[TOTAL METAS S-D-F]])+METAS[[#This Row],[DIA POR PAGAR]]</f>
        <v>1003.15</v>
      </c>
      <c r="S58" s="316" t="s">
        <v>973</v>
      </c>
      <c r="T58" s="316"/>
      <c r="U58" s="316" t="s">
        <v>973</v>
      </c>
      <c r="V58" s="316"/>
      <c r="W58" s="289">
        <f>VLOOKUP(METAS[[#This Row],[CEDULA]],DATOS[],9,0)</f>
        <v>0</v>
      </c>
    </row>
    <row r="59" spans="1:23" ht="22.5" x14ac:dyDescent="0.25">
      <c r="A59" s="280">
        <v>10793044</v>
      </c>
      <c r="B59" s="281" t="str">
        <f>IF(METAS[[#This Row],[OTRO PAGO]]=0,VLOOKUP(METAS[[#This Row],[CEDULA]],DATOS[],2,0),"")</f>
        <v>ORTEGA FREDDY</v>
      </c>
      <c r="C59" s="282" t="str">
        <f>VLOOKUP(METAS[[#This Row],[CEDULA]],DATOS[],5,0)</f>
        <v>OBRERO</v>
      </c>
      <c r="D59" s="311" t="s">
        <v>862</v>
      </c>
      <c r="E59" s="312">
        <v>1</v>
      </c>
      <c r="F59" s="312">
        <v>1</v>
      </c>
      <c r="G59" s="312"/>
      <c r="H59" s="312"/>
      <c r="I59" s="312"/>
      <c r="J59" s="312"/>
      <c r="K59" s="312"/>
      <c r="L59" s="312"/>
      <c r="M59" s="283"/>
      <c r="N59" s="284">
        <f>METAS[[#This Row],[L]]+METAS[[#This Row],[M]]+METAS[[#This Row],[MI]]</f>
        <v>2</v>
      </c>
      <c r="O59" s="285">
        <f>METAS[[#This Row],[J]]+METAS[[#This Row],[V]]+METAS[[#This Row],[S]]+METAS[[#This Row],[D]]</f>
        <v>0</v>
      </c>
      <c r="P59" s="285">
        <f>METAS[[#This Row],[TOTAL METAS L-V]]+METAS[[#This Row],[TOTAL METAS S-D-F]]+METAS[[#This Row],[DIA PEN. ]]</f>
        <v>2</v>
      </c>
      <c r="Q59" s="286"/>
      <c r="R59" s="286">
        <f>(VLOOKUP(METAS[[#This Row],[NIVEL Y CARGO]],NUEVO[],2,0)*METAS[[#This Row],[TOTAL METAS L-V]])+(VLOOKUP(METAS[[#This Row],[NIVEL Y CARGO]],NUEVO[],3,0)*METAS[[#This Row],[TOTAL METAS S-D-F]])+METAS[[#This Row],[DIA POR PAGAR]]</f>
        <v>401.26</v>
      </c>
      <c r="S59" s="321" t="s">
        <v>982</v>
      </c>
      <c r="T59" s="321"/>
      <c r="U59" s="321" t="s">
        <v>982</v>
      </c>
      <c r="V59" s="316"/>
      <c r="W59" s="289">
        <f>VLOOKUP(METAS[[#This Row],[CEDULA]],DATOS[],9,0)</f>
        <v>0</v>
      </c>
    </row>
    <row r="60" spans="1:23" ht="30" x14ac:dyDescent="0.25">
      <c r="A60" s="280">
        <v>17166976</v>
      </c>
      <c r="B60" s="310" t="str">
        <f>IF(METAS[[#This Row],[OTRO PAGO]]=0,VLOOKUP(METAS[[#This Row],[CEDULA]],DATOS[],2,0),"")</f>
        <v>VEGAS GABRIEL</v>
      </c>
      <c r="C60" s="282" t="str">
        <f>VLOOKUP(METAS[[#This Row],[CEDULA]],DATOS[],5,0)</f>
        <v>SUPERVISORIO</v>
      </c>
      <c r="D60" s="311" t="s">
        <v>864</v>
      </c>
      <c r="E60" s="315"/>
      <c r="F60" s="315"/>
      <c r="G60" s="315"/>
      <c r="H60" s="315">
        <v>1</v>
      </c>
      <c r="I60" s="315">
        <v>1</v>
      </c>
      <c r="J60" s="315"/>
      <c r="K60" s="315"/>
      <c r="L60" s="315"/>
      <c r="M60" s="283"/>
      <c r="N60" s="284">
        <f>METAS[[#This Row],[L]]+METAS[[#This Row],[M]]+METAS[[#This Row],[MI]]</f>
        <v>0</v>
      </c>
      <c r="O60" s="285">
        <f>METAS[[#This Row],[J]]+METAS[[#This Row],[V]]+METAS[[#This Row],[S]]+METAS[[#This Row],[D]]</f>
        <v>2</v>
      </c>
      <c r="P60" s="285">
        <f>METAS[[#This Row],[TOTAL METAS L-V]]+METAS[[#This Row],[TOTAL METAS S-D-F]]+METAS[[#This Row],[DIA PEN. ]]</f>
        <v>2</v>
      </c>
      <c r="Q60" s="286"/>
      <c r="R60" s="286">
        <f>(VLOOKUP(METAS[[#This Row],[NIVEL Y CARGO]],NUEVO[],2,0)*METAS[[#This Row],[TOTAL METAS L-V]])+(VLOOKUP(METAS[[#This Row],[NIVEL Y CARGO]],NUEVO[],3,0)*METAS[[#This Row],[TOTAL METAS S-D-F]])+METAS[[#This Row],[DIA POR PAGAR]]</f>
        <v>1151.24</v>
      </c>
      <c r="S60" s="319" t="s">
        <v>1372</v>
      </c>
      <c r="T60" s="319" t="s">
        <v>1388</v>
      </c>
      <c r="U60" s="287"/>
      <c r="V60" s="288"/>
      <c r="W60" s="289">
        <f>VLOOKUP(METAS[[#This Row],[CEDULA]],DATOS[],9,0)</f>
        <v>0</v>
      </c>
    </row>
    <row r="61" spans="1:23" ht="30" x14ac:dyDescent="0.25">
      <c r="A61" s="280">
        <v>21345770</v>
      </c>
      <c r="B61" s="281" t="str">
        <f>IF(METAS[[#This Row],[OTRO PAGO]]=0,VLOOKUP(METAS[[#This Row],[CEDULA]],DATOS[],2,0),"")</f>
        <v>RIVAS ANGEL</v>
      </c>
      <c r="C61" s="282" t="str">
        <f>VLOOKUP(METAS[[#This Row],[CEDULA]],DATOS[],5,0)</f>
        <v>TECNICO</v>
      </c>
      <c r="D61" s="311" t="s">
        <v>864</v>
      </c>
      <c r="E61" s="313"/>
      <c r="F61" s="313"/>
      <c r="G61" s="313"/>
      <c r="H61" s="313"/>
      <c r="I61" s="313"/>
      <c r="J61" s="313">
        <v>1</v>
      </c>
      <c r="K61" s="313"/>
      <c r="L61" s="313"/>
      <c r="M61" s="283"/>
      <c r="N61" s="284">
        <f>METAS[[#This Row],[L]]+METAS[[#This Row],[M]]+METAS[[#This Row],[MI]]</f>
        <v>0</v>
      </c>
      <c r="O61" s="285">
        <f>METAS[[#This Row],[J]]+METAS[[#This Row],[V]]+METAS[[#This Row],[S]]+METAS[[#This Row],[D]]</f>
        <v>1</v>
      </c>
      <c r="P61" s="285">
        <f>METAS[[#This Row],[TOTAL METAS L-V]]+METAS[[#This Row],[TOTAL METAS S-D-F]]+METAS[[#This Row],[DIA PEN. ]]</f>
        <v>1</v>
      </c>
      <c r="Q61" s="286"/>
      <c r="R61" s="286">
        <f>(VLOOKUP(METAS[[#This Row],[NIVEL Y CARGO]],NUEVO[],2,0)*METAS[[#This Row],[TOTAL METAS L-V]])+(VLOOKUP(METAS[[#This Row],[NIVEL Y CARGO]],NUEVO[],3,0)*METAS[[#This Row],[TOTAL METAS S-D-F]])+METAS[[#This Row],[DIA POR PAGAR]]</f>
        <v>459.38</v>
      </c>
      <c r="S61" s="316" t="s">
        <v>968</v>
      </c>
      <c r="T61" s="316" t="s">
        <v>1389</v>
      </c>
      <c r="U61" s="287"/>
      <c r="V61" s="288"/>
      <c r="W61" s="289">
        <f>VLOOKUP(METAS[[#This Row],[CEDULA]],DATOS[],9,0)</f>
        <v>0</v>
      </c>
    </row>
    <row r="62" spans="1:23" x14ac:dyDescent="0.25">
      <c r="A62" s="280">
        <v>12410293</v>
      </c>
      <c r="B62" s="281" t="str">
        <f>IF(METAS[[#This Row],[OTRO PAGO]]=0,VLOOKUP(METAS[[#This Row],[CEDULA]],DATOS[],2,0),"")</f>
        <v>DIAZ TOMAS</v>
      </c>
      <c r="C62" s="282" t="str">
        <f>VLOOKUP(METAS[[#This Row],[CEDULA]],DATOS[],5,0)</f>
        <v>SUPERVISORIO</v>
      </c>
      <c r="D62" s="311" t="s">
        <v>864</v>
      </c>
      <c r="E62" s="313"/>
      <c r="F62" s="313"/>
      <c r="G62" s="313">
        <v>1</v>
      </c>
      <c r="H62" s="313"/>
      <c r="I62" s="313"/>
      <c r="J62" s="313"/>
      <c r="K62" s="313"/>
      <c r="L62" s="313"/>
      <c r="M62" s="283"/>
      <c r="N62" s="284">
        <f>METAS[[#This Row],[L]]+METAS[[#This Row],[M]]+METAS[[#This Row],[MI]]</f>
        <v>1</v>
      </c>
      <c r="O62" s="285">
        <f>METAS[[#This Row],[J]]+METAS[[#This Row],[V]]+METAS[[#This Row],[S]]+METAS[[#This Row],[D]]</f>
        <v>0</v>
      </c>
      <c r="P62" s="285">
        <f>METAS[[#This Row],[TOTAL METAS L-V]]+METAS[[#This Row],[TOTAL METAS S-D-F]]+METAS[[#This Row],[DIA PEN. ]]</f>
        <v>1</v>
      </c>
      <c r="Q62" s="286"/>
      <c r="R62" s="286">
        <f>(VLOOKUP(METAS[[#This Row],[NIVEL Y CARGO]],NUEVO[],2,0)*METAS[[#This Row],[TOTAL METAS L-V]])+(VLOOKUP(METAS[[#This Row],[NIVEL Y CARGO]],NUEVO[],3,0)*METAS[[#This Row],[TOTAL METAS S-D-F]])+METAS[[#This Row],[DIA POR PAGAR]]</f>
        <v>287.81</v>
      </c>
      <c r="S62" s="316" t="s">
        <v>969</v>
      </c>
      <c r="T62" s="316" t="s">
        <v>1390</v>
      </c>
      <c r="U62" s="287"/>
      <c r="V62" s="288"/>
      <c r="W62" s="289">
        <f>VLOOKUP(METAS[[#This Row],[CEDULA]],DATOS[],9,0)</f>
        <v>0</v>
      </c>
    </row>
    <row r="63" spans="1:23" x14ac:dyDescent="0.25">
      <c r="A63" s="280">
        <v>6185757</v>
      </c>
      <c r="B63" s="281" t="str">
        <f>IF(METAS[[#This Row],[OTRO PAGO]]=0,VLOOKUP(METAS[[#This Row],[CEDULA]],DATOS[],2,0),"")</f>
        <v>CARDENAS JOSE</v>
      </c>
      <c r="C63" s="282" t="str">
        <f>VLOOKUP(METAS[[#This Row],[CEDULA]],DATOS[],5,0)</f>
        <v>SUPERVISORIO</v>
      </c>
      <c r="D63" s="311" t="s">
        <v>864</v>
      </c>
      <c r="E63" s="313"/>
      <c r="F63" s="313"/>
      <c r="G63" s="313"/>
      <c r="H63" s="313"/>
      <c r="I63" s="313">
        <v>1</v>
      </c>
      <c r="J63" s="313">
        <v>1</v>
      </c>
      <c r="K63" s="313">
        <v>1</v>
      </c>
      <c r="L63" s="313"/>
      <c r="M63" s="283"/>
      <c r="N63" s="284">
        <f>METAS[[#This Row],[L]]+METAS[[#This Row],[M]]+METAS[[#This Row],[MI]]</f>
        <v>0</v>
      </c>
      <c r="O63" s="285">
        <f>METAS[[#This Row],[J]]+METAS[[#This Row],[V]]+METAS[[#This Row],[S]]+METAS[[#This Row],[D]]</f>
        <v>3</v>
      </c>
      <c r="P63" s="285">
        <f>METAS[[#This Row],[TOTAL METAS L-V]]+METAS[[#This Row],[TOTAL METAS S-D-F]]+METAS[[#This Row],[DIA PEN. ]]</f>
        <v>3</v>
      </c>
      <c r="Q63" s="286"/>
      <c r="R63" s="286">
        <f>(VLOOKUP(METAS[[#This Row],[NIVEL Y CARGO]],NUEVO[],2,0)*METAS[[#This Row],[TOTAL METAS L-V]])+(VLOOKUP(METAS[[#This Row],[NIVEL Y CARGO]],NUEVO[],3,0)*METAS[[#This Row],[TOTAL METAS S-D-F]])+METAS[[#This Row],[DIA POR PAGAR]]</f>
        <v>1726.8600000000001</v>
      </c>
      <c r="S63" s="317" t="s">
        <v>970</v>
      </c>
      <c r="T63" s="316" t="s">
        <v>1391</v>
      </c>
      <c r="U63" s="287"/>
      <c r="V63" s="288"/>
      <c r="W63" s="289">
        <f>VLOOKUP(METAS[[#This Row],[CEDULA]],DATOS[],9,0)</f>
        <v>0</v>
      </c>
    </row>
    <row r="64" spans="1:23" ht="30" x14ac:dyDescent="0.25">
      <c r="A64" s="280">
        <v>16705084</v>
      </c>
      <c r="B64" s="281" t="str">
        <f>IF(METAS[[#This Row],[OTRO PAGO]]=0,VLOOKUP(METAS[[#This Row],[CEDULA]],DATOS[],2,0),"")</f>
        <v>CHIRINOS CARLOS</v>
      </c>
      <c r="C64" s="282" t="str">
        <f>VLOOKUP(METAS[[#This Row],[CEDULA]],DATOS[],5,0)</f>
        <v>ADMINISTRATIVO</v>
      </c>
      <c r="D64" s="311" t="s">
        <v>864</v>
      </c>
      <c r="E64" s="313"/>
      <c r="F64" s="313"/>
      <c r="G64" s="313">
        <v>1</v>
      </c>
      <c r="H64" s="313"/>
      <c r="I64" s="313"/>
      <c r="J64" s="313">
        <v>1</v>
      </c>
      <c r="K64" s="313">
        <v>1</v>
      </c>
      <c r="L64" s="313"/>
      <c r="M64" s="283"/>
      <c r="N64" s="284">
        <f>METAS[[#This Row],[L]]+METAS[[#This Row],[M]]+METAS[[#This Row],[MI]]</f>
        <v>1</v>
      </c>
      <c r="O64" s="285">
        <f>METAS[[#This Row],[J]]+METAS[[#This Row],[V]]+METAS[[#This Row],[S]]+METAS[[#This Row],[D]]</f>
        <v>2</v>
      </c>
      <c r="P64" s="285">
        <f>METAS[[#This Row],[TOTAL METAS L-V]]+METAS[[#This Row],[TOTAL METAS S-D-F]]+METAS[[#This Row],[DIA PEN. ]]</f>
        <v>3</v>
      </c>
      <c r="Q64" s="286"/>
      <c r="R64" s="286">
        <f>(VLOOKUP(METAS[[#This Row],[NIVEL Y CARGO]],NUEVO[],2,0)*METAS[[#This Row],[TOTAL METAS L-V]])+(VLOOKUP(METAS[[#This Row],[NIVEL Y CARGO]],NUEVO[],3,0)*METAS[[#This Row],[TOTAL METAS S-D-F]])+METAS[[#This Row],[DIA POR PAGAR]]</f>
        <v>1075.8</v>
      </c>
      <c r="S64" s="316" t="s">
        <v>971</v>
      </c>
      <c r="T64" s="316" t="s">
        <v>1392</v>
      </c>
      <c r="U64" s="287"/>
      <c r="V64" s="288"/>
      <c r="W64" s="289">
        <f>VLOOKUP(METAS[[#This Row],[CEDULA]],DATOS[],9,0)</f>
        <v>0</v>
      </c>
    </row>
    <row r="65" spans="1:23" ht="30" x14ac:dyDescent="0.25">
      <c r="A65" s="337">
        <v>10784886</v>
      </c>
      <c r="B65" s="329" t="str">
        <f>IF(METAS[[#This Row],[OTRO PAGO]]=0,VLOOKUP(METAS[[#This Row],[CEDULA]],DATOS[],2,0),"")</f>
        <v>GONZALEZ CARLOS</v>
      </c>
      <c r="C65" s="339" t="str">
        <f>VLOOKUP(METAS[[#This Row],[CEDULA]],DATOS[],5,0)</f>
        <v>SUPERVISORIO</v>
      </c>
      <c r="D65" s="340" t="s">
        <v>873</v>
      </c>
      <c r="E65" s="313"/>
      <c r="F65" s="313"/>
      <c r="G65" s="313"/>
      <c r="H65" s="313"/>
      <c r="I65" s="313"/>
      <c r="J65" s="313"/>
      <c r="K65" s="313"/>
      <c r="L65" s="313"/>
      <c r="M65" s="330">
        <v>1</v>
      </c>
      <c r="N65" s="343">
        <f>METAS[[#This Row],[L]]+METAS[[#This Row],[M]]+METAS[[#This Row],[MI]]</f>
        <v>0</v>
      </c>
      <c r="O65" s="344">
        <f>METAS[[#This Row],[J]]+METAS[[#This Row],[V]]+METAS[[#This Row],[S]]+METAS[[#This Row],[D]]</f>
        <v>0</v>
      </c>
      <c r="P65" s="344">
        <f>METAS[[#This Row],[TOTAL METAS L-V]]+METAS[[#This Row],[TOTAL METAS S-D-F]]+METAS[[#This Row],[DIA PEN. ]]</f>
        <v>1</v>
      </c>
      <c r="Q65" s="331">
        <v>287.81</v>
      </c>
      <c r="R65" s="234">
        <f>(VLOOKUP(METAS[[#This Row],[NIVEL Y CARGO]],NUEVO[],2,0)*METAS[[#This Row],[TOTAL METAS L-V]])+(VLOOKUP(METAS[[#This Row],[NIVEL Y CARGO]],NUEVO[],3,0)*METAS[[#This Row],[TOTAL METAS S-D-F]])+METAS[[#This Row],[DIA POR PAGAR]]</f>
        <v>287.81</v>
      </c>
      <c r="S65" s="317" t="s">
        <v>1376</v>
      </c>
      <c r="T65" s="317"/>
      <c r="U65" s="317"/>
      <c r="V65" s="356" t="s">
        <v>1409</v>
      </c>
      <c r="W65" s="34">
        <f>VLOOKUP(METAS[[#This Row],[CEDULA]],DATOS[],9,0)</f>
        <v>0</v>
      </c>
    </row>
    <row r="66" spans="1:23" x14ac:dyDescent="0.25">
      <c r="A66" s="337">
        <v>14202223</v>
      </c>
      <c r="B66" s="338" t="str">
        <f>IF(METAS[[#This Row],[OTRO PAGO]]=0,VLOOKUP(METAS[[#This Row],[CEDULA]],DATOS[],2,0),"")</f>
        <v>PADRON MABEL</v>
      </c>
      <c r="C66" s="339" t="str">
        <f>VLOOKUP(METAS[[#This Row],[CEDULA]],DATOS[],5,0)</f>
        <v>PROFESIONAL</v>
      </c>
      <c r="D66" s="340" t="s">
        <v>873</v>
      </c>
      <c r="E66" s="313"/>
      <c r="F66" s="313">
        <v>1</v>
      </c>
      <c r="G66" s="313"/>
      <c r="H66" s="313"/>
      <c r="I66" s="313"/>
      <c r="J66" s="313"/>
      <c r="K66" s="313"/>
      <c r="L66" s="313"/>
      <c r="M66" s="342"/>
      <c r="N66" s="343">
        <f>METAS[[#This Row],[L]]+METAS[[#This Row],[M]]+METAS[[#This Row],[MI]]</f>
        <v>1</v>
      </c>
      <c r="O66" s="344">
        <f>METAS[[#This Row],[J]]+METAS[[#This Row],[V]]+METAS[[#This Row],[S]]+METAS[[#This Row],[D]]</f>
        <v>0</v>
      </c>
      <c r="P66" s="344">
        <f>METAS[[#This Row],[TOTAL METAS L-V]]+METAS[[#This Row],[TOTAL METAS S-D-F]]+METAS[[#This Row],[DIA PEN. ]]</f>
        <v>1</v>
      </c>
      <c r="Q66" s="234"/>
      <c r="R66" s="234">
        <f>(VLOOKUP(METAS[[#This Row],[NIVEL Y CARGO]],NUEVO[],2,0)*METAS[[#This Row],[TOTAL METAS L-V]])+(VLOOKUP(METAS[[#This Row],[NIVEL Y CARGO]],NUEVO[],3,0)*METAS[[#This Row],[TOTAL METAS S-D-F]])+METAS[[#This Row],[DIA POR PAGAR]]</f>
        <v>258.75</v>
      </c>
      <c r="S66" s="317" t="s">
        <v>1408</v>
      </c>
      <c r="T66" s="317"/>
      <c r="U66" s="317"/>
      <c r="V66" s="317"/>
      <c r="W66" s="34">
        <f>VLOOKUP(METAS[[#This Row],[CEDULA]],DATOS[],9,0)</f>
        <v>0</v>
      </c>
    </row>
    <row r="67" spans="1:23" x14ac:dyDescent="0.25">
      <c r="A67" s="337">
        <v>12561193</v>
      </c>
      <c r="B67" s="338" t="str">
        <f>IF(METAS[[#This Row],[OTRO PAGO]]=0,VLOOKUP(METAS[[#This Row],[CEDULA]],DATOS[],2,0),"")</f>
        <v>SALAS LEILA</v>
      </c>
      <c r="C67" s="339" t="str">
        <f>VLOOKUP(METAS[[#This Row],[CEDULA]],DATOS[],5,0)</f>
        <v>TECNICO</v>
      </c>
      <c r="D67" s="340" t="s">
        <v>873</v>
      </c>
      <c r="E67" s="313">
        <v>1</v>
      </c>
      <c r="F67" s="313">
        <v>1</v>
      </c>
      <c r="G67" s="313"/>
      <c r="H67" s="313"/>
      <c r="I67" s="313"/>
      <c r="J67" s="313"/>
      <c r="K67" s="313"/>
      <c r="L67" s="313"/>
      <c r="M67" s="342"/>
      <c r="N67" s="343">
        <f>METAS[[#This Row],[L]]+METAS[[#This Row],[M]]+METAS[[#This Row],[MI]]</f>
        <v>2</v>
      </c>
      <c r="O67" s="344">
        <f>METAS[[#This Row],[J]]+METAS[[#This Row],[V]]+METAS[[#This Row],[S]]+METAS[[#This Row],[D]]</f>
        <v>0</v>
      </c>
      <c r="P67" s="344">
        <f>METAS[[#This Row],[TOTAL METAS L-V]]+METAS[[#This Row],[TOTAL METAS S-D-F]]+METAS[[#This Row],[DIA PEN. ]]</f>
        <v>2</v>
      </c>
      <c r="Q67" s="234"/>
      <c r="R67" s="234">
        <f>(VLOOKUP(METAS[[#This Row],[NIVEL Y CARGO]],NUEVO[],2,0)*METAS[[#This Row],[TOTAL METAS L-V]])+(VLOOKUP(METAS[[#This Row],[NIVEL Y CARGO]],NUEVO[],3,0)*METAS[[#This Row],[TOTAL METAS S-D-F]])+METAS[[#This Row],[DIA POR PAGAR]]</f>
        <v>459.38</v>
      </c>
      <c r="S67" s="317" t="s">
        <v>1408</v>
      </c>
      <c r="T67" s="317"/>
      <c r="U67" s="317"/>
      <c r="V67" s="317"/>
      <c r="W67" s="34">
        <f>VLOOKUP(METAS[[#This Row],[CEDULA]],DATOS[],9,0)</f>
        <v>0</v>
      </c>
    </row>
    <row r="68" spans="1:23" x14ac:dyDescent="0.25">
      <c r="A68" s="337">
        <v>16557897</v>
      </c>
      <c r="B68" s="338" t="str">
        <f>IF(METAS[[#This Row],[OTRO PAGO]]=0,VLOOKUP(METAS[[#This Row],[CEDULA]],DATOS[],2,0),"")</f>
        <v>MEDINA ANTONIO</v>
      </c>
      <c r="C68" s="339" t="str">
        <f>VLOOKUP(METAS[[#This Row],[CEDULA]],DATOS[],5,0)</f>
        <v>OBRERO</v>
      </c>
      <c r="D68" s="340" t="s">
        <v>873</v>
      </c>
      <c r="E68" s="313"/>
      <c r="F68" s="313"/>
      <c r="G68" s="313"/>
      <c r="H68" s="313"/>
      <c r="I68" s="313"/>
      <c r="J68" s="313">
        <v>1</v>
      </c>
      <c r="K68" s="313">
        <v>1</v>
      </c>
      <c r="L68" s="313"/>
      <c r="M68" s="342"/>
      <c r="N68" s="343">
        <f>METAS[[#This Row],[L]]+METAS[[#This Row],[M]]+METAS[[#This Row],[MI]]</f>
        <v>0</v>
      </c>
      <c r="O68" s="344">
        <f>METAS[[#This Row],[J]]+METAS[[#This Row],[V]]+METAS[[#This Row],[S]]+METAS[[#This Row],[D]]</f>
        <v>2</v>
      </c>
      <c r="P68" s="344">
        <f>METAS[[#This Row],[TOTAL METAS L-V]]+METAS[[#This Row],[TOTAL METAS S-D-F]]+METAS[[#This Row],[DIA PEN. ]]</f>
        <v>2</v>
      </c>
      <c r="Q68" s="234"/>
      <c r="R68" s="234">
        <f>(VLOOKUP(METAS[[#This Row],[NIVEL Y CARGO]],NUEVO[],2,0)*METAS[[#This Row],[TOTAL METAS L-V]])+(VLOOKUP(METAS[[#This Row],[NIVEL Y CARGO]],NUEVO[],3,0)*METAS[[#This Row],[TOTAL METAS S-D-F]])+METAS[[#This Row],[DIA POR PAGAR]]</f>
        <v>802.52</v>
      </c>
      <c r="S68" s="317"/>
      <c r="T68" s="317" t="s">
        <v>1410</v>
      </c>
      <c r="U68" s="317"/>
      <c r="V68" s="317"/>
      <c r="W68" s="34">
        <f>VLOOKUP(METAS[[#This Row],[CEDULA]],DATOS[],9,0)</f>
        <v>0</v>
      </c>
    </row>
    <row r="69" spans="1:23" x14ac:dyDescent="0.25">
      <c r="A69" s="346">
        <v>6256734</v>
      </c>
      <c r="B69" s="347" t="str">
        <f>IF(METAS[[#This Row],[OTRO PAGO]]=0,VLOOKUP(METAS[[#This Row],[CEDULA]],DATOS[],2,0),"")</f>
        <v>ESPINOZA JOSE</v>
      </c>
      <c r="C69" s="348" t="str">
        <f>VLOOKUP(METAS[[#This Row],[CEDULA]],DATOS[],5,0)</f>
        <v>OBRERO</v>
      </c>
      <c r="D69" s="340" t="s">
        <v>873</v>
      </c>
      <c r="E69" s="313"/>
      <c r="F69" s="313"/>
      <c r="G69" s="313"/>
      <c r="H69" s="313"/>
      <c r="I69" s="313"/>
      <c r="J69" s="313">
        <v>1</v>
      </c>
      <c r="K69" s="313">
        <v>1</v>
      </c>
      <c r="L69" s="313"/>
      <c r="M69" s="351"/>
      <c r="N69" s="352">
        <f>METAS[[#This Row],[L]]+METAS[[#This Row],[M]]+METAS[[#This Row],[MI]]</f>
        <v>0</v>
      </c>
      <c r="O69" s="235">
        <f>METAS[[#This Row],[J]]+METAS[[#This Row],[V]]+METAS[[#This Row],[S]]+METAS[[#This Row],[D]]</f>
        <v>2</v>
      </c>
      <c r="P69" s="235">
        <f>METAS[[#This Row],[TOTAL METAS L-V]]+METAS[[#This Row],[TOTAL METAS S-D-F]]+METAS[[#This Row],[DIA PEN. ]]</f>
        <v>2</v>
      </c>
      <c r="Q69" s="353"/>
      <c r="R69" s="353">
        <f>(VLOOKUP(METAS[[#This Row],[NIVEL Y CARGO]],NUEVO[],2,0)*METAS[[#This Row],[TOTAL METAS L-V]])+(VLOOKUP(METAS[[#This Row],[NIVEL Y CARGO]],NUEVO[],3,0)*METAS[[#This Row],[TOTAL METAS S-D-F]])+METAS[[#This Row],[DIA POR PAGAR]]</f>
        <v>802.52</v>
      </c>
      <c r="S69" s="317"/>
      <c r="T69" s="317" t="s">
        <v>1411</v>
      </c>
      <c r="U69" s="317"/>
      <c r="V69" s="316"/>
      <c r="W69" s="34">
        <f>VLOOKUP(METAS[[#This Row],[CEDULA]],DATOS[],9,0)</f>
        <v>0</v>
      </c>
    </row>
    <row r="70" spans="1:23" ht="30" x14ac:dyDescent="0.25">
      <c r="A70" s="346">
        <v>18088977</v>
      </c>
      <c r="B70" s="333" t="str">
        <f>IF(METAS[[#This Row],[OTRO PAGO]]=0,VLOOKUP(METAS[[#This Row],[CEDULA]],DATOS[],2,0),"")</f>
        <v>RODRIGUEZ EDUARDO</v>
      </c>
      <c r="C70" s="348" t="str">
        <f>VLOOKUP(METAS[[#This Row],[CEDULA]],DATOS[],5,0)</f>
        <v>PROFESIONAL</v>
      </c>
      <c r="D70" s="349" t="s">
        <v>871</v>
      </c>
      <c r="E70" s="350"/>
      <c r="F70" s="350"/>
      <c r="G70" s="350"/>
      <c r="H70" s="350"/>
      <c r="I70" s="350"/>
      <c r="J70" s="350"/>
      <c r="K70" s="350"/>
      <c r="L70" s="350"/>
      <c r="M70" s="365">
        <v>4</v>
      </c>
      <c r="N70" s="352">
        <f>METAS[[#This Row],[L]]+METAS[[#This Row],[M]]+METAS[[#This Row],[MI]]</f>
        <v>0</v>
      </c>
      <c r="O70" s="235">
        <f>METAS[[#This Row],[J]]+METAS[[#This Row],[V]]+METAS[[#This Row],[S]]+METAS[[#This Row],[D]]</f>
        <v>0</v>
      </c>
      <c r="P70" s="235">
        <f>METAS[[#This Row],[TOTAL METAS L-V]]+METAS[[#This Row],[TOTAL METAS S-D-F]]+METAS[[#This Row],[DIA PEN. ]]</f>
        <v>4</v>
      </c>
      <c r="Q70" s="364">
        <v>1035</v>
      </c>
      <c r="R70" s="353">
        <f>(VLOOKUP(METAS[[#This Row],[NIVEL Y CARGO]],NUEVO[],2,0)*METAS[[#This Row],[TOTAL METAS L-V]])+(VLOOKUP(METAS[[#This Row],[NIVEL Y CARGO]],NUEVO[],3,0)*METAS[[#This Row],[TOTAL METAS S-D-F]])+METAS[[#This Row],[DIA POR PAGAR]]</f>
        <v>1035</v>
      </c>
      <c r="S70" s="354"/>
      <c r="T70" s="354"/>
      <c r="U70" s="354"/>
      <c r="V70" s="366" t="s">
        <v>1418</v>
      </c>
      <c r="W70" s="34">
        <f>VLOOKUP(METAS[[#This Row],[CEDULA]],DATOS[],9,0)</f>
        <v>0</v>
      </c>
    </row>
    <row r="71" spans="1:23" x14ac:dyDescent="0.25">
      <c r="A71" s="337">
        <v>11679527</v>
      </c>
      <c r="B71" s="329" t="str">
        <f>IF(METAS[[#This Row],[OTRO PAGO]]=0,VLOOKUP(METAS[[#This Row],[CEDULA]],DATOS[],2,0),"")</f>
        <v>VELASQUEZ YELITZA</v>
      </c>
      <c r="C71" s="339" t="str">
        <f>VLOOKUP(METAS[[#This Row],[CEDULA]],DATOS[],5,0)</f>
        <v>PROFESIONAL</v>
      </c>
      <c r="D71" s="340" t="s">
        <v>865</v>
      </c>
      <c r="E71" s="341"/>
      <c r="F71" s="341"/>
      <c r="G71" s="341"/>
      <c r="H71" s="341"/>
      <c r="I71" s="341"/>
      <c r="J71" s="341"/>
      <c r="K71" s="341"/>
      <c r="L71" s="341"/>
      <c r="M71" s="365">
        <v>1</v>
      </c>
      <c r="N71" s="343">
        <f>METAS[[#This Row],[L]]+METAS[[#This Row],[M]]+METAS[[#This Row],[MI]]</f>
        <v>0</v>
      </c>
      <c r="O71" s="344">
        <f>METAS[[#This Row],[J]]+METAS[[#This Row],[V]]+METAS[[#This Row],[S]]+METAS[[#This Row],[D]]</f>
        <v>0</v>
      </c>
      <c r="P71" s="344">
        <f>METAS[[#This Row],[TOTAL METAS L-V]]+METAS[[#This Row],[TOTAL METAS S-D-F]]+METAS[[#This Row],[DIA PEN. ]]</f>
        <v>1</v>
      </c>
      <c r="Q71" s="364">
        <v>258.75</v>
      </c>
      <c r="R71" s="234">
        <f>(VLOOKUP(METAS[[#This Row],[NIVEL Y CARGO]],NUEVO[],2,0)*METAS[[#This Row],[TOTAL METAS L-V]])+(VLOOKUP(METAS[[#This Row],[NIVEL Y CARGO]],NUEVO[],3,0)*METAS[[#This Row],[TOTAL METAS S-D-F]])+METAS[[#This Row],[DIA POR PAGAR]]</f>
        <v>258.75</v>
      </c>
      <c r="S71" s="345"/>
      <c r="T71" s="345"/>
      <c r="U71" s="345"/>
      <c r="V71" s="366" t="s">
        <v>1419</v>
      </c>
      <c r="W71" s="34">
        <f>VLOOKUP(METAS[[#This Row],[CEDULA]],DATOS[],9,0)</f>
        <v>0</v>
      </c>
    </row>
    <row r="72" spans="1:23" x14ac:dyDescent="0.25">
      <c r="A72" s="346">
        <v>4029580</v>
      </c>
      <c r="B72" s="347" t="str">
        <f>IF(METAS[[#This Row],[OTRO PAGO]]=0,VLOOKUP(METAS[[#This Row],[CEDULA]],DATOS[],2,0),"")</f>
        <v>CORDOVA ESMIRIN</v>
      </c>
      <c r="C72" s="348" t="str">
        <f>VLOOKUP(METAS[[#This Row],[CEDULA]],DATOS[],5,0)</f>
        <v>SUPERVISORIO</v>
      </c>
      <c r="D72" s="340" t="s">
        <v>865</v>
      </c>
      <c r="E72" s="350">
        <v>1</v>
      </c>
      <c r="F72" s="350">
        <v>1</v>
      </c>
      <c r="G72" s="350"/>
      <c r="H72" s="350"/>
      <c r="I72" s="350"/>
      <c r="J72" s="350"/>
      <c r="K72" s="350"/>
      <c r="L72" s="350"/>
      <c r="M72" s="351"/>
      <c r="N72" s="352">
        <f>METAS[[#This Row],[L]]+METAS[[#This Row],[M]]+METAS[[#This Row],[MI]]</f>
        <v>2</v>
      </c>
      <c r="O72" s="235">
        <f>METAS[[#This Row],[J]]+METAS[[#This Row],[V]]+METAS[[#This Row],[S]]+METAS[[#This Row],[D]]</f>
        <v>0</v>
      </c>
      <c r="P72" s="235">
        <f>METAS[[#This Row],[TOTAL METAS L-V]]+METAS[[#This Row],[TOTAL METAS S-D-F]]+METAS[[#This Row],[DIA PEN. ]]</f>
        <v>2</v>
      </c>
      <c r="Q72" s="353"/>
      <c r="R72" s="353">
        <f>(VLOOKUP(METAS[[#This Row],[NIVEL Y CARGO]],NUEVO[],2,0)*METAS[[#This Row],[TOTAL METAS L-V]])+(VLOOKUP(METAS[[#This Row],[NIVEL Y CARGO]],NUEVO[],3,0)*METAS[[#This Row],[TOTAL METAS S-D-F]])+METAS[[#This Row],[DIA POR PAGAR]]</f>
        <v>575.62</v>
      </c>
      <c r="S72" s="354" t="s">
        <v>788</v>
      </c>
      <c r="T72" s="354" t="s">
        <v>788</v>
      </c>
      <c r="U72" s="354"/>
      <c r="V72" s="355"/>
      <c r="W72" s="34">
        <f>VLOOKUP(METAS[[#This Row],[CEDULA]],DATOS[],9,0)</f>
        <v>0</v>
      </c>
    </row>
  </sheetData>
  <dataConsolidate function="count">
    <dataRefs count="1">
      <dataRef ref="N8:N28" sheet="SEM 40" r:id="rId1"/>
    </dataRefs>
  </dataConsolidate>
  <phoneticPr fontId="26" type="noConversion"/>
  <conditionalFormatting sqref="B9:C72">
    <cfRule type="containsBlanks" dxfId="574" priority="14670">
      <formula>LEN(TRIM(B9))=0</formula>
    </cfRule>
  </conditionalFormatting>
  <conditionalFormatting sqref="A4:A7">
    <cfRule type="duplicateValues" dxfId="573" priority="14666"/>
  </conditionalFormatting>
  <conditionalFormatting sqref="A8">
    <cfRule type="duplicateValues" dxfId="572" priority="6209"/>
    <cfRule type="duplicateValues" dxfId="571" priority="14586"/>
  </conditionalFormatting>
  <conditionalFormatting sqref="A8">
    <cfRule type="duplicateValues" dxfId="570" priority="14585"/>
  </conditionalFormatting>
  <conditionalFormatting sqref="A8">
    <cfRule type="duplicateValues" dxfId="569" priority="14583"/>
    <cfRule type="duplicateValues" dxfId="568" priority="14584"/>
  </conditionalFormatting>
  <conditionalFormatting sqref="A8">
    <cfRule type="duplicateValues" dxfId="567" priority="14582"/>
  </conditionalFormatting>
  <conditionalFormatting sqref="A8">
    <cfRule type="duplicateValues" dxfId="566" priority="14580"/>
    <cfRule type="duplicateValues" dxfId="565" priority="14581"/>
  </conditionalFormatting>
  <conditionalFormatting sqref="A8">
    <cfRule type="duplicateValues" dxfId="564" priority="14579"/>
  </conditionalFormatting>
  <conditionalFormatting sqref="A1:A7">
    <cfRule type="duplicateValues" dxfId="563" priority="174634"/>
  </conditionalFormatting>
  <conditionalFormatting sqref="A73:A1048576 A1:A8">
    <cfRule type="duplicateValues" dxfId="562" priority="407126"/>
  </conditionalFormatting>
  <conditionalFormatting sqref="A73:A1048576 A1:A7">
    <cfRule type="duplicateValues" dxfId="561" priority="407129"/>
  </conditionalFormatting>
  <conditionalFormatting sqref="A73:A1048576">
    <cfRule type="duplicateValues" dxfId="560" priority="407132"/>
  </conditionalFormatting>
  <conditionalFormatting sqref="A73:A1048576 A1:A8">
    <cfRule type="duplicateValues" dxfId="559" priority="407137"/>
    <cfRule type="duplicateValues" dxfId="558" priority="407138"/>
  </conditionalFormatting>
  <conditionalFormatting sqref="A73:A1048576">
    <cfRule type="duplicateValues" dxfId="557" priority="407143"/>
    <cfRule type="duplicateValues" dxfId="556" priority="407144"/>
  </conditionalFormatting>
  <conditionalFormatting sqref="A73:A1048576 A1:A8">
    <cfRule type="duplicateValues" dxfId="555" priority="51"/>
  </conditionalFormatting>
  <conditionalFormatting sqref="A22">
    <cfRule type="duplicateValues" dxfId="554" priority="48"/>
  </conditionalFormatting>
  <conditionalFormatting sqref="A22">
    <cfRule type="duplicateValues" dxfId="553" priority="49"/>
    <cfRule type="duplicateValues" dxfId="552" priority="50"/>
  </conditionalFormatting>
  <conditionalFormatting sqref="A36:A38">
    <cfRule type="duplicateValues" dxfId="551" priority="45"/>
  </conditionalFormatting>
  <conditionalFormatting sqref="A36:A38">
    <cfRule type="duplicateValues" dxfId="550" priority="46"/>
    <cfRule type="duplicateValues" dxfId="549" priority="47"/>
  </conditionalFormatting>
  <conditionalFormatting sqref="A55">
    <cfRule type="duplicateValues" dxfId="548" priority="5"/>
    <cfRule type="duplicateValues" dxfId="547" priority="6"/>
    <cfRule type="duplicateValues" dxfId="546" priority="7"/>
    <cfRule type="duplicateValues" dxfId="545" priority="8"/>
  </conditionalFormatting>
  <conditionalFormatting sqref="A56">
    <cfRule type="duplicateValues" dxfId="544" priority="9"/>
    <cfRule type="duplicateValues" dxfId="543" priority="10"/>
    <cfRule type="duplicateValues" dxfId="542" priority="11"/>
    <cfRule type="duplicateValues" dxfId="541" priority="12"/>
  </conditionalFormatting>
  <conditionalFormatting sqref="A57">
    <cfRule type="duplicateValues" dxfId="540" priority="13"/>
    <cfRule type="duplicateValues" dxfId="539" priority="14"/>
    <cfRule type="duplicateValues" dxfId="538" priority="15"/>
    <cfRule type="duplicateValues" dxfId="537" priority="16"/>
  </conditionalFormatting>
  <conditionalFormatting sqref="A58">
    <cfRule type="duplicateValues" dxfId="536" priority="17"/>
    <cfRule type="duplicateValues" dxfId="535" priority="18"/>
    <cfRule type="duplicateValues" dxfId="534" priority="19"/>
    <cfRule type="duplicateValues" dxfId="533" priority="20"/>
  </conditionalFormatting>
  <conditionalFormatting sqref="A59">
    <cfRule type="duplicateValues" dxfId="532" priority="21"/>
    <cfRule type="duplicateValues" dxfId="531" priority="22"/>
    <cfRule type="duplicateValues" dxfId="530" priority="23"/>
    <cfRule type="duplicateValues" dxfId="529" priority="24"/>
  </conditionalFormatting>
  <conditionalFormatting sqref="A60">
    <cfRule type="duplicateValues" dxfId="528" priority="25"/>
    <cfRule type="duplicateValues" dxfId="527" priority="26"/>
    <cfRule type="duplicateValues" dxfId="526" priority="27"/>
    <cfRule type="duplicateValues" dxfId="525" priority="28"/>
  </conditionalFormatting>
  <conditionalFormatting sqref="A61">
    <cfRule type="duplicateValues" dxfId="524" priority="29"/>
    <cfRule type="duplicateValues" dxfId="523" priority="30"/>
    <cfRule type="duplicateValues" dxfId="522" priority="31"/>
    <cfRule type="duplicateValues" dxfId="521" priority="32"/>
  </conditionalFormatting>
  <conditionalFormatting sqref="A62">
    <cfRule type="duplicateValues" dxfId="520" priority="33"/>
    <cfRule type="duplicateValues" dxfId="519" priority="34"/>
    <cfRule type="duplicateValues" dxfId="518" priority="35"/>
    <cfRule type="duplicateValues" dxfId="517" priority="36"/>
  </conditionalFormatting>
  <conditionalFormatting sqref="A63">
    <cfRule type="duplicateValues" dxfId="516" priority="37"/>
    <cfRule type="duplicateValues" dxfId="515" priority="38"/>
    <cfRule type="duplicateValues" dxfId="514" priority="39"/>
    <cfRule type="duplicateValues" dxfId="513" priority="40"/>
  </conditionalFormatting>
  <conditionalFormatting sqref="A64">
    <cfRule type="duplicateValues" dxfId="512" priority="41"/>
    <cfRule type="duplicateValues" dxfId="511" priority="42"/>
    <cfRule type="duplicateValues" dxfId="510" priority="43"/>
    <cfRule type="duplicateValues" dxfId="509" priority="44"/>
  </conditionalFormatting>
  <conditionalFormatting sqref="A71:A72">
    <cfRule type="duplicateValues" dxfId="508" priority="1"/>
  </conditionalFormatting>
  <conditionalFormatting sqref="A71:A72">
    <cfRule type="duplicateValues" dxfId="507" priority="2"/>
  </conditionalFormatting>
  <conditionalFormatting sqref="A71:A72">
    <cfRule type="duplicateValues" dxfId="506" priority="3"/>
    <cfRule type="duplicateValues" dxfId="505" priority="4"/>
  </conditionalFormatting>
  <dataValidations count="3">
    <dataValidation operator="lessThan" showInputMessage="1" showErrorMessage="1" error="LOS CARACTERES DEBEN ESCRIBIRSE EN MAYUSCULAS" sqref="S9:S38 S65:S69"/>
    <dataValidation showInputMessage="1" showErrorMessage="1" error="LOS CARACTERES DEBEN ESCRIBIRSE EN MAYUSCULAS" sqref="S39:S64"/>
    <dataValidation type="whole" allowBlank="1" showInputMessage="1" showErrorMessage="1" sqref="A9:A72">
      <formula1>0</formula1>
      <formula2>1000000000</formula2>
    </dataValidation>
  </dataValidations>
  <pageMargins left="0.70866141732283472" right="0.70866141732283472" top="0.74803149606299213" bottom="0.74803149606299213" header="0.31496062992125984" footer="0.31496062992125984"/>
  <pageSetup scale="25" orientation="landscape" r:id="rId2"/>
  <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DAT!$Q$3:$Q$22</xm:f>
          </x14:formula1>
          <xm:sqref>N5 D9:D72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5" tint="-0.249977111117893"/>
    <pageSetUpPr fitToPage="1"/>
  </sheetPr>
  <dimension ref="A1:AZ80"/>
  <sheetViews>
    <sheetView showGridLines="0" showZeros="0" tabSelected="1" topLeftCell="B1" zoomScale="80" zoomScaleNormal="80" workbookViewId="0">
      <pane xSplit="4" ySplit="6" topLeftCell="F7" activePane="bottomRight" state="frozen"/>
      <selection activeCell="B1" sqref="B1"/>
      <selection pane="topRight" activeCell="F1" sqref="F1"/>
      <selection pane="bottomLeft" activeCell="B7" sqref="B7"/>
      <selection pane="bottomRight" activeCell="G19" sqref="G19"/>
    </sheetView>
  </sheetViews>
  <sheetFormatPr baseColWidth="10" defaultColWidth="11.42578125" defaultRowHeight="15" x14ac:dyDescent="0.25"/>
  <cols>
    <col min="1" max="1" width="8.85546875" style="97" hidden="1" customWidth="1"/>
    <col min="2" max="2" width="13.42578125" style="97" customWidth="1"/>
    <col min="3" max="3" width="24.28515625" style="97" bestFit="1" customWidth="1"/>
    <col min="4" max="4" width="40.28515625" style="97" customWidth="1"/>
    <col min="5" max="5" width="6.140625" style="134" customWidth="1"/>
    <col min="6" max="6" width="6.7109375" style="97" customWidth="1"/>
    <col min="7" max="7" width="11.85546875" style="98" bestFit="1" customWidth="1"/>
    <col min="8" max="8" width="17.5703125" style="98" customWidth="1"/>
    <col min="9" max="9" width="14.7109375" style="98" customWidth="1"/>
    <col min="10" max="10" width="19.5703125" style="98" customWidth="1"/>
    <col min="11" max="11" width="18.85546875" style="98" customWidth="1"/>
    <col min="12" max="12" width="7.5703125" style="97" customWidth="1"/>
    <col min="13" max="13" width="10.42578125" style="99" customWidth="1"/>
    <col min="14" max="14" width="19.42578125" style="99" customWidth="1"/>
    <col min="15" max="15" width="14.7109375" style="99" customWidth="1"/>
    <col min="16" max="16" width="21.42578125" style="97" bestFit="1" customWidth="1"/>
    <col min="17" max="17" width="19.7109375" style="99" customWidth="1"/>
    <col min="18" max="18" width="7.5703125" style="97" customWidth="1"/>
    <col min="19" max="19" width="11.42578125" style="97" bestFit="1" customWidth="1"/>
    <col min="20" max="20" width="22.42578125" style="99" customWidth="1"/>
    <col min="21" max="21" width="20.42578125" style="99" customWidth="1"/>
    <col min="22" max="22" width="21.28515625" style="97" customWidth="1"/>
    <col min="23" max="23" width="25.140625" style="97" customWidth="1"/>
    <col min="24" max="24" width="7.5703125" style="97" customWidth="1"/>
    <col min="25" max="25" width="12.42578125" style="97" customWidth="1"/>
    <col min="26" max="26" width="19.85546875" style="99" customWidth="1"/>
    <col min="27" max="27" width="21" style="99" customWidth="1"/>
    <col min="28" max="28" width="20.5703125" style="99" customWidth="1"/>
    <col min="29" max="29" width="19.7109375" style="97" customWidth="1"/>
    <col min="30" max="30" width="7.5703125" style="97" customWidth="1"/>
    <col min="31" max="31" width="10" style="97" customWidth="1"/>
    <col min="32" max="33" width="14.7109375" style="99" customWidth="1"/>
    <col min="34" max="35" width="25.140625" style="97" customWidth="1"/>
    <col min="36" max="36" width="11.140625" style="100" customWidth="1"/>
    <col min="37" max="37" width="11.42578125" style="100" bestFit="1" customWidth="1"/>
    <col min="38" max="39" width="19.140625" style="159" customWidth="1"/>
    <col min="40" max="41" width="25.140625" style="100" customWidth="1"/>
    <col min="42" max="42" width="7.5703125" style="100" bestFit="1" customWidth="1"/>
    <col min="43" max="43" width="11.42578125" style="100"/>
    <col min="44" max="44" width="22" style="159" customWidth="1"/>
    <col min="45" max="45" width="21.140625" style="159" customWidth="1"/>
    <col min="46" max="46" width="20.7109375" style="159" customWidth="1"/>
    <col min="47" max="47" width="21.28515625" style="159" customWidth="1"/>
    <col min="48" max="48" width="16.28515625" style="100" customWidth="1"/>
    <col min="49" max="49" width="14.28515625" style="100" customWidth="1"/>
    <col min="50" max="50" width="17.5703125" style="100" customWidth="1"/>
    <col min="51" max="51" width="54.28515625" style="159" customWidth="1"/>
    <col min="52" max="52" width="50.28515625" style="100" customWidth="1"/>
    <col min="53" max="16384" width="11.42578125" style="100"/>
  </cols>
  <sheetData>
    <row r="1" spans="1:52" s="77" customFormat="1" x14ac:dyDescent="0.25">
      <c r="A1" s="73"/>
      <c r="B1" s="73"/>
      <c r="C1" s="73"/>
      <c r="D1" s="73"/>
      <c r="E1" s="132"/>
      <c r="F1" s="73"/>
      <c r="O1" s="76"/>
      <c r="P1" s="73"/>
      <c r="Q1" s="76"/>
      <c r="R1" s="73"/>
      <c r="S1" s="73"/>
      <c r="T1" s="76"/>
      <c r="U1" s="76"/>
      <c r="V1" s="73"/>
      <c r="W1" s="73"/>
      <c r="X1" s="73"/>
      <c r="Y1" s="73"/>
      <c r="Z1" s="76"/>
      <c r="AA1" s="76"/>
      <c r="AB1" s="76"/>
      <c r="AC1" s="73"/>
      <c r="AD1" s="73"/>
      <c r="AE1" s="73"/>
      <c r="AF1" s="76"/>
      <c r="AG1" s="76"/>
      <c r="AH1" s="73"/>
      <c r="AI1" s="73"/>
      <c r="AJ1" s="197">
        <v>0.30555555555555552</v>
      </c>
      <c r="AK1" s="198">
        <v>0.68611111111111101</v>
      </c>
      <c r="AL1" s="162"/>
      <c r="AM1" s="127"/>
      <c r="AR1" s="157"/>
      <c r="AS1" s="157"/>
      <c r="AT1" s="157"/>
      <c r="AU1" s="157"/>
      <c r="AY1" s="157"/>
    </row>
    <row r="2" spans="1:52" s="77" customFormat="1" ht="15" customHeight="1" x14ac:dyDescent="0.25">
      <c r="A2" s="73"/>
      <c r="B2" s="82" t="s">
        <v>731</v>
      </c>
      <c r="C2" s="73"/>
      <c r="D2" s="73"/>
      <c r="E2" s="132"/>
      <c r="F2" s="73"/>
      <c r="G2" s="73"/>
      <c r="L2" s="76"/>
      <c r="M2" s="76"/>
      <c r="N2" s="76"/>
      <c r="O2" s="76"/>
      <c r="P2" s="73"/>
      <c r="Q2" s="76"/>
      <c r="R2" s="73"/>
      <c r="S2" s="73"/>
      <c r="T2" s="76"/>
      <c r="U2" s="76"/>
      <c r="V2" s="73"/>
      <c r="W2" s="73"/>
      <c r="X2" s="73"/>
      <c r="Y2" s="73"/>
      <c r="Z2" s="76"/>
      <c r="AA2" s="76"/>
      <c r="AB2" s="76"/>
      <c r="AC2" s="73"/>
      <c r="AD2" s="73"/>
      <c r="AE2" s="73"/>
      <c r="AF2" s="76"/>
      <c r="AG2" s="76"/>
      <c r="AH2" s="73"/>
      <c r="AI2" s="73"/>
      <c r="AJ2" s="126">
        <v>0.30555555555555552</v>
      </c>
      <c r="AK2" s="161">
        <v>0.55208333333333337</v>
      </c>
      <c r="AL2" s="163">
        <v>0.35416666666666669</v>
      </c>
      <c r="AM2" s="128">
        <v>0.6875</v>
      </c>
      <c r="AR2" s="157"/>
      <c r="AS2" s="157"/>
      <c r="AT2" s="157"/>
      <c r="AU2" s="157"/>
      <c r="AY2" s="157"/>
    </row>
    <row r="3" spans="1:52" s="77" customFormat="1" x14ac:dyDescent="0.25">
      <c r="A3" s="73"/>
      <c r="B3" s="73"/>
      <c r="C3" s="73"/>
      <c r="D3" s="73"/>
      <c r="E3" s="132"/>
      <c r="F3" s="73"/>
      <c r="G3" s="73"/>
      <c r="L3" s="76"/>
      <c r="M3" s="76"/>
      <c r="N3" s="76"/>
      <c r="O3" s="76"/>
      <c r="P3" s="73"/>
      <c r="Q3" s="76"/>
      <c r="R3" s="73"/>
      <c r="S3" s="73"/>
      <c r="T3" s="76"/>
      <c r="U3" s="76"/>
      <c r="V3" s="73"/>
      <c r="W3" s="73"/>
      <c r="X3" s="73"/>
      <c r="Y3" s="73"/>
      <c r="Z3" s="76"/>
      <c r="AA3" s="76"/>
      <c r="AB3" s="76"/>
      <c r="AC3" s="73"/>
      <c r="AD3" s="73"/>
      <c r="AE3" s="73"/>
      <c r="AF3" s="76"/>
      <c r="AG3" s="76"/>
      <c r="AH3" s="73"/>
      <c r="AI3" s="73"/>
      <c r="AL3" s="157"/>
      <c r="AM3" s="157"/>
      <c r="AR3" s="157"/>
      <c r="AS3" s="157"/>
      <c r="AT3" s="157"/>
      <c r="AU3" s="157"/>
      <c r="AY3" s="157"/>
    </row>
    <row r="4" spans="1:52" s="77" customFormat="1" ht="15.75" thickBot="1" x14ac:dyDescent="0.3">
      <c r="A4" s="73"/>
      <c r="B4" s="73"/>
      <c r="C4" s="73"/>
      <c r="D4" s="73"/>
      <c r="E4" s="132"/>
      <c r="F4" s="73"/>
      <c r="G4" s="75"/>
      <c r="H4" s="75"/>
      <c r="I4" s="75"/>
      <c r="J4" s="75"/>
      <c r="K4" s="75"/>
      <c r="L4" s="73"/>
      <c r="M4" s="76"/>
      <c r="N4" s="76"/>
      <c r="O4" s="76"/>
      <c r="P4" s="73"/>
      <c r="Q4" s="76"/>
      <c r="R4" s="73"/>
      <c r="S4" s="73"/>
      <c r="T4" s="76"/>
      <c r="U4" s="76"/>
      <c r="V4" s="73"/>
      <c r="W4" s="73"/>
      <c r="X4" s="73"/>
      <c r="Y4" s="73"/>
      <c r="Z4" s="76"/>
      <c r="AA4" s="76"/>
      <c r="AB4" s="76"/>
      <c r="AC4" s="73"/>
      <c r="AD4" s="73"/>
      <c r="AE4" s="73"/>
      <c r="AF4" s="76"/>
      <c r="AG4" s="76"/>
      <c r="AH4" s="73"/>
      <c r="AI4" s="73"/>
      <c r="AL4" s="157"/>
      <c r="AM4" s="157"/>
      <c r="AR4" s="157"/>
      <c r="AS4" s="157"/>
      <c r="AT4" s="157"/>
      <c r="AU4" s="157"/>
      <c r="AY4" s="157"/>
    </row>
    <row r="5" spans="1:52" s="25" customFormat="1" ht="16.5" thickBot="1" x14ac:dyDescent="0.3">
      <c r="B5" s="81"/>
      <c r="C5" s="81"/>
      <c r="D5" s="81"/>
      <c r="E5" s="133"/>
      <c r="F5" s="392" t="s">
        <v>649</v>
      </c>
      <c r="G5" s="393"/>
      <c r="H5" s="393"/>
      <c r="I5" s="393"/>
      <c r="J5" s="393"/>
      <c r="K5" s="394"/>
      <c r="L5" s="392" t="s">
        <v>650</v>
      </c>
      <c r="M5" s="393"/>
      <c r="N5" s="393"/>
      <c r="O5" s="393"/>
      <c r="P5" s="393"/>
      <c r="Q5" s="394"/>
      <c r="R5" s="392" t="s">
        <v>705</v>
      </c>
      <c r="S5" s="393"/>
      <c r="T5" s="393"/>
      <c r="U5" s="393"/>
      <c r="V5" s="393"/>
      <c r="W5" s="394"/>
      <c r="X5" s="392" t="s">
        <v>652</v>
      </c>
      <c r="Y5" s="393"/>
      <c r="Z5" s="393"/>
      <c r="AA5" s="393"/>
      <c r="AB5" s="393"/>
      <c r="AC5" s="394"/>
      <c r="AD5" s="392" t="s">
        <v>653</v>
      </c>
      <c r="AE5" s="393"/>
      <c r="AF5" s="393"/>
      <c r="AG5" s="393"/>
      <c r="AH5" s="393"/>
      <c r="AI5" s="394"/>
      <c r="AJ5" s="397" t="s">
        <v>654</v>
      </c>
      <c r="AK5" s="398"/>
      <c r="AL5" s="398"/>
      <c r="AM5" s="398"/>
      <c r="AN5" s="398"/>
      <c r="AO5" s="399"/>
      <c r="AP5" s="395" t="s">
        <v>655</v>
      </c>
      <c r="AQ5" s="396"/>
      <c r="AR5" s="396"/>
      <c r="AS5" s="396"/>
      <c r="AT5" s="396"/>
      <c r="AU5" s="396"/>
      <c r="AY5" s="227"/>
    </row>
    <row r="6" spans="1:52" s="204" customFormat="1" ht="24" x14ac:dyDescent="0.2">
      <c r="A6" s="158" t="s">
        <v>742</v>
      </c>
      <c r="B6" s="78" t="s">
        <v>0</v>
      </c>
      <c r="C6" s="78" t="s">
        <v>1</v>
      </c>
      <c r="D6" s="199" t="s">
        <v>706</v>
      </c>
      <c r="E6" s="200" t="s">
        <v>824</v>
      </c>
      <c r="F6" s="201" t="s">
        <v>897</v>
      </c>
      <c r="G6" s="205" t="s">
        <v>821</v>
      </c>
      <c r="H6" s="78" t="s">
        <v>707</v>
      </c>
      <c r="I6" s="78" t="s">
        <v>708</v>
      </c>
      <c r="J6" s="78" t="s">
        <v>709</v>
      </c>
      <c r="K6" s="79" t="s">
        <v>710</v>
      </c>
      <c r="L6" s="202" t="s">
        <v>711</v>
      </c>
      <c r="M6" s="205" t="s">
        <v>822</v>
      </c>
      <c r="N6" s="78" t="s">
        <v>712</v>
      </c>
      <c r="O6" s="78" t="s">
        <v>713</v>
      </c>
      <c r="P6" s="78" t="s">
        <v>714</v>
      </c>
      <c r="Q6" s="80" t="s">
        <v>715</v>
      </c>
      <c r="R6" s="201" t="s">
        <v>716</v>
      </c>
      <c r="S6" s="205" t="s">
        <v>823</v>
      </c>
      <c r="T6" s="78" t="s">
        <v>717</v>
      </c>
      <c r="U6" s="78" t="s">
        <v>718</v>
      </c>
      <c r="V6" s="78" t="s">
        <v>719</v>
      </c>
      <c r="W6" s="79" t="s">
        <v>720</v>
      </c>
      <c r="X6" s="202" t="s">
        <v>721</v>
      </c>
      <c r="Y6" s="205" t="s">
        <v>828</v>
      </c>
      <c r="Z6" s="78" t="s">
        <v>722</v>
      </c>
      <c r="AA6" s="78" t="s">
        <v>723</v>
      </c>
      <c r="AB6" s="78" t="s">
        <v>724</v>
      </c>
      <c r="AC6" s="80" t="s">
        <v>725</v>
      </c>
      <c r="AD6" s="202" t="s">
        <v>726</v>
      </c>
      <c r="AE6" s="205" t="s">
        <v>829</v>
      </c>
      <c r="AF6" s="78" t="s">
        <v>727</v>
      </c>
      <c r="AG6" s="78" t="s">
        <v>728</v>
      </c>
      <c r="AH6" s="78" t="s">
        <v>729</v>
      </c>
      <c r="AI6" s="80" t="s">
        <v>730</v>
      </c>
      <c r="AJ6" s="158" t="s">
        <v>732</v>
      </c>
      <c r="AK6" s="205" t="s">
        <v>855</v>
      </c>
      <c r="AL6" s="158" t="s">
        <v>736</v>
      </c>
      <c r="AM6" s="158" t="s">
        <v>735</v>
      </c>
      <c r="AN6" s="158" t="s">
        <v>734</v>
      </c>
      <c r="AO6" s="164" t="s">
        <v>733</v>
      </c>
      <c r="AP6" s="158" t="s">
        <v>737</v>
      </c>
      <c r="AQ6" s="205" t="s">
        <v>856</v>
      </c>
      <c r="AR6" s="158" t="s">
        <v>738</v>
      </c>
      <c r="AS6" s="158" t="s">
        <v>739</v>
      </c>
      <c r="AT6" s="158" t="s">
        <v>740</v>
      </c>
      <c r="AU6" s="164" t="s">
        <v>741</v>
      </c>
      <c r="AV6" s="203" t="s">
        <v>876</v>
      </c>
      <c r="AW6" s="203" t="s">
        <v>877</v>
      </c>
      <c r="AX6" s="203" t="s">
        <v>878</v>
      </c>
      <c r="AY6" s="158" t="s">
        <v>912</v>
      </c>
      <c r="AZ6" s="211" t="s">
        <v>2</v>
      </c>
    </row>
    <row r="7" spans="1:52" ht="39.950000000000003" customHeight="1" x14ac:dyDescent="0.25">
      <c r="A7" s="105">
        <f>IF(NCH[[#This Row],[CEDULA]]&gt;1,0,"")</f>
        <v>0</v>
      </c>
      <c r="B7" s="280">
        <v>7928721</v>
      </c>
      <c r="C7" s="125" t="str">
        <f>VLOOKUP(NCH[[#This Row],[CEDULA]],DATOS[],2,0)</f>
        <v>SANCHEZ DORIS</v>
      </c>
      <c r="D7" s="108" t="s">
        <v>819</v>
      </c>
      <c r="E7" s="131" t="str">
        <f>MID(VLOOKUP(NCH[[#This Row],[CEDULA]],DATOS[],10,0),1,1)</f>
        <v>2</v>
      </c>
      <c r="F7" s="106"/>
      <c r="G7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7" s="154">
        <f>IFERROR(IF(ISBLANK(F7),VLOOKUP(NCH[[#This Row],[CEDULA]],BIO[],3,0),VLOOKUP(NCH[[#This Row],[CEDULA]],BIO[],3,0)),"No tiene huella Biometrico")</f>
        <v>0.28140046296296295</v>
      </c>
      <c r="I7" s="228">
        <f>IFERROR(IF(ISBLANK(F7),VLOOKUP(NCH[[#This Row],[CEDULA]],BIO[],4,0),VLOOKUP(NCH[[#This Row],[CEDULA]],BIO[],4,0)),"No tiene huella Biometrico")</f>
        <v>0.55136574074074074</v>
      </c>
      <c r="J7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Cumple H</v>
      </c>
      <c r="K7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7" s="106"/>
      <c r="M7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7" s="154">
        <f>IFERROR(IF(ISBLANK(L7),VLOOKUP(NCH[[#This Row],[CEDULA]],BIO[],5,0),VLOOKUP(NCH[[#This Row],[CEDULA]],BIO[],5,0)),"No tiene huella Biometrico")</f>
        <v>0.29312500000000002</v>
      </c>
      <c r="O7" s="228">
        <f>IFERROR(IF(ISBLANK(L7),VLOOKUP(NCH[[#This Row],[CEDULA]],BIO[],6,0),VLOOKUP(NCH[[#This Row],[CEDULA]],BIO[],6,0)),"No tiene huella Biometrico")</f>
        <v>0.55030092592592594</v>
      </c>
      <c r="P7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7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7" s="106"/>
      <c r="S7" s="367"/>
      <c r="T7" s="154" t="str">
        <f>IFERROR(IF(ISBLANK(R7),VLOOKUP(NCH[[#This Row],[CEDULA]],BIO[],7,0),VLOOKUP(NCH[[#This Row],[CEDULA]],BIO[],7,0)),"No tiene huella Biometrico")</f>
        <v>No registró</v>
      </c>
      <c r="U7" s="228" t="str">
        <f>IFERROR(IF(ISBLANK(R7),VLOOKUP(NCH[[#This Row],[CEDULA]],BIO[],8,0),VLOOKUP(NCH[[#This Row],[CEDULA]],BIO[],8,0)),"No tiene huella Biometrico")</f>
        <v>No registró</v>
      </c>
      <c r="V7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7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7" s="106"/>
      <c r="Y7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7" s="154" t="str">
        <f>IFERROR(IF(ISBLANK(X7),VLOOKUP(NCH[[#This Row],[CEDULA]],BIO[],9,0),VLOOKUP(NCH[[#This Row],[CEDULA]],BIO[],9,0)),"No tiene huella Biometrico")</f>
        <v>No Registró</v>
      </c>
      <c r="AA7" s="228" t="str">
        <f>IFERROR(IF(ISBLANK(X7),VLOOKUP(NCH[[#This Row],[CEDULA]],BIO[],10,0),VLOOKUP(NCH[[#This Row],[CEDULA]],BIO[],10,0)),"No tiene huella Biometrico")</f>
        <v>No registró</v>
      </c>
      <c r="AB7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7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7" s="106"/>
      <c r="AE7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7" s="154" t="str">
        <f>IFERROR(IF(ISBLANK(NCH[G5]),VLOOKUP(NCH[[#This Row],[CEDULA]],BIO[],11,0),VLOOKUP(NCH[[#This Row],[CEDULA]],BIO[],11,0)),"No tiene huella Biometrico")</f>
        <v>No registró</v>
      </c>
      <c r="AG7" s="228" t="str">
        <f>IFERROR(IF((NCH[G5]),VLOOKUP(NCH[[#This Row],[CEDULA]],BIO[],12,0),VLOOKUP(NCH[[#This Row],[CEDULA]],BIO[],12,0)),"No tiene huella Biometrico")</f>
        <v>No registró</v>
      </c>
      <c r="AH7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7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7" s="107"/>
      <c r="AK7" s="369">
        <f>IF(NCH[[#This Row],[RUTA]]="0",NCH[[#This Row],[G6]],IF(AND(NCH[[#This Row],[ENTRADA7]]&lt;&gt;"No Registró",NCH[[#This Row],[SALIDA7]]&lt;&gt;"No Registró"),NCH[[#This Row],[G6]],0))</f>
        <v>0</v>
      </c>
      <c r="AL7" s="154" t="str">
        <f>IFERROR(IF(ISBLANK(NCH[G6]),VLOOKUP(NCH[CEDULA],BIO[],13,0),VLOOKUP(NCH[CEDULA],BIO[],13,0)),"No tiene huella Biometrico")</f>
        <v>No registró</v>
      </c>
      <c r="AM7" s="230" t="str">
        <f>IFERROR(IF((NCH[G6]),VLOOKUP(NCH[[#This Row],[CEDULA]],BIO[],14,0),VLOOKUP(NCH[[#This Row],[CEDULA]],BIO[],14,0)),"No tiene huella Biometrico")</f>
        <v>No registró</v>
      </c>
      <c r="AN7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7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7" s="107"/>
      <c r="AQ7" s="231">
        <f>IF(NCH[[#This Row],[RUTA]]="0",NCH[[#This Row],[G7]],IF(AND(NCH[[#This Row],[ENTRADA8]]&lt;&gt;"No Registró",NCH[[#This Row],[SALIDA8]]&lt;&gt;"No Registró"),NCH[[#This Row],[G7]],0))</f>
        <v>0</v>
      </c>
      <c r="AR7" s="160" t="str">
        <f>IFERROR(IF(ISBLANK(NCH[G7]),VLOOKUP(NCH[CEDULA],BIO[],15,0),VLOOKUP(NCH[CEDULA],BIO[],15,0)),"No tiene huella Biometrico")</f>
        <v>No registró</v>
      </c>
      <c r="AS7" s="230" t="str">
        <f>IFERROR(IF(ISBLANK(NCH[G7]),VLOOKUP(NCH[[#This Row],[CEDULA]],BIO[],16,0),VLOOKUP(NCH[[#This Row],[CEDULA]],BIO[],16,0)),"No tiene huella Biometrico")</f>
        <v>No registró</v>
      </c>
      <c r="AT7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7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7" s="105">
        <f>NCH[[#This Row],[META]]+NCH[[#This Row],[META2]]+NCH[[#This Row],[META3]]</f>
        <v>0</v>
      </c>
      <c r="AW7" s="105">
        <f>NCH[[#This Row],[META4]]+NCH[[#This Row],[META5]]+NCH[[#This Row],[META6]]+NCH[[#This Row],[META7]]</f>
        <v>0</v>
      </c>
      <c r="AX7" s="231">
        <f>NCH[[#This Row],[TOTAL L-V]]+NCH[[#This Row],[TOTAL S-D]]</f>
        <v>0</v>
      </c>
      <c r="AY7" s="232">
        <f>VLOOKUP(NCH[[#This Row],[CEDULA]],METAS[],20,0)</f>
        <v>0</v>
      </c>
      <c r="AZ7" s="232" t="str">
        <f>VLOOKUP(NCH[[#This Row],[CEDULA]],METAS[],22,0)</f>
        <v>COMPRAS (PENDIENTE JUEVES 10-04-2025 )</v>
      </c>
    </row>
    <row r="8" spans="1:52" ht="30" x14ac:dyDescent="0.25">
      <c r="A8" s="304">
        <f>IF(NCH[[#This Row],[CEDULA]]&gt;1,0,"")</f>
        <v>0</v>
      </c>
      <c r="B8" s="280">
        <v>3759325</v>
      </c>
      <c r="C8" s="125" t="str">
        <f>VLOOKUP(NCH[[#This Row],[CEDULA]],DATOS[],2,0)</f>
        <v>LINARES JOSE</v>
      </c>
      <c r="D8" s="108" t="s">
        <v>819</v>
      </c>
      <c r="E8" s="131" t="str">
        <f>MID(VLOOKUP(NCH[[#This Row],[CEDULA]],DATOS[],10,0),1,1)</f>
        <v>1</v>
      </c>
      <c r="F8" s="106"/>
      <c r="G8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8" s="154">
        <f>IFERROR(IF(ISBLANK(F8),VLOOKUP(NCH[[#This Row],[CEDULA]],BIO[],3,0),VLOOKUP(NCH[[#This Row],[CEDULA]],BIO[],3,0)),"No tiene huella Biometrico")</f>
        <v>0.27813657407407405</v>
      </c>
      <c r="I8" s="228">
        <f>IFERROR(IF(ISBLANK(F8),VLOOKUP(NCH[[#This Row],[CEDULA]],BIO[],4,0),VLOOKUP(NCH[[#This Row],[CEDULA]],BIO[],4,0)),"No tiene huella Biometrico")</f>
        <v>0.34241898148148148</v>
      </c>
      <c r="J8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Cumple H</v>
      </c>
      <c r="K8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8" s="106"/>
      <c r="M8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8" s="154">
        <f>IFERROR(IF(ISBLANK(L8),VLOOKUP(NCH[[#This Row],[CEDULA]],BIO[],5,0),VLOOKUP(NCH[[#This Row],[CEDULA]],BIO[],5,0)),"No tiene huella Biometrico")</f>
        <v>0.27774305555555556</v>
      </c>
      <c r="O8" s="228">
        <f>IFERROR(IF(ISBLANK(L8),VLOOKUP(NCH[[#This Row],[CEDULA]],BIO[],6,0),VLOOKUP(NCH[[#This Row],[CEDULA]],BIO[],6,0)),"No tiene huella Biometrico")</f>
        <v>0.44096064814814812</v>
      </c>
      <c r="P8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8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8" s="106"/>
      <c r="S8" s="367"/>
      <c r="T8" s="154" t="str">
        <f>IFERROR(IF(ISBLANK(R8),VLOOKUP(NCH[[#This Row],[CEDULA]],BIO[],7,0),VLOOKUP(NCH[[#This Row],[CEDULA]],BIO[],7,0)),"No tiene huella Biometrico")</f>
        <v>No registró</v>
      </c>
      <c r="U8" s="228" t="str">
        <f>IFERROR(IF(ISBLANK(R8),VLOOKUP(NCH[[#This Row],[CEDULA]],BIO[],8,0),VLOOKUP(NCH[[#This Row],[CEDULA]],BIO[],8,0)),"No tiene huella Biometrico")</f>
        <v>No registró</v>
      </c>
      <c r="V8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8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8" s="106"/>
      <c r="Y8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8" s="154" t="str">
        <f>IFERROR(IF(ISBLANK(X8),VLOOKUP(NCH[[#This Row],[CEDULA]],BIO[],9,0),VLOOKUP(NCH[[#This Row],[CEDULA]],BIO[],9,0)),"No tiene huella Biometrico")</f>
        <v>No Registró</v>
      </c>
      <c r="AA8" s="228" t="str">
        <f>IFERROR(IF(ISBLANK(X8),VLOOKUP(NCH[[#This Row],[CEDULA]],BIO[],10,0),VLOOKUP(NCH[[#This Row],[CEDULA]],BIO[],10,0)),"No tiene huella Biometrico")</f>
        <v>No registró</v>
      </c>
      <c r="AB8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8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8" s="106"/>
      <c r="AE8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8" s="154" t="str">
        <f>IFERROR(IF(ISBLANK(NCH[G5]),VLOOKUP(NCH[[#This Row],[CEDULA]],BIO[],11,0),VLOOKUP(NCH[[#This Row],[CEDULA]],BIO[],11,0)),"No tiene huella Biometrico")</f>
        <v>No registró</v>
      </c>
      <c r="AG8" s="228" t="str">
        <f>IFERROR(IF((NCH[G5]),VLOOKUP(NCH[[#This Row],[CEDULA]],BIO[],12,0),VLOOKUP(NCH[[#This Row],[CEDULA]],BIO[],12,0)),"No tiene huella Biometrico")</f>
        <v>No registró</v>
      </c>
      <c r="AH8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8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8" s="106">
        <v>1</v>
      </c>
      <c r="AK8" s="369">
        <f>IF(NCH[[#This Row],[RUTA]]="0",NCH[[#This Row],[G6]],IF(AND(NCH[[#This Row],[ENTRADA7]]&lt;&gt;"No Registró",NCH[[#This Row],[SALIDA7]]&lt;&gt;"No Registró"),NCH[[#This Row],[G6]],0))</f>
        <v>1</v>
      </c>
      <c r="AL8" s="154">
        <f>IFERROR(IF(ISBLANK(NCH[G6]),VLOOKUP(NCH[CEDULA],BIO[],13,0),VLOOKUP(NCH[CEDULA],BIO[],13,0)),"No tiene huella Biometrico")</f>
        <v>0.30667824074074074</v>
      </c>
      <c r="AM8" s="228">
        <f>IFERROR(IF((NCH[G6]),VLOOKUP(NCH[[#This Row],[CEDULA]],BIO[],14,0),VLOOKUP(NCH[[#This Row],[CEDULA]],BIO[],14,0)),"No tiene huella Biometrico")</f>
        <v>0.54038194444444443</v>
      </c>
      <c r="AN8" s="252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Cumple H</v>
      </c>
      <c r="AO8" s="228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8" s="106"/>
      <c r="AQ8" s="231">
        <f>IF(NCH[[#This Row],[RUTA]]="0",NCH[[#This Row],[G7]],IF(AND(NCH[[#This Row],[ENTRADA8]]&lt;&gt;"No Registró",NCH[[#This Row],[SALIDA8]]&lt;&gt;"No Registró"),NCH[[#This Row],[G7]],0))</f>
        <v>0</v>
      </c>
      <c r="AR8" s="154" t="str">
        <f>IFERROR(IF(ISBLANK(NCH[G7]),VLOOKUP(NCH[CEDULA],BIO[],15,0),VLOOKUP(NCH[CEDULA],BIO[],15,0)),"No tiene huella Biometrico")</f>
        <v>No registró</v>
      </c>
      <c r="AS8" s="228" t="str">
        <f>IFERROR(IF(ISBLANK(NCH[G7]),VLOOKUP(NCH[[#This Row],[CEDULA]],BIO[],16,0),VLOOKUP(NCH[[#This Row],[CEDULA]],BIO[],16,0)),"No tiene huella Biometrico")</f>
        <v>No registró</v>
      </c>
      <c r="AT8" s="228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8" s="228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8" s="304">
        <f>NCH[[#This Row],[META]]+NCH[[#This Row],[META2]]+NCH[[#This Row],[META3]]</f>
        <v>0</v>
      </c>
      <c r="AW8" s="304">
        <f>NCH[[#This Row],[META4]]+NCH[[#This Row],[META5]]+NCH[[#This Row],[META6]]+NCH[[#This Row],[META7]]</f>
        <v>1</v>
      </c>
      <c r="AX8" s="275">
        <f>NCH[[#This Row],[TOTAL L-V]]+NCH[[#This Row],[TOTAL S-D]]</f>
        <v>1</v>
      </c>
      <c r="AY8" s="232" t="str">
        <f>VLOOKUP(NCH[[#This Row],[CEDULA]],METAS[],20,0)</f>
        <v xml:space="preserve">JARDINERIA EN GENERAL </v>
      </c>
      <c r="AZ8" s="305">
        <f>VLOOKUP(NCH[[#This Row],[CEDULA]],METAS[],22,0)</f>
        <v>0</v>
      </c>
    </row>
    <row r="9" spans="1:52" ht="30" x14ac:dyDescent="0.25">
      <c r="A9" s="105">
        <f>IF(NCH[[#This Row],[CEDULA]]&gt;1,0,"")</f>
        <v>0</v>
      </c>
      <c r="B9" s="280">
        <v>7948797</v>
      </c>
      <c r="C9" s="125" t="str">
        <f>VLOOKUP(NCH[[#This Row],[CEDULA]],DATOS[],2,0)</f>
        <v>OLIVARES MARIA</v>
      </c>
      <c r="D9" s="108" t="s">
        <v>819</v>
      </c>
      <c r="E9" s="131" t="str">
        <f>MID(VLOOKUP(NCH[[#This Row],[CEDULA]],DATOS[],10,0),1,1)</f>
        <v>1</v>
      </c>
      <c r="F9" s="106"/>
      <c r="G9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9" s="154">
        <f>IFERROR(IF(ISBLANK(F9),VLOOKUP(NCH[[#This Row],[CEDULA]],BIO[],3,0),VLOOKUP(NCH[[#This Row],[CEDULA]],BIO[],3,0)),"No tiene huella Biometrico")</f>
        <v>0.27787037037037038</v>
      </c>
      <c r="I9" s="228">
        <f>IFERROR(IF(ISBLANK(F9),VLOOKUP(NCH[[#This Row],[CEDULA]],BIO[],4,0),VLOOKUP(NCH[[#This Row],[CEDULA]],BIO[],4,0)),"No tiene huella Biometrico")</f>
        <v>0.55480324074074072</v>
      </c>
      <c r="J9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9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9" s="106"/>
      <c r="M9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9" s="154">
        <f>IFERROR(IF(ISBLANK(L9),VLOOKUP(NCH[[#This Row],[CEDULA]],BIO[],5,0),VLOOKUP(NCH[[#This Row],[CEDULA]],BIO[],5,0)),"No tiene huella Biometrico")</f>
        <v>0.26018518518518519</v>
      </c>
      <c r="O9" s="228">
        <f>IFERROR(IF(ISBLANK(L9),VLOOKUP(NCH[[#This Row],[CEDULA]],BIO[],6,0),VLOOKUP(NCH[[#This Row],[CEDULA]],BIO[],6,0)),"No tiene huella Biometrico")</f>
        <v>0.55328703703703697</v>
      </c>
      <c r="P9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Cumple Horario</v>
      </c>
      <c r="Q9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9" s="106"/>
      <c r="S9" s="367"/>
      <c r="T9" s="154" t="str">
        <f>IFERROR(IF(ISBLANK(R9),VLOOKUP(NCH[[#This Row],[CEDULA]],BIO[],7,0),VLOOKUP(NCH[[#This Row],[CEDULA]],BIO[],7,0)),"No tiene huella Biometrico")</f>
        <v>No registró</v>
      </c>
      <c r="U9" s="228" t="str">
        <f>IFERROR(IF(ISBLANK(R9),VLOOKUP(NCH[[#This Row],[CEDULA]],BIO[],8,0),VLOOKUP(NCH[[#This Row],[CEDULA]],BIO[],8,0)),"No tiene huella Biometrico")</f>
        <v>No registró</v>
      </c>
      <c r="V9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9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9" s="106"/>
      <c r="Y9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9" s="154" t="str">
        <f>IFERROR(IF(ISBLANK(X9),VLOOKUP(NCH[[#This Row],[CEDULA]],BIO[],9,0),VLOOKUP(NCH[[#This Row],[CEDULA]],BIO[],9,0)),"No tiene huella Biometrico")</f>
        <v>No Registró</v>
      </c>
      <c r="AA9" s="228" t="str">
        <f>IFERROR(IF(ISBLANK(X9),VLOOKUP(NCH[[#This Row],[CEDULA]],BIO[],10,0),VLOOKUP(NCH[[#This Row],[CEDULA]],BIO[],10,0)),"No tiene huella Biometrico")</f>
        <v>No registró</v>
      </c>
      <c r="AB9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9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9" s="106"/>
      <c r="AE9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9" s="154" t="str">
        <f>IFERROR(IF(ISBLANK(NCH[G5]),VLOOKUP(NCH[[#This Row],[CEDULA]],BIO[],11,0),VLOOKUP(NCH[[#This Row],[CEDULA]],BIO[],11,0)),"No tiene huella Biometrico")</f>
        <v>No registró</v>
      </c>
      <c r="AG9" s="228" t="str">
        <f>IFERROR(IF((NCH[G5]),VLOOKUP(NCH[[#This Row],[CEDULA]],BIO[],12,0),VLOOKUP(NCH[[#This Row],[CEDULA]],BIO[],12,0)),"No tiene huella Biometrico")</f>
        <v>No registró</v>
      </c>
      <c r="AH9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9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9" s="107">
        <v>1</v>
      </c>
      <c r="AK9" s="369">
        <f>IF(NCH[[#This Row],[RUTA]]="0",NCH[[#This Row],[G6]],IF(AND(NCH[[#This Row],[ENTRADA7]]&lt;&gt;"No Registró",NCH[[#This Row],[SALIDA7]]&lt;&gt;"No Registró"),NCH[[#This Row],[G6]],0))</f>
        <v>1</v>
      </c>
      <c r="AL9" s="154">
        <f>IFERROR(IF(ISBLANK(NCH[G6]),VLOOKUP(NCH[CEDULA],BIO[],13,0),VLOOKUP(NCH[CEDULA],BIO[],13,0)),"No tiene huella Biometrico")</f>
        <v>0.28017361111111111</v>
      </c>
      <c r="AM9" s="230">
        <f>IFERROR(IF((NCH[G6]),VLOOKUP(NCH[[#This Row],[CEDULA]],BIO[],14,0),VLOOKUP(NCH[[#This Row],[CEDULA]],BIO[],14,0)),"No tiene huella Biometrico")</f>
        <v>0.53531249999999997</v>
      </c>
      <c r="AN9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Cumple H</v>
      </c>
      <c r="AO9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9" s="107"/>
      <c r="AQ9" s="231">
        <f>IF(NCH[[#This Row],[RUTA]]="0",NCH[[#This Row],[G7]],IF(AND(NCH[[#This Row],[ENTRADA8]]&lt;&gt;"No Registró",NCH[[#This Row],[SALIDA8]]&lt;&gt;"No Registró"),NCH[[#This Row],[G7]],0))</f>
        <v>0</v>
      </c>
      <c r="AR9" s="160" t="str">
        <f>IFERROR(IF(ISBLANK(NCH[G7]),VLOOKUP(NCH[CEDULA],BIO[],15,0),VLOOKUP(NCH[CEDULA],BIO[],15,0)),"No tiene huella Biometrico")</f>
        <v>No registró</v>
      </c>
      <c r="AS9" s="230" t="str">
        <f>IFERROR(IF(ISBLANK(NCH[G7]),VLOOKUP(NCH[[#This Row],[CEDULA]],BIO[],16,0),VLOOKUP(NCH[[#This Row],[CEDULA]],BIO[],16,0)),"No tiene huella Biometrico")</f>
        <v>No registró</v>
      </c>
      <c r="AT9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9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9" s="105">
        <f>NCH[[#This Row],[META]]+NCH[[#This Row],[META2]]+NCH[[#This Row],[META3]]</f>
        <v>0</v>
      </c>
      <c r="AW9" s="105">
        <f>NCH[[#This Row],[META4]]+NCH[[#This Row],[META5]]+NCH[[#This Row],[META6]]+NCH[[#This Row],[META7]]</f>
        <v>1</v>
      </c>
      <c r="AX9" s="231">
        <f>NCH[[#This Row],[TOTAL L-V]]+NCH[[#This Row],[TOTAL S-D]]</f>
        <v>1</v>
      </c>
      <c r="AY9" s="232" t="str">
        <f>VLOOKUP(NCH[[#This Row],[CEDULA]],METAS[],20,0)</f>
        <v xml:space="preserve">Mantenimiento y limpieza profunda en las áreas del comedor y cocina área externa. </v>
      </c>
      <c r="AZ9" s="232" t="str">
        <f>VLOOKUP(NCH[[#This Row],[CEDULA]],METAS[],22,0)</f>
        <v xml:space="preserve">MANTENIMIENTO </v>
      </c>
    </row>
    <row r="10" spans="1:52" ht="30" x14ac:dyDescent="0.25">
      <c r="A10" s="105">
        <f>IF(NCH[[#This Row],[CEDULA]]&gt;1,0,"")</f>
        <v>0</v>
      </c>
      <c r="B10" s="280">
        <v>13615404</v>
      </c>
      <c r="C10" s="125" t="str">
        <f>VLOOKUP(NCH[[#This Row],[CEDULA]],DATOS[],2,0)</f>
        <v>SALAZAR JOSE</v>
      </c>
      <c r="D10" s="108" t="s">
        <v>819</v>
      </c>
      <c r="E10" s="131" t="str">
        <f>MID(VLOOKUP(NCH[[#This Row],[CEDULA]],DATOS[],10,0),1,1)</f>
        <v/>
      </c>
      <c r="F10" s="106"/>
      <c r="G10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10" s="154">
        <f>IFERROR(IF(ISBLANK(F10),VLOOKUP(NCH[[#This Row],[CEDULA]],BIO[],3,0),VLOOKUP(NCH[[#This Row],[CEDULA]],BIO[],3,0)),"No tiene huella Biometrico")</f>
        <v>0.2951273148148148</v>
      </c>
      <c r="I10" s="228">
        <f>IFERROR(IF(ISBLANK(F10),VLOOKUP(NCH[[#This Row],[CEDULA]],BIO[],4,0),VLOOKUP(NCH[[#This Row],[CEDULA]],BIO[],4,0)),"No tiene huella Biometrico")</f>
        <v>0.53379629629629632</v>
      </c>
      <c r="J10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Cumple H</v>
      </c>
      <c r="K10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10" s="106"/>
      <c r="M10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10" s="154">
        <f>IFERROR(IF(ISBLANK(L10),VLOOKUP(NCH[[#This Row],[CEDULA]],BIO[],5,0),VLOOKUP(NCH[[#This Row],[CEDULA]],BIO[],5,0)),"No tiene huella Biometrico")</f>
        <v>0.2963425925925926</v>
      </c>
      <c r="O10" s="228">
        <f>IFERROR(IF(ISBLANK(L10),VLOOKUP(NCH[[#This Row],[CEDULA]],BIO[],6,0),VLOOKUP(NCH[[#This Row],[CEDULA]],BIO[],6,0)),"No tiene huella Biometrico")</f>
        <v>0.43922453703703707</v>
      </c>
      <c r="P10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10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10" s="106"/>
      <c r="S10" s="367"/>
      <c r="T10" s="154" t="str">
        <f>IFERROR(IF(ISBLANK(R10),VLOOKUP(NCH[[#This Row],[CEDULA]],BIO[],7,0),VLOOKUP(NCH[[#This Row],[CEDULA]],BIO[],7,0)),"No tiene huella Biometrico")</f>
        <v>No registró</v>
      </c>
      <c r="U10" s="228" t="str">
        <f>IFERROR(IF(ISBLANK(R10),VLOOKUP(NCH[[#This Row],[CEDULA]],BIO[],8,0),VLOOKUP(NCH[[#This Row],[CEDULA]],BIO[],8,0)),"No tiene huella Biometrico")</f>
        <v>No registró</v>
      </c>
      <c r="V10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10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10" s="106"/>
      <c r="Y10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10" s="154" t="str">
        <f>IFERROR(IF(ISBLANK(X10),VLOOKUP(NCH[[#This Row],[CEDULA]],BIO[],9,0),VLOOKUP(NCH[[#This Row],[CEDULA]],BIO[],9,0)),"No tiene huella Biometrico")</f>
        <v>No Registró</v>
      </c>
      <c r="AA10" s="228" t="str">
        <f>IFERROR(IF(ISBLANK(X10),VLOOKUP(NCH[[#This Row],[CEDULA]],BIO[],10,0),VLOOKUP(NCH[[#This Row],[CEDULA]],BIO[],10,0)),"No tiene huella Biometrico")</f>
        <v>No registró</v>
      </c>
      <c r="AB10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10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10" s="106"/>
      <c r="AE10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10" s="154" t="str">
        <f>IFERROR(IF(ISBLANK(NCH[G5]),VLOOKUP(NCH[[#This Row],[CEDULA]],BIO[],11,0),VLOOKUP(NCH[[#This Row],[CEDULA]],BIO[],11,0)),"No tiene huella Biometrico")</f>
        <v>No registró</v>
      </c>
      <c r="AG10" s="228" t="str">
        <f>IFERROR(IF((NCH[G5]),VLOOKUP(NCH[[#This Row],[CEDULA]],BIO[],12,0),VLOOKUP(NCH[[#This Row],[CEDULA]],BIO[],12,0)),"No tiene huella Biometrico")</f>
        <v>No registró</v>
      </c>
      <c r="AH10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10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10" s="107">
        <v>1</v>
      </c>
      <c r="AK10" s="369">
        <f>IF(NCH[[#This Row],[RUTA]]="0",NCH[[#This Row],[G6]],IF(AND(NCH[[#This Row],[ENTRADA7]]&lt;&gt;"No Registró",NCH[[#This Row],[SALIDA7]]&lt;&gt;"No Registró"),NCH[[#This Row],[G6]],0))</f>
        <v>1</v>
      </c>
      <c r="AL10" s="154">
        <f>IFERROR(IF(ISBLANK(NCH[G6]),VLOOKUP(NCH[CEDULA],BIO[],13,0),VLOOKUP(NCH[CEDULA],BIO[],13,0)),"No tiene huella Biometrico")</f>
        <v>0.30787037037037041</v>
      </c>
      <c r="AM10" s="230">
        <f>IFERROR(IF((NCH[G6]),VLOOKUP(NCH[[#This Row],[CEDULA]],BIO[],14,0),VLOOKUP(NCH[[#This Row],[CEDULA]],BIO[],14,0)),"No tiene huella Biometrico")</f>
        <v>0.52372685185185186</v>
      </c>
      <c r="AN10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Cumple H</v>
      </c>
      <c r="AO10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10" s="107"/>
      <c r="AQ10" s="231">
        <f>IF(NCH[[#This Row],[RUTA]]="0",NCH[[#This Row],[G7]],IF(AND(NCH[[#This Row],[ENTRADA8]]&lt;&gt;"No Registró",NCH[[#This Row],[SALIDA8]]&lt;&gt;"No Registró"),NCH[[#This Row],[G7]],0))</f>
        <v>0</v>
      </c>
      <c r="AR10" s="160" t="str">
        <f>IFERROR(IF(ISBLANK(NCH[G7]),VLOOKUP(NCH[CEDULA],BIO[],15,0),VLOOKUP(NCH[CEDULA],BIO[],15,0)),"No tiene huella Biometrico")</f>
        <v>No registró</v>
      </c>
      <c r="AS10" s="230" t="str">
        <f>IFERROR(IF(ISBLANK(NCH[G7]),VLOOKUP(NCH[[#This Row],[CEDULA]],BIO[],16,0),VLOOKUP(NCH[[#This Row],[CEDULA]],BIO[],16,0)),"No tiene huella Biometrico")</f>
        <v>No registró</v>
      </c>
      <c r="AT10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10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10" s="105">
        <f>NCH[[#This Row],[META]]+NCH[[#This Row],[META2]]+NCH[[#This Row],[META3]]</f>
        <v>0</v>
      </c>
      <c r="AW10" s="105">
        <f>NCH[[#This Row],[META4]]+NCH[[#This Row],[META5]]+NCH[[#This Row],[META6]]+NCH[[#This Row],[META7]]</f>
        <v>1</v>
      </c>
      <c r="AX10" s="231">
        <f>NCH[[#This Row],[TOTAL L-V]]+NCH[[#This Row],[TOTAL S-D]]</f>
        <v>1</v>
      </c>
      <c r="AY10" s="232" t="str">
        <f>VLOOKUP(NCH[[#This Row],[CEDULA]],METAS[],20,0)</f>
        <v xml:space="preserve">Mantenimiento y limpieza profunda en las áreas del comedor y cocina área externa. </v>
      </c>
      <c r="AZ10" s="232" t="str">
        <f>VLOOKUP(NCH[[#This Row],[CEDULA]],METAS[],22,0)</f>
        <v xml:space="preserve">MANTENIMIENTO </v>
      </c>
    </row>
    <row r="11" spans="1:52" ht="30" x14ac:dyDescent="0.25">
      <c r="A11" s="105">
        <f>IF(NCH[[#This Row],[CEDULA]]&gt;1,0,"")</f>
        <v>0</v>
      </c>
      <c r="B11" s="280">
        <v>23000253</v>
      </c>
      <c r="C11" s="125" t="str">
        <f>VLOOKUP(NCH[[#This Row],[CEDULA]],DATOS[],2,0)</f>
        <v>ROJAS ODRHY</v>
      </c>
      <c r="D11" s="108" t="s">
        <v>819</v>
      </c>
      <c r="E11" s="131" t="str">
        <f>MID(VLOOKUP(NCH[[#This Row],[CEDULA]],DATOS[],10,0),1,1)</f>
        <v>1</v>
      </c>
      <c r="F11" s="106"/>
      <c r="G11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11" s="154">
        <f>IFERROR(IF(ISBLANK(F11),VLOOKUP(NCH[[#This Row],[CEDULA]],BIO[],3,0),VLOOKUP(NCH[[#This Row],[CEDULA]],BIO[],3,0)),"No tiene huella Biometrico")</f>
        <v>0.25771990740740741</v>
      </c>
      <c r="I11" s="228">
        <f>IFERROR(IF(ISBLANK(F11),VLOOKUP(NCH[[#This Row],[CEDULA]],BIO[],4,0),VLOOKUP(NCH[[#This Row],[CEDULA]],BIO[],4,0)),"No tiene huella Biometrico")</f>
        <v>0.5546875</v>
      </c>
      <c r="J11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11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11" s="106"/>
      <c r="M11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11" s="154">
        <f>IFERROR(IF(ISBLANK(L11),VLOOKUP(NCH[[#This Row],[CEDULA]],BIO[],5,0),VLOOKUP(NCH[[#This Row],[CEDULA]],BIO[],5,0)),"No tiene huella Biometrico")</f>
        <v>0.26373842592592595</v>
      </c>
      <c r="O11" s="228">
        <f>IFERROR(IF(ISBLANK(L11),VLOOKUP(NCH[[#This Row],[CEDULA]],BIO[],6,0),VLOOKUP(NCH[[#This Row],[CEDULA]],BIO[],6,0)),"No tiene huella Biometrico")</f>
        <v>0.55348379629629629</v>
      </c>
      <c r="P11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Cumple Horario</v>
      </c>
      <c r="Q11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11" s="106"/>
      <c r="S11" s="367"/>
      <c r="T11" s="154" t="str">
        <f>IFERROR(IF(ISBLANK(R11),VLOOKUP(NCH[[#This Row],[CEDULA]],BIO[],7,0),VLOOKUP(NCH[[#This Row],[CEDULA]],BIO[],7,0)),"No tiene huella Biometrico")</f>
        <v>No registró</v>
      </c>
      <c r="U11" s="228" t="str">
        <f>IFERROR(IF(ISBLANK(R11),VLOOKUP(NCH[[#This Row],[CEDULA]],BIO[],8,0),VLOOKUP(NCH[[#This Row],[CEDULA]],BIO[],8,0)),"No tiene huella Biometrico")</f>
        <v>No registró</v>
      </c>
      <c r="V11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11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11" s="106"/>
      <c r="Y11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11" s="154" t="str">
        <f>IFERROR(IF(ISBLANK(X11),VLOOKUP(NCH[[#This Row],[CEDULA]],BIO[],9,0),VLOOKUP(NCH[[#This Row],[CEDULA]],BIO[],9,0)),"No tiene huella Biometrico")</f>
        <v>No Registró</v>
      </c>
      <c r="AA11" s="228" t="str">
        <f>IFERROR(IF(ISBLANK(X11),VLOOKUP(NCH[[#This Row],[CEDULA]],BIO[],10,0),VLOOKUP(NCH[[#This Row],[CEDULA]],BIO[],10,0)),"No tiene huella Biometrico")</f>
        <v>No registró</v>
      </c>
      <c r="AB11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11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11" s="106"/>
      <c r="AE11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11" s="154" t="str">
        <f>IFERROR(IF(ISBLANK(NCH[G5]),VLOOKUP(NCH[[#This Row],[CEDULA]],BIO[],11,0),VLOOKUP(NCH[[#This Row],[CEDULA]],BIO[],11,0)),"No tiene huella Biometrico")</f>
        <v>No registró</v>
      </c>
      <c r="AG11" s="228" t="str">
        <f>IFERROR(IF((NCH[G5]),VLOOKUP(NCH[[#This Row],[CEDULA]],BIO[],12,0),VLOOKUP(NCH[[#This Row],[CEDULA]],BIO[],12,0)),"No tiene huella Biometrico")</f>
        <v>No registró</v>
      </c>
      <c r="AH11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11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11" s="107">
        <v>1</v>
      </c>
      <c r="AK11" s="369">
        <f>IF(NCH[[#This Row],[RUTA]]="0",NCH[[#This Row],[G6]],IF(AND(NCH[[#This Row],[ENTRADA7]]&lt;&gt;"No Registró",NCH[[#This Row],[SALIDA7]]&lt;&gt;"No Registró"),NCH[[#This Row],[G6]],0))</f>
        <v>1</v>
      </c>
      <c r="AL11" s="154">
        <f>IFERROR(IF(ISBLANK(NCH[G6]),VLOOKUP(NCH[CEDULA],BIO[],13,0),VLOOKUP(NCH[CEDULA],BIO[],13,0)),"No tiene huella Biometrico")</f>
        <v>0.2901157407407407</v>
      </c>
      <c r="AM11" s="230">
        <f>IFERROR(IF((NCH[G6]),VLOOKUP(NCH[[#This Row],[CEDULA]],BIO[],14,0),VLOOKUP(NCH[[#This Row],[CEDULA]],BIO[],14,0)),"No tiene huella Biometrico")</f>
        <v>0.53454861111111118</v>
      </c>
      <c r="AN11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Cumple H</v>
      </c>
      <c r="AO11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11" s="107"/>
      <c r="AQ11" s="231">
        <f>IF(NCH[[#This Row],[RUTA]]="0",NCH[[#This Row],[G7]],IF(AND(NCH[[#This Row],[ENTRADA8]]&lt;&gt;"No Registró",NCH[[#This Row],[SALIDA8]]&lt;&gt;"No Registró"),NCH[[#This Row],[G7]],0))</f>
        <v>0</v>
      </c>
      <c r="AR11" s="160" t="str">
        <f>IFERROR(IF(ISBLANK(NCH[G7]),VLOOKUP(NCH[CEDULA],BIO[],15,0),VLOOKUP(NCH[CEDULA],BIO[],15,0)),"No tiene huella Biometrico")</f>
        <v>No registró</v>
      </c>
      <c r="AS11" s="230" t="str">
        <f>IFERROR(IF(ISBLANK(NCH[G7]),VLOOKUP(NCH[[#This Row],[CEDULA]],BIO[],16,0),VLOOKUP(NCH[[#This Row],[CEDULA]],BIO[],16,0)),"No tiene huella Biometrico")</f>
        <v>No registró</v>
      </c>
      <c r="AT11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11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11" s="105">
        <f>NCH[[#This Row],[META]]+NCH[[#This Row],[META2]]+NCH[[#This Row],[META3]]</f>
        <v>0</v>
      </c>
      <c r="AW11" s="105">
        <f>NCH[[#This Row],[META4]]+NCH[[#This Row],[META5]]+NCH[[#This Row],[META6]]+NCH[[#This Row],[META7]]</f>
        <v>1</v>
      </c>
      <c r="AX11" s="231">
        <f>NCH[[#This Row],[TOTAL L-V]]+NCH[[#This Row],[TOTAL S-D]]</f>
        <v>1</v>
      </c>
      <c r="AY11" s="232" t="str">
        <f>VLOOKUP(NCH[[#This Row],[CEDULA]],METAS[],20,0)</f>
        <v xml:space="preserve">Mantenimiento y limpieza profunda en las áreas del comedor y cocina área externa. </v>
      </c>
      <c r="AZ11" s="232" t="str">
        <f>VLOOKUP(NCH[[#This Row],[CEDULA]],METAS[],22,0)</f>
        <v>MANTENIMIENTO</v>
      </c>
    </row>
    <row r="12" spans="1:52" ht="30" x14ac:dyDescent="0.25">
      <c r="A12" s="105">
        <f>IF(NCH[[#This Row],[CEDULA]]&gt;1,0,"")</f>
        <v>0</v>
      </c>
      <c r="B12" s="280">
        <v>12287719</v>
      </c>
      <c r="C12" s="125" t="str">
        <f>VLOOKUP(NCH[[#This Row],[CEDULA]],DATOS[],2,0)</f>
        <v>GOMEZ DAISY</v>
      </c>
      <c r="D12" s="108" t="s">
        <v>819</v>
      </c>
      <c r="E12" s="131" t="str">
        <f>MID(VLOOKUP(NCH[[#This Row],[CEDULA]],DATOS[],10,0),1,1)</f>
        <v>4</v>
      </c>
      <c r="F12" s="106"/>
      <c r="G12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12" s="154">
        <f>IFERROR(IF(ISBLANK(F12),VLOOKUP(NCH[[#This Row],[CEDULA]],BIO[],3,0),VLOOKUP(NCH[[#This Row],[CEDULA]],BIO[],3,0)),"No tiene huella Biometrico")</f>
        <v>0.30916666666666665</v>
      </c>
      <c r="I12" s="228">
        <f>IFERROR(IF(ISBLANK(F12),VLOOKUP(NCH[[#This Row],[CEDULA]],BIO[],4,0),VLOOKUP(NCH[[#This Row],[CEDULA]],BIO[],4,0)),"No tiene huella Biometrico")</f>
        <v>0.55497685185185186</v>
      </c>
      <c r="J12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Cumple H</v>
      </c>
      <c r="K12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12" s="106"/>
      <c r="M12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12" s="154">
        <f>IFERROR(IF(ISBLANK(L12),VLOOKUP(NCH[[#This Row],[CEDULA]],BIO[],5,0),VLOOKUP(NCH[[#This Row],[CEDULA]],BIO[],5,0)),"No tiene huella Biometrico")</f>
        <v>0.33809027777777773</v>
      </c>
      <c r="O12" s="228">
        <f>IFERROR(IF(ISBLANK(L12),VLOOKUP(NCH[[#This Row],[CEDULA]],BIO[],6,0),VLOOKUP(NCH[[#This Row],[CEDULA]],BIO[],6,0)),"No tiene huella Biometrico")</f>
        <v>0.55313657407407402</v>
      </c>
      <c r="P12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12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12" s="106"/>
      <c r="S12" s="367"/>
      <c r="T12" s="154" t="str">
        <f>IFERROR(IF(ISBLANK(R12),VLOOKUP(NCH[[#This Row],[CEDULA]],BIO[],7,0),VLOOKUP(NCH[[#This Row],[CEDULA]],BIO[],7,0)),"No tiene huella Biometrico")</f>
        <v>No registró</v>
      </c>
      <c r="U12" s="228" t="str">
        <f>IFERROR(IF(ISBLANK(R12),VLOOKUP(NCH[[#This Row],[CEDULA]],BIO[],8,0),VLOOKUP(NCH[[#This Row],[CEDULA]],BIO[],8,0)),"No tiene huella Biometrico")</f>
        <v>No registró</v>
      </c>
      <c r="V12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12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12" s="106"/>
      <c r="Y12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12" s="154" t="str">
        <f>IFERROR(IF(ISBLANK(X12),VLOOKUP(NCH[[#This Row],[CEDULA]],BIO[],9,0),VLOOKUP(NCH[[#This Row],[CEDULA]],BIO[],9,0)),"No tiene huella Biometrico")</f>
        <v>No Registró</v>
      </c>
      <c r="AA12" s="228" t="str">
        <f>IFERROR(IF(ISBLANK(X12),VLOOKUP(NCH[[#This Row],[CEDULA]],BIO[],10,0),VLOOKUP(NCH[[#This Row],[CEDULA]],BIO[],10,0)),"No tiene huella Biometrico")</f>
        <v>No registró</v>
      </c>
      <c r="AB12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12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12" s="106"/>
      <c r="AE12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12" s="154" t="str">
        <f>IFERROR(IF(ISBLANK(NCH[G5]),VLOOKUP(NCH[[#This Row],[CEDULA]],BIO[],11,0),VLOOKUP(NCH[[#This Row],[CEDULA]],BIO[],11,0)),"No tiene huella Biometrico")</f>
        <v>No registró</v>
      </c>
      <c r="AG12" s="228" t="str">
        <f>IFERROR(IF((NCH[G5]),VLOOKUP(NCH[[#This Row],[CEDULA]],BIO[],12,0),VLOOKUP(NCH[[#This Row],[CEDULA]],BIO[],12,0)),"No tiene huella Biometrico")</f>
        <v>No registró</v>
      </c>
      <c r="AH12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12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12" s="107">
        <v>1</v>
      </c>
      <c r="AK12" s="369">
        <f>IF(NCH[[#This Row],[RUTA]]="0",NCH[[#This Row],[G6]],IF(AND(NCH[[#This Row],[ENTRADA7]]&lt;&gt;"No Registró",NCH[[#This Row],[SALIDA7]]&lt;&gt;"No Registró"),NCH[[#This Row],[G6]],0))</f>
        <v>1</v>
      </c>
      <c r="AL12" s="154">
        <f>IFERROR(IF(ISBLANK(NCH[G6]),VLOOKUP(NCH[CEDULA],BIO[],13,0),VLOOKUP(NCH[CEDULA],BIO[],13,0)),"No tiene huella Biometrico")</f>
        <v>0.28980324074074076</v>
      </c>
      <c r="AM12" s="230">
        <f>IFERROR(IF((NCH[G6]),VLOOKUP(NCH[[#This Row],[CEDULA]],BIO[],14,0),VLOOKUP(NCH[[#This Row],[CEDULA]],BIO[],14,0)),"No tiene huella Biometrico")</f>
        <v>0.53415509259259253</v>
      </c>
      <c r="AN12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Cumple H</v>
      </c>
      <c r="AO12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12" s="107"/>
      <c r="AQ12" s="231">
        <f>IF(NCH[[#This Row],[RUTA]]="0",NCH[[#This Row],[G7]],IF(AND(NCH[[#This Row],[ENTRADA8]]&lt;&gt;"No Registró",NCH[[#This Row],[SALIDA8]]&lt;&gt;"No Registró"),NCH[[#This Row],[G7]],0))</f>
        <v>0</v>
      </c>
      <c r="AR12" s="160" t="str">
        <f>IFERROR(IF(ISBLANK(NCH[G7]),VLOOKUP(NCH[CEDULA],BIO[],15,0),VLOOKUP(NCH[CEDULA],BIO[],15,0)),"No tiene huella Biometrico")</f>
        <v>No registró</v>
      </c>
      <c r="AS12" s="230" t="str">
        <f>IFERROR(IF(ISBLANK(NCH[G7]),VLOOKUP(NCH[[#This Row],[CEDULA]],BIO[],16,0),VLOOKUP(NCH[[#This Row],[CEDULA]],BIO[],16,0)),"No tiene huella Biometrico")</f>
        <v>No registró</v>
      </c>
      <c r="AT12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12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12" s="105">
        <f>NCH[[#This Row],[META]]+NCH[[#This Row],[META2]]+NCH[[#This Row],[META3]]</f>
        <v>0</v>
      </c>
      <c r="AW12" s="105">
        <f>NCH[[#This Row],[META4]]+NCH[[#This Row],[META5]]+NCH[[#This Row],[META6]]+NCH[[#This Row],[META7]]</f>
        <v>1</v>
      </c>
      <c r="AX12" s="231">
        <f>NCH[[#This Row],[TOTAL L-V]]+NCH[[#This Row],[TOTAL S-D]]</f>
        <v>1</v>
      </c>
      <c r="AY12" s="232" t="str">
        <f>VLOOKUP(NCH[[#This Row],[CEDULA]],METAS[],20,0)</f>
        <v xml:space="preserve">Mantenimiento y limpieza profunda en las áreas del comedor y cocina área externa. </v>
      </c>
      <c r="AZ12" s="232" t="str">
        <f>VLOOKUP(NCH[[#This Row],[CEDULA]],METAS[],22,0)</f>
        <v>MANTENIMIENTO</v>
      </c>
    </row>
    <row r="13" spans="1:52" ht="30" x14ac:dyDescent="0.25">
      <c r="A13" s="105">
        <f>IF(NCH[[#This Row],[CEDULA]]&gt;1,0,"")</f>
        <v>0</v>
      </c>
      <c r="B13" s="280">
        <v>13717013</v>
      </c>
      <c r="C13" s="125" t="str">
        <f>VLOOKUP(NCH[[#This Row],[CEDULA]],DATOS[],2,0)</f>
        <v>AREVALO YASMIN</v>
      </c>
      <c r="D13" s="108" t="s">
        <v>819</v>
      </c>
      <c r="E13" s="131" t="str">
        <f>MID(VLOOKUP(NCH[[#This Row],[CEDULA]],DATOS[],10,0),1,1)</f>
        <v>3</v>
      </c>
      <c r="F13" s="106"/>
      <c r="G13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13" s="154">
        <f>IFERROR(IF(ISBLANK(F13),VLOOKUP(NCH[[#This Row],[CEDULA]],BIO[],3,0),VLOOKUP(NCH[[#This Row],[CEDULA]],BIO[],3,0)),"No tiene huella Biometrico")</f>
        <v>0.2822337962962963</v>
      </c>
      <c r="I13" s="228">
        <f>IFERROR(IF(ISBLANK(F13),VLOOKUP(NCH[[#This Row],[CEDULA]],BIO[],4,0),VLOOKUP(NCH[[#This Row],[CEDULA]],BIO[],4,0)),"No tiene huella Biometrico")</f>
        <v>0.55449074074074078</v>
      </c>
      <c r="J13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13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13" s="106"/>
      <c r="M13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13" s="154">
        <f>IFERROR(IF(ISBLANK(L13),VLOOKUP(NCH[[#This Row],[CEDULA]],BIO[],5,0),VLOOKUP(NCH[[#This Row],[CEDULA]],BIO[],5,0)),"No tiene huella Biometrico")</f>
        <v>0.28187499999999999</v>
      </c>
      <c r="O13" s="228">
        <f>IFERROR(IF(ISBLANK(L13),VLOOKUP(NCH[[#This Row],[CEDULA]],BIO[],6,0),VLOOKUP(NCH[[#This Row],[CEDULA]],BIO[],6,0)),"No tiene huella Biometrico")</f>
        <v>0.5540046296296296</v>
      </c>
      <c r="P13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Cumple Horario</v>
      </c>
      <c r="Q13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13" s="106"/>
      <c r="S13" s="367"/>
      <c r="T13" s="154" t="str">
        <f>IFERROR(IF(ISBLANK(R13),VLOOKUP(NCH[[#This Row],[CEDULA]],BIO[],7,0),VLOOKUP(NCH[[#This Row],[CEDULA]],BIO[],7,0)),"No tiene huella Biometrico")</f>
        <v>No registró</v>
      </c>
      <c r="U13" s="228" t="str">
        <f>IFERROR(IF(ISBLANK(R13),VLOOKUP(NCH[[#This Row],[CEDULA]],BIO[],8,0),VLOOKUP(NCH[[#This Row],[CEDULA]],BIO[],8,0)),"No tiene huella Biometrico")</f>
        <v>No registró</v>
      </c>
      <c r="V13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13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13" s="106"/>
      <c r="Y13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13" s="154" t="str">
        <f>IFERROR(IF(ISBLANK(X13),VLOOKUP(NCH[[#This Row],[CEDULA]],BIO[],9,0),VLOOKUP(NCH[[#This Row],[CEDULA]],BIO[],9,0)),"No tiene huella Biometrico")</f>
        <v>No Registró</v>
      </c>
      <c r="AA13" s="228" t="str">
        <f>IFERROR(IF(ISBLANK(X13),VLOOKUP(NCH[[#This Row],[CEDULA]],BIO[],10,0),VLOOKUP(NCH[[#This Row],[CEDULA]],BIO[],10,0)),"No tiene huella Biometrico")</f>
        <v>No registró</v>
      </c>
      <c r="AB13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13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13" s="106"/>
      <c r="AE13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13" s="154" t="str">
        <f>IFERROR(IF(ISBLANK(NCH[G5]),VLOOKUP(NCH[[#This Row],[CEDULA]],BIO[],11,0),VLOOKUP(NCH[[#This Row],[CEDULA]],BIO[],11,0)),"No tiene huella Biometrico")</f>
        <v>No registró</v>
      </c>
      <c r="AG13" s="228" t="str">
        <f>IFERROR(IF((NCH[G5]),VLOOKUP(NCH[[#This Row],[CEDULA]],BIO[],12,0),VLOOKUP(NCH[[#This Row],[CEDULA]],BIO[],12,0)),"No tiene huella Biometrico")</f>
        <v>No registró</v>
      </c>
      <c r="AH13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13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13" s="107">
        <v>1</v>
      </c>
      <c r="AK13" s="369">
        <f>IF(NCH[[#This Row],[RUTA]]="0",NCH[[#This Row],[G6]],IF(AND(NCH[[#This Row],[ENTRADA7]]&lt;&gt;"No Registró",NCH[[#This Row],[SALIDA7]]&lt;&gt;"No Registró"),NCH[[#This Row],[G6]],0))</f>
        <v>1</v>
      </c>
      <c r="AL13" s="154">
        <f>IFERROR(IF(ISBLANK(NCH[G6]),VLOOKUP(NCH[CEDULA],BIO[],13,0),VLOOKUP(NCH[CEDULA],BIO[],13,0)),"No tiene huella Biometrico")</f>
        <v>0.31324074074074076</v>
      </c>
      <c r="AM13" s="230">
        <f>IFERROR(IF((NCH[G6]),VLOOKUP(NCH[[#This Row],[CEDULA]],BIO[],14,0),VLOOKUP(NCH[[#This Row],[CEDULA]],BIO[],14,0)),"No tiene huella Biometrico")</f>
        <v>0.53125</v>
      </c>
      <c r="AN13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Cumple H</v>
      </c>
      <c r="AO13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13" s="107"/>
      <c r="AQ13" s="231">
        <f>IF(NCH[[#This Row],[RUTA]]="0",NCH[[#This Row],[G7]],IF(AND(NCH[[#This Row],[ENTRADA8]]&lt;&gt;"No Registró",NCH[[#This Row],[SALIDA8]]&lt;&gt;"No Registró"),NCH[[#This Row],[G7]],0))</f>
        <v>0</v>
      </c>
      <c r="AR13" s="160" t="str">
        <f>IFERROR(IF(ISBLANK(NCH[G7]),VLOOKUP(NCH[CEDULA],BIO[],15,0),VLOOKUP(NCH[CEDULA],BIO[],15,0)),"No tiene huella Biometrico")</f>
        <v>No registró</v>
      </c>
      <c r="AS13" s="230" t="str">
        <f>IFERROR(IF(ISBLANK(NCH[G7]),VLOOKUP(NCH[[#This Row],[CEDULA]],BIO[],16,0),VLOOKUP(NCH[[#This Row],[CEDULA]],BIO[],16,0)),"No tiene huella Biometrico")</f>
        <v>No registró</v>
      </c>
      <c r="AT13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13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13" s="105">
        <f>NCH[[#This Row],[META]]+NCH[[#This Row],[META2]]+NCH[[#This Row],[META3]]</f>
        <v>0</v>
      </c>
      <c r="AW13" s="105">
        <f>NCH[[#This Row],[META4]]+NCH[[#This Row],[META5]]+NCH[[#This Row],[META6]]+NCH[[#This Row],[META7]]</f>
        <v>1</v>
      </c>
      <c r="AX13" s="231">
        <f>NCH[[#This Row],[TOTAL L-V]]+NCH[[#This Row],[TOTAL S-D]]</f>
        <v>1</v>
      </c>
      <c r="AY13" s="232" t="str">
        <f>VLOOKUP(NCH[[#This Row],[CEDULA]],METAS[],20,0)</f>
        <v xml:space="preserve">Mantenimiento y limpieza profunda en las áreas del comedor y cocina área externa. </v>
      </c>
      <c r="AZ13" s="232" t="str">
        <f>VLOOKUP(NCH[[#This Row],[CEDULA]],METAS[],22,0)</f>
        <v xml:space="preserve">MANTENIMIENTO </v>
      </c>
    </row>
    <row r="14" spans="1:52" ht="30" x14ac:dyDescent="0.25">
      <c r="A14" s="105">
        <f>IF(NCH[[#This Row],[CEDULA]]&gt;1,0,"")</f>
        <v>0</v>
      </c>
      <c r="B14" s="332">
        <v>8593916</v>
      </c>
      <c r="C14" s="125" t="str">
        <f>VLOOKUP(NCH[[#This Row],[CEDULA]],DATOS[],2,0)</f>
        <v>UGARTE CARMEN</v>
      </c>
      <c r="D14" s="108" t="s">
        <v>867</v>
      </c>
      <c r="E14" s="131" t="str">
        <f>MID(VLOOKUP(NCH[[#This Row],[CEDULA]],DATOS[],10,0),1,1)</f>
        <v/>
      </c>
      <c r="F14" s="106"/>
      <c r="G14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14" s="154">
        <f>IFERROR(IF(ISBLANK(F14),VLOOKUP(NCH[[#This Row],[CEDULA]],BIO[],3,0),VLOOKUP(NCH[[#This Row],[CEDULA]],BIO[],3,0)),"No tiene huella Biometrico")</f>
        <v>0.34488425925925931</v>
      </c>
      <c r="I14" s="228">
        <f>IFERROR(IF(ISBLANK(F14),VLOOKUP(NCH[[#This Row],[CEDULA]],BIO[],4,0),VLOOKUP(NCH[[#This Row],[CEDULA]],BIO[],4,0)),"No tiene huella Biometrico")</f>
        <v>0.57609953703703709</v>
      </c>
      <c r="J14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Cumple H</v>
      </c>
      <c r="K14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14" s="106"/>
      <c r="M14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14" s="154">
        <f>IFERROR(IF(ISBLANK(L14),VLOOKUP(NCH[[#This Row],[CEDULA]],BIO[],5,0),VLOOKUP(NCH[[#This Row],[CEDULA]],BIO[],5,0)),"No tiene huella Biometrico")</f>
        <v>0.3261574074074074</v>
      </c>
      <c r="O14" s="228">
        <f>IFERROR(IF(ISBLANK(L14),VLOOKUP(NCH[[#This Row],[CEDULA]],BIO[],6,0),VLOOKUP(NCH[[#This Row],[CEDULA]],BIO[],6,0)),"No tiene huella Biometrico")</f>
        <v>0.56115740740740738</v>
      </c>
      <c r="P14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14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14" s="106"/>
      <c r="S14" s="367"/>
      <c r="T14" s="154" t="str">
        <f>IFERROR(IF(ISBLANK(R14),VLOOKUP(NCH[[#This Row],[CEDULA]],BIO[],7,0),VLOOKUP(NCH[[#This Row],[CEDULA]],BIO[],7,0)),"No tiene huella Biometrico")</f>
        <v>No registró</v>
      </c>
      <c r="U14" s="228" t="str">
        <f>IFERROR(IF(ISBLANK(R14),VLOOKUP(NCH[[#This Row],[CEDULA]],BIO[],8,0),VLOOKUP(NCH[[#This Row],[CEDULA]],BIO[],8,0)),"No tiene huella Biometrico")</f>
        <v>No registró</v>
      </c>
      <c r="V14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14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14" s="106"/>
      <c r="Y14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14" s="154" t="str">
        <f>IFERROR(IF(ISBLANK(X14),VLOOKUP(NCH[[#This Row],[CEDULA]],BIO[],9,0),VLOOKUP(NCH[[#This Row],[CEDULA]],BIO[],9,0)),"No tiene huella Biometrico")</f>
        <v>No Registró</v>
      </c>
      <c r="AA14" s="228" t="str">
        <f>IFERROR(IF(ISBLANK(X14),VLOOKUP(NCH[[#This Row],[CEDULA]],BIO[],10,0),VLOOKUP(NCH[[#This Row],[CEDULA]],BIO[],10,0)),"No tiene huella Biometrico")</f>
        <v>No registró</v>
      </c>
      <c r="AB14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14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14" s="106"/>
      <c r="AE14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14" s="154" t="str">
        <f>IFERROR(IF(ISBLANK(NCH[G5]),VLOOKUP(NCH[[#This Row],[CEDULA]],BIO[],11,0),VLOOKUP(NCH[[#This Row],[CEDULA]],BIO[],11,0)),"No tiene huella Biometrico")</f>
        <v>No registró</v>
      </c>
      <c r="AG14" s="228" t="str">
        <f>IFERROR(IF((NCH[G5]),VLOOKUP(NCH[[#This Row],[CEDULA]],BIO[],12,0),VLOOKUP(NCH[[#This Row],[CEDULA]],BIO[],12,0)),"No tiene huella Biometrico")</f>
        <v>No registró</v>
      </c>
      <c r="AH14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14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14" s="107">
        <v>1</v>
      </c>
      <c r="AK14" s="381">
        <v>1</v>
      </c>
      <c r="AL14" s="154" t="str">
        <f>IFERROR(IF(ISBLANK(NCH[G6]),VLOOKUP(NCH[CEDULA],BIO[],13,0),VLOOKUP(NCH[CEDULA],BIO[],13,0)),"No tiene huella Biometrico")</f>
        <v>No registró</v>
      </c>
      <c r="AM14" s="230">
        <f>IFERROR(IF((NCH[G6]),VLOOKUP(NCH[[#This Row],[CEDULA]],BIO[],14,0),VLOOKUP(NCH[[#This Row],[CEDULA]],BIO[],14,0)),"No tiene huella Biometrico")</f>
        <v>0.53993055555555558</v>
      </c>
      <c r="AN14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entrada</v>
      </c>
      <c r="AO14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14" s="107"/>
      <c r="AQ14" s="231">
        <f>IF(NCH[[#This Row],[RUTA]]="0",NCH[[#This Row],[G7]],IF(AND(NCH[[#This Row],[ENTRADA8]]&lt;&gt;"No Registró",NCH[[#This Row],[SALIDA8]]&lt;&gt;"No Registró"),NCH[[#This Row],[G7]],0))</f>
        <v>0</v>
      </c>
      <c r="AR14" s="160" t="str">
        <f>IFERROR(IF(ISBLANK(NCH[G7]),VLOOKUP(NCH[CEDULA],BIO[],15,0),VLOOKUP(NCH[CEDULA],BIO[],15,0)),"No tiene huella Biometrico")</f>
        <v>No registró</v>
      </c>
      <c r="AS14" s="230" t="str">
        <f>IFERROR(IF(ISBLANK(NCH[G7]),VLOOKUP(NCH[[#This Row],[CEDULA]],BIO[],16,0),VLOOKUP(NCH[[#This Row],[CEDULA]],BIO[],16,0)),"No tiene huella Biometrico")</f>
        <v>No registró</v>
      </c>
      <c r="AT14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14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14" s="105">
        <f>NCH[[#This Row],[META]]+NCH[[#This Row],[META2]]+NCH[[#This Row],[META3]]</f>
        <v>0</v>
      </c>
      <c r="AW14" s="105">
        <f>NCH[[#This Row],[META4]]+NCH[[#This Row],[META5]]+NCH[[#This Row],[META6]]+NCH[[#This Row],[META7]]</f>
        <v>1</v>
      </c>
      <c r="AX14" s="231">
        <f>NCH[[#This Row],[TOTAL L-V]]+NCH[[#This Row],[TOTAL S-D]]</f>
        <v>1</v>
      </c>
      <c r="AY14" s="232" t="str">
        <f>VLOOKUP(NCH[[#This Row],[CEDULA]],METAS[],20,0)</f>
        <v>Procesamiento de muestras</v>
      </c>
      <c r="AZ14" s="232">
        <f>VLOOKUP(NCH[[#This Row],[CEDULA]],METAS[],22,0)</f>
        <v>0</v>
      </c>
    </row>
    <row r="15" spans="1:52" ht="30" x14ac:dyDescent="0.25">
      <c r="A15" s="105">
        <f>IF(NCH[[#This Row],[CEDULA]]&gt;1,0,"")</f>
        <v>0</v>
      </c>
      <c r="B15" s="332">
        <v>25482546</v>
      </c>
      <c r="C15" s="125" t="str">
        <f>VLOOKUP(NCH[[#This Row],[CEDULA]],DATOS[],2,0)</f>
        <v>ATENCIO MARIA</v>
      </c>
      <c r="D15" s="108" t="s">
        <v>867</v>
      </c>
      <c r="E15" s="131" t="str">
        <f>MID(VLOOKUP(NCH[[#This Row],[CEDULA]],DATOS[],10,0),1,1)</f>
        <v/>
      </c>
      <c r="F15" s="106"/>
      <c r="G15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15" s="154">
        <f>IFERROR(IF(ISBLANK(F15),VLOOKUP(NCH[[#This Row],[CEDULA]],BIO[],3,0),VLOOKUP(NCH[[#This Row],[CEDULA]],BIO[],3,0)),"No tiene huella Biometrico")</f>
        <v>0.30307870370370371</v>
      </c>
      <c r="I15" s="228">
        <f>IFERROR(IF(ISBLANK(F15),VLOOKUP(NCH[[#This Row],[CEDULA]],BIO[],4,0),VLOOKUP(NCH[[#This Row],[CEDULA]],BIO[],4,0)),"No tiene huella Biometrico")</f>
        <v>0.55199074074074073</v>
      </c>
      <c r="J15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Cumple H</v>
      </c>
      <c r="K15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15" s="106"/>
      <c r="M15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15" s="154">
        <f>IFERROR(IF(ISBLANK(L15),VLOOKUP(NCH[[#This Row],[CEDULA]],BIO[],5,0),VLOOKUP(NCH[[#This Row],[CEDULA]],BIO[],5,0)),"No tiene huella Biometrico")</f>
        <v>0.30405092592592592</v>
      </c>
      <c r="O15" s="228">
        <f>IFERROR(IF(ISBLANK(L15),VLOOKUP(NCH[[#This Row],[CEDULA]],BIO[],6,0),VLOOKUP(NCH[[#This Row],[CEDULA]],BIO[],6,0)),"No tiene huella Biometrico")</f>
        <v>0.55287037037037035</v>
      </c>
      <c r="P15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Cumple Horario</v>
      </c>
      <c r="Q15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15" s="106"/>
      <c r="S15" s="367"/>
      <c r="T15" s="154" t="str">
        <f>IFERROR(IF(ISBLANK(R15),VLOOKUP(NCH[[#This Row],[CEDULA]],BIO[],7,0),VLOOKUP(NCH[[#This Row],[CEDULA]],BIO[],7,0)),"No tiene huella Biometrico")</f>
        <v>No registró</v>
      </c>
      <c r="U15" s="228" t="str">
        <f>IFERROR(IF(ISBLANK(R15),VLOOKUP(NCH[[#This Row],[CEDULA]],BIO[],8,0),VLOOKUP(NCH[[#This Row],[CEDULA]],BIO[],8,0)),"No tiene huella Biometrico")</f>
        <v>No registró</v>
      </c>
      <c r="V15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15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15" s="106"/>
      <c r="Y15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15" s="154" t="str">
        <f>IFERROR(IF(ISBLANK(X15),VLOOKUP(NCH[[#This Row],[CEDULA]],BIO[],9,0),VLOOKUP(NCH[[#This Row],[CEDULA]],BIO[],9,0)),"No tiene huella Biometrico")</f>
        <v>No Registró</v>
      </c>
      <c r="AA15" s="228" t="str">
        <f>IFERROR(IF(ISBLANK(X15),VLOOKUP(NCH[[#This Row],[CEDULA]],BIO[],10,0),VLOOKUP(NCH[[#This Row],[CEDULA]],BIO[],10,0)),"No tiene huella Biometrico")</f>
        <v>No registró</v>
      </c>
      <c r="AB15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15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15" s="106">
        <v>1</v>
      </c>
      <c r="AE15" s="380">
        <v>1</v>
      </c>
      <c r="AF15" s="154">
        <f>IFERROR(IF(ISBLANK(NCH[G5]),VLOOKUP(NCH[[#This Row],[CEDULA]],BIO[],11,0),VLOOKUP(NCH[[#This Row],[CEDULA]],BIO[],11,0)),"No tiene huella Biometrico")</f>
        <v>0.55486111111111114</v>
      </c>
      <c r="AG15" s="228">
        <f>IFERROR(IF((NCH[G5]),VLOOKUP(NCH[[#This Row],[CEDULA]],BIO[],12,0),VLOOKUP(NCH[[#This Row],[CEDULA]],BIO[],12,0)),"No tiene huella Biometrico")</f>
        <v>0.56156249999999996</v>
      </c>
      <c r="AH15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Cumple H</v>
      </c>
      <c r="AI15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15" s="107"/>
      <c r="AK15" s="369">
        <f>IF(NCH[[#This Row],[RUTA]]="0",NCH[[#This Row],[G6]],IF(AND(NCH[[#This Row],[ENTRADA7]]&lt;&gt;"No Registró",NCH[[#This Row],[SALIDA7]]&lt;&gt;"No Registró"),NCH[[#This Row],[G6]],0))</f>
        <v>0</v>
      </c>
      <c r="AL15" s="154" t="str">
        <f>IFERROR(IF(ISBLANK(NCH[G6]),VLOOKUP(NCH[CEDULA],BIO[],13,0),VLOOKUP(NCH[CEDULA],BIO[],13,0)),"No tiene huella Biometrico")</f>
        <v>No registró</v>
      </c>
      <c r="AM15" s="230" t="str">
        <f>IFERROR(IF((NCH[G6]),VLOOKUP(NCH[[#This Row],[CEDULA]],BIO[],14,0),VLOOKUP(NCH[[#This Row],[CEDULA]],BIO[],14,0)),"No tiene huella Biometrico")</f>
        <v>No registró</v>
      </c>
      <c r="AN15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15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15" s="107"/>
      <c r="AQ15" s="231">
        <f>IF(NCH[[#This Row],[RUTA]]="0",NCH[[#This Row],[G7]],IF(AND(NCH[[#This Row],[ENTRADA8]]&lt;&gt;"No Registró",NCH[[#This Row],[SALIDA8]]&lt;&gt;"No Registró"),NCH[[#This Row],[G7]],0))</f>
        <v>0</v>
      </c>
      <c r="AR15" s="160" t="str">
        <f>IFERROR(IF(ISBLANK(NCH[G7]),VLOOKUP(NCH[CEDULA],BIO[],15,0),VLOOKUP(NCH[CEDULA],BIO[],15,0)),"No tiene huella Biometrico")</f>
        <v>No registró</v>
      </c>
      <c r="AS15" s="230" t="str">
        <f>IFERROR(IF(ISBLANK(NCH[G7]),VLOOKUP(NCH[[#This Row],[CEDULA]],BIO[],16,0),VLOOKUP(NCH[[#This Row],[CEDULA]],BIO[],16,0)),"No tiene huella Biometrico")</f>
        <v>No registró</v>
      </c>
      <c r="AT15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15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15" s="105">
        <f>NCH[[#This Row],[META]]+NCH[[#This Row],[META2]]+NCH[[#This Row],[META3]]</f>
        <v>0</v>
      </c>
      <c r="AW15" s="105">
        <f>NCH[[#This Row],[META4]]+NCH[[#This Row],[META5]]+NCH[[#This Row],[META6]]+NCH[[#This Row],[META7]]</f>
        <v>1</v>
      </c>
      <c r="AX15" s="231">
        <f>NCH[[#This Row],[TOTAL L-V]]+NCH[[#This Row],[TOTAL S-D]]</f>
        <v>1</v>
      </c>
      <c r="AY15" s="232" t="str">
        <f>VLOOKUP(NCH[[#This Row],[CEDULA]],METAS[],20,0)</f>
        <v>Procesamiento de muestras</v>
      </c>
      <c r="AZ15" s="232">
        <f>VLOOKUP(NCH[[#This Row],[CEDULA]],METAS[],22,0)</f>
        <v>0</v>
      </c>
    </row>
    <row r="16" spans="1:52" ht="30" x14ac:dyDescent="0.25">
      <c r="A16" s="105">
        <f>IF(NCH[[#This Row],[CEDULA]]&gt;1,0,"")</f>
        <v>0</v>
      </c>
      <c r="B16" s="336">
        <v>15676996</v>
      </c>
      <c r="C16" s="125" t="str">
        <f>VLOOKUP(NCH[[#This Row],[CEDULA]],DATOS[],2,0)</f>
        <v>ROSAS VERONICA</v>
      </c>
      <c r="D16" s="108" t="s">
        <v>867</v>
      </c>
      <c r="E16" s="131" t="str">
        <f>MID(VLOOKUP(NCH[[#This Row],[CEDULA]],DATOS[],10,0),1,1)</f>
        <v>3</v>
      </c>
      <c r="F16" s="106"/>
      <c r="G16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16" s="154">
        <f>IFERROR(IF(ISBLANK(F16),VLOOKUP(NCH[[#This Row],[CEDULA]],BIO[],3,0),VLOOKUP(NCH[[#This Row],[CEDULA]],BIO[],3,0)),"No tiene huella Biometrico")</f>
        <v>0.28244212962962961</v>
      </c>
      <c r="I16" s="228">
        <f>IFERROR(IF(ISBLANK(F16),VLOOKUP(NCH[[#This Row],[CEDULA]],BIO[],4,0),VLOOKUP(NCH[[#This Row],[CEDULA]],BIO[],4,0)),"No tiene huella Biometrico")</f>
        <v>0.66401620370370373</v>
      </c>
      <c r="J16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16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16" s="106"/>
      <c r="M16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16" s="154">
        <f>IFERROR(IF(ISBLANK(L16),VLOOKUP(NCH[[#This Row],[CEDULA]],BIO[],5,0),VLOOKUP(NCH[[#This Row],[CEDULA]],BIO[],5,0)),"No tiene huella Biometrico")</f>
        <v>0.31146990740740738</v>
      </c>
      <c r="O16" s="228">
        <f>IFERROR(IF(ISBLANK(L16),VLOOKUP(NCH[[#This Row],[CEDULA]],BIO[],6,0),VLOOKUP(NCH[[#This Row],[CEDULA]],BIO[],6,0)),"No tiene huella Biometrico")</f>
        <v>0.56129629629629629</v>
      </c>
      <c r="P16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16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16" s="106">
        <v>1</v>
      </c>
      <c r="S16" s="379">
        <v>1</v>
      </c>
      <c r="T16" s="154">
        <f>IFERROR(IF(ISBLANK(R16),VLOOKUP(NCH[[#This Row],[CEDULA]],BIO[],7,0),VLOOKUP(NCH[[#This Row],[CEDULA]],BIO[],7,0)),"No tiene huella Biometrico")</f>
        <v>0.29804398148148148</v>
      </c>
      <c r="U16" s="228">
        <f>IFERROR(IF(ISBLANK(R16),VLOOKUP(NCH[[#This Row],[CEDULA]],BIO[],8,0),VLOOKUP(NCH[[#This Row],[CEDULA]],BIO[],8,0)),"No tiene huella Biometrico")</f>
        <v>0.48160879629629627</v>
      </c>
      <c r="V16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Cumple H</v>
      </c>
      <c r="W16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16" s="106"/>
      <c r="Y16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16" s="154" t="str">
        <f>IFERROR(IF(ISBLANK(X16),VLOOKUP(NCH[[#This Row],[CEDULA]],BIO[],9,0),VLOOKUP(NCH[[#This Row],[CEDULA]],BIO[],9,0)),"No tiene huella Biometrico")</f>
        <v>No Registró</v>
      </c>
      <c r="AA16" s="228" t="str">
        <f>IFERROR(IF(ISBLANK(X16),VLOOKUP(NCH[[#This Row],[CEDULA]],BIO[],10,0),VLOOKUP(NCH[[#This Row],[CEDULA]],BIO[],10,0)),"No tiene huella Biometrico")</f>
        <v>No registró</v>
      </c>
      <c r="AB16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16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16" s="106"/>
      <c r="AE16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16" s="154" t="str">
        <f>IFERROR(IF(ISBLANK(NCH[G5]),VLOOKUP(NCH[[#This Row],[CEDULA]],BIO[],11,0),VLOOKUP(NCH[[#This Row],[CEDULA]],BIO[],11,0)),"No tiene huella Biometrico")</f>
        <v>No registró</v>
      </c>
      <c r="AG16" s="228" t="str">
        <f>IFERROR(IF((NCH[G5]),VLOOKUP(NCH[[#This Row],[CEDULA]],BIO[],12,0),VLOOKUP(NCH[[#This Row],[CEDULA]],BIO[],12,0)),"No tiene huella Biometrico")</f>
        <v>No registró</v>
      </c>
      <c r="AH16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16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16" s="107"/>
      <c r="AK16" s="369">
        <f>IF(NCH[[#This Row],[RUTA]]="0",NCH[[#This Row],[G6]],IF(AND(NCH[[#This Row],[ENTRADA7]]&lt;&gt;"No Registró",NCH[[#This Row],[SALIDA7]]&lt;&gt;"No Registró"),NCH[[#This Row],[G6]],0))</f>
        <v>0</v>
      </c>
      <c r="AL16" s="154" t="str">
        <f>IFERROR(IF(ISBLANK(NCH[G6]),VLOOKUP(NCH[CEDULA],BIO[],13,0),VLOOKUP(NCH[CEDULA],BIO[],13,0)),"No tiene huella Biometrico")</f>
        <v>No registró</v>
      </c>
      <c r="AM16" s="230" t="str">
        <f>IFERROR(IF((NCH[G6]),VLOOKUP(NCH[[#This Row],[CEDULA]],BIO[],14,0),VLOOKUP(NCH[[#This Row],[CEDULA]],BIO[],14,0)),"No tiene huella Biometrico")</f>
        <v>No registró</v>
      </c>
      <c r="AN16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16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16" s="107"/>
      <c r="AQ16" s="231">
        <f>IF(NCH[[#This Row],[RUTA]]="0",NCH[[#This Row],[G7]],IF(AND(NCH[[#This Row],[ENTRADA8]]&lt;&gt;"No Registró",NCH[[#This Row],[SALIDA8]]&lt;&gt;"No Registró"),NCH[[#This Row],[G7]],0))</f>
        <v>0</v>
      </c>
      <c r="AR16" s="160" t="str">
        <f>IFERROR(IF(ISBLANK(NCH[G7]),VLOOKUP(NCH[CEDULA],BIO[],15,0),VLOOKUP(NCH[CEDULA],BIO[],15,0)),"No tiene huella Biometrico")</f>
        <v>No registró</v>
      </c>
      <c r="AS16" s="230" t="str">
        <f>IFERROR(IF(ISBLANK(NCH[G7]),VLOOKUP(NCH[[#This Row],[CEDULA]],BIO[],16,0),VLOOKUP(NCH[[#This Row],[CEDULA]],BIO[],16,0)),"No tiene huella Biometrico")</f>
        <v>No registró</v>
      </c>
      <c r="AT16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16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16" s="105">
        <f>NCH[[#This Row],[META]]+NCH[[#This Row],[META2]]+NCH[[#This Row],[META3]]</f>
        <v>1</v>
      </c>
      <c r="AW16" s="105">
        <f>NCH[[#This Row],[META4]]+NCH[[#This Row],[META5]]+NCH[[#This Row],[META6]]+NCH[[#This Row],[META7]]</f>
        <v>0</v>
      </c>
      <c r="AX16" s="231">
        <f>NCH[[#This Row],[TOTAL L-V]]+NCH[[#This Row],[TOTAL S-D]]</f>
        <v>1</v>
      </c>
      <c r="AY16" s="232" t="str">
        <f>VLOOKUP(NCH[[#This Row],[CEDULA]],METAS[],20,0)</f>
        <v>Procesamiento de muestras</v>
      </c>
      <c r="AZ16" s="232">
        <f>VLOOKUP(NCH[[#This Row],[CEDULA]],METAS[],22,0)</f>
        <v>0</v>
      </c>
    </row>
    <row r="17" spans="1:52" ht="45" x14ac:dyDescent="0.25">
      <c r="A17" s="105">
        <f>IF(NCH[[#This Row],[CEDULA]]&gt;1,0,"")</f>
        <v>0</v>
      </c>
      <c r="B17" s="332">
        <v>11307551</v>
      </c>
      <c r="C17" s="125" t="str">
        <f>VLOOKUP(NCH[[#This Row],[CEDULA]],DATOS[],2,0)</f>
        <v>ALARCON VICTOR</v>
      </c>
      <c r="D17" s="108" t="s">
        <v>867</v>
      </c>
      <c r="E17" s="131" t="str">
        <f>MID(VLOOKUP(NCH[[#This Row],[CEDULA]],DATOS[],10,0),1,1)</f>
        <v>0</v>
      </c>
      <c r="F17" s="106"/>
      <c r="G17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17" s="154">
        <f>IFERROR(IF(ISBLANK(F17),VLOOKUP(NCH[[#This Row],[CEDULA]],BIO[],3,0),VLOOKUP(NCH[[#This Row],[CEDULA]],BIO[],3,0)),"No tiene huella Biometrico")</f>
        <v>0.31083333333333335</v>
      </c>
      <c r="I17" s="228">
        <f>IFERROR(IF(ISBLANK(F17),VLOOKUP(NCH[[#This Row],[CEDULA]],BIO[],4,0),VLOOKUP(NCH[[#This Row],[CEDULA]],BIO[],4,0)),"No tiene huella Biometrico")</f>
        <v>0.61026620370370377</v>
      </c>
      <c r="J17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Cumple H</v>
      </c>
      <c r="K17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17" s="106"/>
      <c r="M17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17" s="154">
        <f>IFERROR(IF(ISBLANK(L17),VLOOKUP(NCH[[#This Row],[CEDULA]],BIO[],5,0),VLOOKUP(NCH[[#This Row],[CEDULA]],BIO[],5,0)),"No tiene huella Biometrico")</f>
        <v>0.30427083333333332</v>
      </c>
      <c r="O17" s="228">
        <f>IFERROR(IF(ISBLANK(L17),VLOOKUP(NCH[[#This Row],[CEDULA]],BIO[],6,0),VLOOKUP(NCH[[#This Row],[CEDULA]],BIO[],6,0)),"No tiene huella Biometrico")</f>
        <v>0.66260416666666666</v>
      </c>
      <c r="P17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Cumple Horario</v>
      </c>
      <c r="Q17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17" s="106"/>
      <c r="S17" s="367"/>
      <c r="T17" s="154" t="str">
        <f>IFERROR(IF(ISBLANK(R17),VLOOKUP(NCH[[#This Row],[CEDULA]],BIO[],7,0),VLOOKUP(NCH[[#This Row],[CEDULA]],BIO[],7,0)),"No tiene huella Biometrico")</f>
        <v>No registró</v>
      </c>
      <c r="U17" s="228" t="str">
        <f>IFERROR(IF(ISBLANK(R17),VLOOKUP(NCH[[#This Row],[CEDULA]],BIO[],8,0),VLOOKUP(NCH[[#This Row],[CEDULA]],BIO[],8,0)),"No tiene huella Biometrico")</f>
        <v>No registró</v>
      </c>
      <c r="V17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17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17" s="106"/>
      <c r="Y17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17" s="154" t="str">
        <f>IFERROR(IF(ISBLANK(X17),VLOOKUP(NCH[[#This Row],[CEDULA]],BIO[],9,0),VLOOKUP(NCH[[#This Row],[CEDULA]],BIO[],9,0)),"No tiene huella Biometrico")</f>
        <v>No Registró</v>
      </c>
      <c r="AA17" s="228" t="str">
        <f>IFERROR(IF(ISBLANK(X17),VLOOKUP(NCH[[#This Row],[CEDULA]],BIO[],10,0),VLOOKUP(NCH[[#This Row],[CEDULA]],BIO[],10,0)),"No tiene huella Biometrico")</f>
        <v>No registró</v>
      </c>
      <c r="AB17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17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17" s="106">
        <v>1</v>
      </c>
      <c r="AE17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1</v>
      </c>
      <c r="AF17" s="154">
        <f>IFERROR(IF(ISBLANK(NCH[G5]),VLOOKUP(NCH[[#This Row],[CEDULA]],BIO[],11,0),VLOOKUP(NCH[[#This Row],[CEDULA]],BIO[],11,0)),"No tiene huella Biometrico")</f>
        <v>0.57025462962962969</v>
      </c>
      <c r="AG17" s="228">
        <f>IFERROR(IF((NCH[G5]),VLOOKUP(NCH[[#This Row],[CEDULA]],BIO[],12,0),VLOOKUP(NCH[[#This Row],[CEDULA]],BIO[],12,0)),"No tiene huella Biometrico")</f>
        <v>0.68715277777777783</v>
      </c>
      <c r="AH17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Cumple H</v>
      </c>
      <c r="AI17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17" s="107"/>
      <c r="AK17" s="369">
        <f>IF(NCH[[#This Row],[RUTA]]="0",NCH[[#This Row],[G6]],IF(AND(NCH[[#This Row],[ENTRADA7]]&lt;&gt;"No Registró",NCH[[#This Row],[SALIDA7]]&lt;&gt;"No Registró"),NCH[[#This Row],[G6]],0))</f>
        <v>0</v>
      </c>
      <c r="AL17" s="154" t="str">
        <f>IFERROR(IF(ISBLANK(NCH[G6]),VLOOKUP(NCH[CEDULA],BIO[],13,0),VLOOKUP(NCH[CEDULA],BIO[],13,0)),"No tiene huella Biometrico")</f>
        <v>No registró</v>
      </c>
      <c r="AM17" s="230" t="str">
        <f>IFERROR(IF((NCH[G6]),VLOOKUP(NCH[[#This Row],[CEDULA]],BIO[],14,0),VLOOKUP(NCH[[#This Row],[CEDULA]],BIO[],14,0)),"No tiene huella Biometrico")</f>
        <v>No registró</v>
      </c>
      <c r="AN17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17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17" s="107">
        <v>1</v>
      </c>
      <c r="AQ17" s="231">
        <f>IF(NCH[[#This Row],[RUTA]]="0",NCH[[#This Row],[G7]],IF(AND(NCH[[#This Row],[ENTRADA8]]&lt;&gt;"No Registró",NCH[[#This Row],[SALIDA8]]&lt;&gt;"No Registró"),NCH[[#This Row],[G7]],0))</f>
        <v>1</v>
      </c>
      <c r="AR17" s="160">
        <f>IFERROR(IF(ISBLANK(NCH[G7]),VLOOKUP(NCH[CEDULA],BIO[],15,0),VLOOKUP(NCH[CEDULA],BIO[],15,0)),"No tiene huella Biometrico")</f>
        <v>0.60138888888888886</v>
      </c>
      <c r="AS17" s="230">
        <f>IFERROR(IF(ISBLANK(NCH[G7]),VLOOKUP(NCH[[#This Row],[CEDULA]],BIO[],16,0),VLOOKUP(NCH[[#This Row],[CEDULA]],BIO[],16,0)),"No tiene huella Biometrico")</f>
        <v>0.62560185185185191</v>
      </c>
      <c r="AT17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Cumple H</v>
      </c>
      <c r="AU17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17" s="105">
        <f>NCH[[#This Row],[META]]+NCH[[#This Row],[META2]]+NCH[[#This Row],[META3]]</f>
        <v>0</v>
      </c>
      <c r="AW17" s="105">
        <f>NCH[[#This Row],[META4]]+NCH[[#This Row],[META5]]+NCH[[#This Row],[META6]]+NCH[[#This Row],[META7]]</f>
        <v>2</v>
      </c>
      <c r="AX17" s="231">
        <f>NCH[[#This Row],[TOTAL L-V]]+NCH[[#This Row],[TOTAL S-D]]</f>
        <v>2</v>
      </c>
      <c r="AY17" s="232" t="str">
        <f>VLOOKUP(NCH[[#This Row],[CEDULA]],METAS[],20,0)</f>
        <v>Coordinación de actividades de la Dirección de Diagnóstico de Enfermedades Transmisibles. Procesamiento de muestras</v>
      </c>
      <c r="AZ17" s="232">
        <f>VLOOKUP(NCH[[#This Row],[CEDULA]],METAS[],22,0)</f>
        <v>0</v>
      </c>
    </row>
    <row r="18" spans="1:52" ht="30" x14ac:dyDescent="0.25">
      <c r="A18" s="105">
        <f>IF(NCH[[#This Row],[CEDULA]]&gt;1,0,"")</f>
        <v>0</v>
      </c>
      <c r="B18" s="309">
        <v>10219318</v>
      </c>
      <c r="C18" s="125" t="str">
        <f>VLOOKUP(NCH[[#This Row],[CEDULA]],DATOS[],2,0)</f>
        <v>PAYARES DAISY</v>
      </c>
      <c r="D18" s="108" t="s">
        <v>867</v>
      </c>
      <c r="E18" s="131" t="str">
        <f>MID(VLOOKUP(NCH[[#This Row],[CEDULA]],DATOS[],10,0),1,1)</f>
        <v>5</v>
      </c>
      <c r="F18" s="106"/>
      <c r="G18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18" s="154">
        <f>IFERROR(IF(ISBLANK(F18),VLOOKUP(NCH[[#This Row],[CEDULA]],BIO[],3,0),VLOOKUP(NCH[[#This Row],[CEDULA]],BIO[],3,0)),"No tiene huella Biometrico")</f>
        <v>0.29681712962962964</v>
      </c>
      <c r="I18" s="228">
        <f>IFERROR(IF(ISBLANK(F18),VLOOKUP(NCH[[#This Row],[CEDULA]],BIO[],4,0),VLOOKUP(NCH[[#This Row],[CEDULA]],BIO[],4,0)),"No tiene huella Biometrico")</f>
        <v>0.5623379629629629</v>
      </c>
      <c r="J18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18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18" s="106"/>
      <c r="M18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18" s="154">
        <f>IFERROR(IF(ISBLANK(L18),VLOOKUP(NCH[[#This Row],[CEDULA]],BIO[],5,0),VLOOKUP(NCH[[#This Row],[CEDULA]],BIO[],5,0)),"No tiene huella Biometrico")</f>
        <v>0.29996527777777776</v>
      </c>
      <c r="O18" s="228">
        <f>IFERROR(IF(ISBLANK(L18),VLOOKUP(NCH[[#This Row],[CEDULA]],BIO[],6,0),VLOOKUP(NCH[[#This Row],[CEDULA]],BIO[],6,0)),"No tiene huella Biometrico")</f>
        <v>0.55398148148148152</v>
      </c>
      <c r="P18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Cumple Horario</v>
      </c>
      <c r="Q18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18" s="106">
        <v>1</v>
      </c>
      <c r="S18" s="379">
        <v>1</v>
      </c>
      <c r="T18" s="154">
        <f>IFERROR(IF(ISBLANK(R18),VLOOKUP(NCH[[#This Row],[CEDULA]],BIO[],7,0),VLOOKUP(NCH[[#This Row],[CEDULA]],BIO[],7,0)),"No tiene huella Biometrico")</f>
        <v>0.31521990740740741</v>
      </c>
      <c r="U18" s="228">
        <f>IFERROR(IF(ISBLANK(R18),VLOOKUP(NCH[[#This Row],[CEDULA]],BIO[],8,0),VLOOKUP(NCH[[#This Row],[CEDULA]],BIO[],8,0)),"No tiene huella Biometrico")</f>
        <v>0.50662037037037033</v>
      </c>
      <c r="V18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Cumple H</v>
      </c>
      <c r="W18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18" s="106"/>
      <c r="Y18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18" s="154" t="str">
        <f>IFERROR(IF(ISBLANK(X18),VLOOKUP(NCH[[#This Row],[CEDULA]],BIO[],9,0),VLOOKUP(NCH[[#This Row],[CEDULA]],BIO[],9,0)),"No tiene huella Biometrico")</f>
        <v>No Registró</v>
      </c>
      <c r="AA18" s="228" t="str">
        <f>IFERROR(IF(ISBLANK(X18),VLOOKUP(NCH[[#This Row],[CEDULA]],BIO[],10,0),VLOOKUP(NCH[[#This Row],[CEDULA]],BIO[],10,0)),"No tiene huella Biometrico")</f>
        <v>No registró</v>
      </c>
      <c r="AB18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18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18" s="106"/>
      <c r="AE18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18" s="154" t="str">
        <f>IFERROR(IF(ISBLANK(NCH[G5]),VLOOKUP(NCH[[#This Row],[CEDULA]],BIO[],11,0),VLOOKUP(NCH[[#This Row],[CEDULA]],BIO[],11,0)),"No tiene huella Biometrico")</f>
        <v>No registró</v>
      </c>
      <c r="AG18" s="228" t="str">
        <f>IFERROR(IF((NCH[G5]),VLOOKUP(NCH[[#This Row],[CEDULA]],BIO[],12,0),VLOOKUP(NCH[[#This Row],[CEDULA]],BIO[],12,0)),"No tiene huella Biometrico")</f>
        <v>No registró</v>
      </c>
      <c r="AH18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18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18" s="107"/>
      <c r="AK18" s="369">
        <f>IF(NCH[[#This Row],[RUTA]]="0",NCH[[#This Row],[G6]],IF(AND(NCH[[#This Row],[ENTRADA7]]&lt;&gt;"No Registró",NCH[[#This Row],[SALIDA7]]&lt;&gt;"No Registró"),NCH[[#This Row],[G6]],0))</f>
        <v>0</v>
      </c>
      <c r="AL18" s="154" t="str">
        <f>IFERROR(IF(ISBLANK(NCH[G6]),VLOOKUP(NCH[CEDULA],BIO[],13,0),VLOOKUP(NCH[CEDULA],BIO[],13,0)),"No tiene huella Biometrico")</f>
        <v>No registró</v>
      </c>
      <c r="AM18" s="230" t="str">
        <f>IFERROR(IF((NCH[G6]),VLOOKUP(NCH[[#This Row],[CEDULA]],BIO[],14,0),VLOOKUP(NCH[[#This Row],[CEDULA]],BIO[],14,0)),"No tiene huella Biometrico")</f>
        <v>No registró</v>
      </c>
      <c r="AN18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18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18" s="107"/>
      <c r="AQ18" s="231">
        <f>IF(NCH[[#This Row],[RUTA]]="0",NCH[[#This Row],[G7]],IF(AND(NCH[[#This Row],[ENTRADA8]]&lt;&gt;"No Registró",NCH[[#This Row],[SALIDA8]]&lt;&gt;"No Registró"),NCH[[#This Row],[G7]],0))</f>
        <v>0</v>
      </c>
      <c r="AR18" s="160" t="str">
        <f>IFERROR(IF(ISBLANK(NCH[G7]),VLOOKUP(NCH[CEDULA],BIO[],15,0),VLOOKUP(NCH[CEDULA],BIO[],15,0)),"No tiene huella Biometrico")</f>
        <v>No registró</v>
      </c>
      <c r="AS18" s="230" t="str">
        <f>IFERROR(IF(ISBLANK(NCH[G7]),VLOOKUP(NCH[[#This Row],[CEDULA]],BIO[],16,0),VLOOKUP(NCH[[#This Row],[CEDULA]],BIO[],16,0)),"No tiene huella Biometrico")</f>
        <v>No registró</v>
      </c>
      <c r="AT18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18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18" s="105">
        <f>NCH[[#This Row],[META]]+NCH[[#This Row],[META2]]+NCH[[#This Row],[META3]]</f>
        <v>1</v>
      </c>
      <c r="AW18" s="105">
        <f>NCH[[#This Row],[META4]]+NCH[[#This Row],[META5]]+NCH[[#This Row],[META6]]+NCH[[#This Row],[META7]]</f>
        <v>0</v>
      </c>
      <c r="AX18" s="231">
        <f>NCH[[#This Row],[TOTAL L-V]]+NCH[[#This Row],[TOTAL S-D]]</f>
        <v>1</v>
      </c>
      <c r="AY18" s="232" t="str">
        <f>VLOOKUP(NCH[[#This Row],[CEDULA]],METAS[],20,0)</f>
        <v>Procesamiento de muestras</v>
      </c>
      <c r="AZ18" s="232">
        <f>VLOOKUP(NCH[[#This Row],[CEDULA]],METAS[],22,0)</f>
        <v>0</v>
      </c>
    </row>
    <row r="19" spans="1:52" ht="30" x14ac:dyDescent="0.25">
      <c r="A19" s="105">
        <f>IF(NCH[[#This Row],[CEDULA]]&gt;1,0,"")</f>
        <v>0</v>
      </c>
      <c r="B19" s="280">
        <v>6207120</v>
      </c>
      <c r="C19" s="125" t="str">
        <f>VLOOKUP(NCH[[#This Row],[CEDULA]],DATOS[],2,0)</f>
        <v>ARAOZ FRANCISCO</v>
      </c>
      <c r="D19" s="108" t="s">
        <v>869</v>
      </c>
      <c r="E19" s="131" t="str">
        <f>MID(VLOOKUP(NCH[[#This Row],[CEDULA]],DATOS[],10,0),1,1)</f>
        <v>0</v>
      </c>
      <c r="F19" s="106">
        <v>1</v>
      </c>
      <c r="G19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1</v>
      </c>
      <c r="H19" s="154">
        <f>IFERROR(IF(ISBLANK(F19),VLOOKUP(NCH[[#This Row],[CEDULA]],BIO[],3,0),VLOOKUP(NCH[[#This Row],[CEDULA]],BIO[],3,0)),"No tiene huella Biometrico")</f>
        <v>0.36784722222222221</v>
      </c>
      <c r="I19" s="228">
        <f>IFERROR(IF(ISBLANK(F19),VLOOKUP(NCH[[#This Row],[CEDULA]],BIO[],4,0),VLOOKUP(NCH[[#This Row],[CEDULA]],BIO[],4,0)),"No tiene huella Biometrico")</f>
        <v>0.65468749999999998</v>
      </c>
      <c r="J19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Cumple H</v>
      </c>
      <c r="K19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cumple H</v>
      </c>
      <c r="L19" s="106">
        <v>1</v>
      </c>
      <c r="M19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1</v>
      </c>
      <c r="N19" s="154">
        <f>IFERROR(IF(ISBLANK(L19),VLOOKUP(NCH[[#This Row],[CEDULA]],BIO[],5,0),VLOOKUP(NCH[[#This Row],[CEDULA]],BIO[],5,0)),"No tiene huella Biometrico")</f>
        <v>0.36520833333333336</v>
      </c>
      <c r="O19" s="228">
        <f>IFERROR(IF(ISBLANK(L19),VLOOKUP(NCH[[#This Row],[CEDULA]],BIO[],6,0),VLOOKUP(NCH[[#This Row],[CEDULA]],BIO[],6,0)),"No tiene huella Biometrico")</f>
        <v>0.69731481481481483</v>
      </c>
      <c r="P19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19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cumple H</v>
      </c>
      <c r="R19" s="106"/>
      <c r="S19" s="367"/>
      <c r="T19" s="154" t="str">
        <f>IFERROR(IF(ISBLANK(R19),VLOOKUP(NCH[[#This Row],[CEDULA]],BIO[],7,0),VLOOKUP(NCH[[#This Row],[CEDULA]],BIO[],7,0)),"No tiene huella Biometrico")</f>
        <v>No registró</v>
      </c>
      <c r="U19" s="228" t="str">
        <f>IFERROR(IF(ISBLANK(R19),VLOOKUP(NCH[[#This Row],[CEDULA]],BIO[],8,0),VLOOKUP(NCH[[#This Row],[CEDULA]],BIO[],8,0)),"No tiene huella Biometrico")</f>
        <v>No registró</v>
      </c>
      <c r="V19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19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19" s="106"/>
      <c r="Y19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19" s="154" t="str">
        <f>IFERROR(IF(ISBLANK(X19),VLOOKUP(NCH[[#This Row],[CEDULA]],BIO[],9,0),VLOOKUP(NCH[[#This Row],[CEDULA]],BIO[],9,0)),"No tiene huella Biometrico")</f>
        <v>No Registró</v>
      </c>
      <c r="AA19" s="228" t="str">
        <f>IFERROR(IF(ISBLANK(X19),VLOOKUP(NCH[[#This Row],[CEDULA]],BIO[],10,0),VLOOKUP(NCH[[#This Row],[CEDULA]],BIO[],10,0)),"No tiene huella Biometrico")</f>
        <v>No registró</v>
      </c>
      <c r="AB19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19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19" s="106"/>
      <c r="AE19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19" s="154" t="str">
        <f>IFERROR(IF(ISBLANK(NCH[G5]),VLOOKUP(NCH[[#This Row],[CEDULA]],BIO[],11,0),VLOOKUP(NCH[[#This Row],[CEDULA]],BIO[],11,0)),"No tiene huella Biometrico")</f>
        <v>No registró</v>
      </c>
      <c r="AG19" s="228" t="str">
        <f>IFERROR(IF((NCH[G5]),VLOOKUP(NCH[[#This Row],[CEDULA]],BIO[],12,0),VLOOKUP(NCH[[#This Row],[CEDULA]],BIO[],12,0)),"No tiene huella Biometrico")</f>
        <v>No registró</v>
      </c>
      <c r="AH19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19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19" s="107"/>
      <c r="AK19" s="369">
        <f>IF(NCH[[#This Row],[RUTA]]="0",NCH[[#This Row],[G6]],IF(AND(NCH[[#This Row],[ENTRADA7]]&lt;&gt;"No Registró",NCH[[#This Row],[SALIDA7]]&lt;&gt;"No Registró"),NCH[[#This Row],[G6]],0))</f>
        <v>0</v>
      </c>
      <c r="AL19" s="154" t="str">
        <f>IFERROR(IF(ISBLANK(NCH[G6]),VLOOKUP(NCH[CEDULA],BIO[],13,0),VLOOKUP(NCH[CEDULA],BIO[],13,0)),"No tiene huella Biometrico")</f>
        <v>No registró</v>
      </c>
      <c r="AM19" s="230" t="str">
        <f>IFERROR(IF((NCH[G6]),VLOOKUP(NCH[[#This Row],[CEDULA]],BIO[],14,0),VLOOKUP(NCH[[#This Row],[CEDULA]],BIO[],14,0)),"No tiene huella Biometrico")</f>
        <v>No registró</v>
      </c>
      <c r="AN19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19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19" s="107"/>
      <c r="AQ19" s="231">
        <f>IF(NCH[[#This Row],[RUTA]]="0",NCH[[#This Row],[G7]],IF(AND(NCH[[#This Row],[ENTRADA8]]&lt;&gt;"No Registró",NCH[[#This Row],[SALIDA8]]&lt;&gt;"No Registró"),NCH[[#This Row],[G7]],0))</f>
        <v>0</v>
      </c>
      <c r="AR19" s="160" t="str">
        <f>IFERROR(IF(ISBLANK(NCH[G7]),VLOOKUP(NCH[CEDULA],BIO[],15,0),VLOOKUP(NCH[CEDULA],BIO[],15,0)),"No tiene huella Biometrico")</f>
        <v>No registró</v>
      </c>
      <c r="AS19" s="230" t="str">
        <f>IFERROR(IF(ISBLANK(NCH[G7]),VLOOKUP(NCH[[#This Row],[CEDULA]],BIO[],16,0),VLOOKUP(NCH[[#This Row],[CEDULA]],BIO[],16,0)),"No tiene huella Biometrico")</f>
        <v>No registró</v>
      </c>
      <c r="AT19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19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19" s="105">
        <f>NCH[[#This Row],[META]]+NCH[[#This Row],[META2]]+NCH[[#This Row],[META3]]</f>
        <v>2</v>
      </c>
      <c r="AW19" s="105">
        <f>NCH[[#This Row],[META4]]+NCH[[#This Row],[META5]]+NCH[[#This Row],[META6]]+NCH[[#This Row],[META7]]</f>
        <v>0</v>
      </c>
      <c r="AX19" s="231">
        <f>NCH[[#This Row],[TOTAL L-V]]+NCH[[#This Row],[TOTAL S-D]]</f>
        <v>2</v>
      </c>
      <c r="AY19" s="232">
        <f>VLOOKUP(NCH[[#This Row],[CEDULA]],METAS[],20,0)</f>
        <v>0</v>
      </c>
      <c r="AZ19" s="232">
        <f>VLOOKUP(NCH[[#This Row],[CEDULA]],METAS[],22,0)</f>
        <v>0</v>
      </c>
    </row>
    <row r="20" spans="1:52" ht="30" x14ac:dyDescent="0.25">
      <c r="A20" s="105">
        <f>IF(NCH[[#This Row],[CEDULA]]&gt;1,0,"")</f>
        <v>0</v>
      </c>
      <c r="B20" s="295">
        <v>3523168</v>
      </c>
      <c r="C20" s="125" t="str">
        <f>VLOOKUP(NCH[[#This Row],[CEDULA]],DATOS[],2,0)</f>
        <v>BRICENO ESPERANZA</v>
      </c>
      <c r="D20" s="108" t="s">
        <v>869</v>
      </c>
      <c r="E20" s="131" t="str">
        <f>MID(VLOOKUP(NCH[[#This Row],[CEDULA]],DATOS[],10,0),1,1)</f>
        <v>0</v>
      </c>
      <c r="F20" s="106">
        <v>1</v>
      </c>
      <c r="G20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1</v>
      </c>
      <c r="H20" s="154" t="str">
        <f>IFERROR(IF(ISBLANK(F20),VLOOKUP(NCH[[#This Row],[CEDULA]],BIO[],3,0),VLOOKUP(NCH[[#This Row],[CEDULA]],BIO[],3,0)),"No tiene huella Biometrico")</f>
        <v>No tiene huella Biometrico</v>
      </c>
      <c r="I20" s="228" t="str">
        <f>IFERROR(IF(ISBLANK(F20),VLOOKUP(NCH[[#This Row],[CEDULA]],BIO[],4,0),VLOOKUP(NCH[[#This Row],[CEDULA]],BIO[],4,0)),"No tiene huella Biometrico")</f>
        <v>No tiene huella Biometrico</v>
      </c>
      <c r="J20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tiene huella Biometrico</v>
      </c>
      <c r="K20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tiene huella Biometrico</v>
      </c>
      <c r="L20" s="106">
        <v>1</v>
      </c>
      <c r="M20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1</v>
      </c>
      <c r="N20" s="154" t="str">
        <f>IFERROR(IF(ISBLANK(L20),VLOOKUP(NCH[[#This Row],[CEDULA]],BIO[],5,0),VLOOKUP(NCH[[#This Row],[CEDULA]],BIO[],5,0)),"No tiene huella Biometrico")</f>
        <v>No tiene huella Biometrico</v>
      </c>
      <c r="O20" s="228" t="str">
        <f>IFERROR(IF(ISBLANK(L20),VLOOKUP(NCH[[#This Row],[CEDULA]],BIO[],6,0),VLOOKUP(NCH[[#This Row],[CEDULA]],BIO[],6,0)),"No tiene huella Biometrico")</f>
        <v>No tiene huella Biometrico</v>
      </c>
      <c r="P20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tiene huella Biometrico</v>
      </c>
      <c r="Q20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tiene huella Biometrico</v>
      </c>
      <c r="R20" s="106"/>
      <c r="S20" s="367"/>
      <c r="T20" s="154" t="str">
        <f>IFERROR(IF(ISBLANK(R20),VLOOKUP(NCH[[#This Row],[CEDULA]],BIO[],7,0),VLOOKUP(NCH[[#This Row],[CEDULA]],BIO[],7,0)),"No tiene huella Biometrico")</f>
        <v>No tiene huella Biometrico</v>
      </c>
      <c r="U20" s="228" t="str">
        <f>IFERROR(IF(ISBLANK(R20),VLOOKUP(NCH[[#This Row],[CEDULA]],BIO[],8,0),VLOOKUP(NCH[[#This Row],[CEDULA]],BIO[],8,0)),"No tiene huella Biometrico")</f>
        <v>No tiene huella Biometrico</v>
      </c>
      <c r="V20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tiene huella Biometrico</v>
      </c>
      <c r="W20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tiene huella Biometrico</v>
      </c>
      <c r="X20" s="106"/>
      <c r="Y20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20" s="154" t="str">
        <f>IFERROR(IF(ISBLANK(X20),VLOOKUP(NCH[[#This Row],[CEDULA]],BIO[],9,0),VLOOKUP(NCH[[#This Row],[CEDULA]],BIO[],9,0)),"No tiene huella Biometrico")</f>
        <v>No tiene huella Biometrico</v>
      </c>
      <c r="AA20" s="228" t="str">
        <f>IFERROR(IF(ISBLANK(X20),VLOOKUP(NCH[[#This Row],[CEDULA]],BIO[],10,0),VLOOKUP(NCH[[#This Row],[CEDULA]],BIO[],10,0)),"No tiene huella Biometrico")</f>
        <v>No tiene huella Biometrico</v>
      </c>
      <c r="AB20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tiene huella Biometrico</v>
      </c>
      <c r="AC20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tiene huella Biometrico</v>
      </c>
      <c r="AD20" s="106"/>
      <c r="AE20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20" s="154" t="str">
        <f>IFERROR(IF(ISBLANK(NCH[G5]),VLOOKUP(NCH[[#This Row],[CEDULA]],BIO[],11,0),VLOOKUP(NCH[[#This Row],[CEDULA]],BIO[],11,0)),"No tiene huella Biometrico")</f>
        <v>No tiene huella Biometrico</v>
      </c>
      <c r="AG20" s="228" t="str">
        <f>IFERROR(IF((NCH[G5]),VLOOKUP(NCH[[#This Row],[CEDULA]],BIO[],12,0),VLOOKUP(NCH[[#This Row],[CEDULA]],BIO[],12,0)),"No tiene huella Biometrico")</f>
        <v>No tiene huella Biometrico</v>
      </c>
      <c r="AH20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tiene huella Biometrico</v>
      </c>
      <c r="AI20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tiene huella Biometrico</v>
      </c>
      <c r="AJ20" s="107"/>
      <c r="AK20" s="369">
        <f>IF(NCH[[#This Row],[RUTA]]="0",NCH[[#This Row],[G6]],IF(AND(NCH[[#This Row],[ENTRADA7]]&lt;&gt;"No Registró",NCH[[#This Row],[SALIDA7]]&lt;&gt;"No Registró"),NCH[[#This Row],[G6]],0))</f>
        <v>0</v>
      </c>
      <c r="AL20" s="154" t="str">
        <f>IFERROR(IF(ISBLANK(NCH[G6]),VLOOKUP(NCH[CEDULA],BIO[],13,0),VLOOKUP(NCH[CEDULA],BIO[],13,0)),"No tiene huella Biometrico")</f>
        <v>No tiene huella Biometrico</v>
      </c>
      <c r="AM20" s="230" t="str">
        <f>IFERROR(IF((NCH[G6]),VLOOKUP(NCH[[#This Row],[CEDULA]],BIO[],14,0),VLOOKUP(NCH[[#This Row],[CEDULA]],BIO[],14,0)),"No tiene huella Biometrico")</f>
        <v>No tiene huella Biometrico</v>
      </c>
      <c r="AN20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tiene huella Biometrico</v>
      </c>
      <c r="AO20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tiene huella Biometrico</v>
      </c>
      <c r="AP20" s="107"/>
      <c r="AQ20" s="231">
        <f>IF(NCH[[#This Row],[RUTA]]="0",NCH[[#This Row],[G7]],IF(AND(NCH[[#This Row],[ENTRADA8]]&lt;&gt;"No Registró",NCH[[#This Row],[SALIDA8]]&lt;&gt;"No Registró"),NCH[[#This Row],[G7]],0))</f>
        <v>0</v>
      </c>
      <c r="AR20" s="160" t="str">
        <f>IFERROR(IF(ISBLANK(NCH[G7]),VLOOKUP(NCH[CEDULA],BIO[],15,0),VLOOKUP(NCH[CEDULA],BIO[],15,0)),"No tiene huella Biometrico")</f>
        <v>No tiene huella Biometrico</v>
      </c>
      <c r="AS20" s="230" t="str">
        <f>IFERROR(IF(ISBLANK(NCH[G7]),VLOOKUP(NCH[[#This Row],[CEDULA]],BIO[],16,0),VLOOKUP(NCH[[#This Row],[CEDULA]],BIO[],16,0)),"No tiene huella Biometrico")</f>
        <v>No tiene huella Biometrico</v>
      </c>
      <c r="AT20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tiene huella Biometrico</v>
      </c>
      <c r="AU20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tiene huella Biometrico</v>
      </c>
      <c r="AV20" s="105">
        <f>NCH[[#This Row],[META]]+NCH[[#This Row],[META2]]+NCH[[#This Row],[META3]]</f>
        <v>2</v>
      </c>
      <c r="AW20" s="105">
        <f>NCH[[#This Row],[META4]]+NCH[[#This Row],[META5]]+NCH[[#This Row],[META6]]+NCH[[#This Row],[META7]]</f>
        <v>0</v>
      </c>
      <c r="AX20" s="231">
        <f>NCH[[#This Row],[TOTAL L-V]]+NCH[[#This Row],[TOTAL S-D]]</f>
        <v>2</v>
      </c>
      <c r="AY20" s="232">
        <f>VLOOKUP(NCH[[#This Row],[CEDULA]],METAS[],20,0)</f>
        <v>0</v>
      </c>
      <c r="AZ20" s="232">
        <f>VLOOKUP(NCH[[#This Row],[CEDULA]],METAS[],22,0)</f>
        <v>0</v>
      </c>
    </row>
    <row r="21" spans="1:52" ht="30" x14ac:dyDescent="0.25">
      <c r="A21" s="105">
        <f>IF(NCH[[#This Row],[CEDULA]]&gt;1,0,"")</f>
        <v>0</v>
      </c>
      <c r="B21" s="295">
        <v>12900851</v>
      </c>
      <c r="C21" s="125" t="str">
        <f>VLOOKUP(NCH[[#This Row],[CEDULA]],DATOS[],2,0)</f>
        <v>ACEVEDO MOISES</v>
      </c>
      <c r="D21" s="108" t="s">
        <v>869</v>
      </c>
      <c r="E21" s="131" t="str">
        <f>MID(VLOOKUP(NCH[[#This Row],[CEDULA]],DATOS[],10,0),1,1)</f>
        <v/>
      </c>
      <c r="F21" s="106">
        <v>1</v>
      </c>
      <c r="G21" s="379">
        <v>1</v>
      </c>
      <c r="H21" s="154">
        <f>IFERROR(IF(ISBLANK(F21),VLOOKUP(NCH[[#This Row],[CEDULA]],BIO[],3,0),VLOOKUP(NCH[[#This Row],[CEDULA]],BIO[],3,0)),"No tiene huella Biometrico")</f>
        <v>0.31328703703703703</v>
      </c>
      <c r="I21" s="228">
        <f>IFERROR(IF(ISBLANK(F21),VLOOKUP(NCH[[#This Row],[CEDULA]],BIO[],4,0),VLOOKUP(NCH[[#This Row],[CEDULA]],BIO[],4,0)),"No tiene huella Biometrico")</f>
        <v>0.38935185185185189</v>
      </c>
      <c r="J21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Cumple H</v>
      </c>
      <c r="K21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cumple H</v>
      </c>
      <c r="L21" s="106">
        <v>1</v>
      </c>
      <c r="M21" s="379">
        <v>1</v>
      </c>
      <c r="N21" s="154">
        <f>IFERROR(IF(ISBLANK(L21),VLOOKUP(NCH[[#This Row],[CEDULA]],BIO[],5,0),VLOOKUP(NCH[[#This Row],[CEDULA]],BIO[],5,0)),"No tiene huella Biometrico")</f>
        <v>0.28971064814814812</v>
      </c>
      <c r="O21" s="228">
        <f>IFERROR(IF(ISBLANK(L21),VLOOKUP(NCH[[#This Row],[CEDULA]],BIO[],6,0),VLOOKUP(NCH[[#This Row],[CEDULA]],BIO[],6,0)),"No tiene huella Biometrico")</f>
        <v>0.49298611111111112</v>
      </c>
      <c r="P21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21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cumple H</v>
      </c>
      <c r="R21" s="106">
        <v>1</v>
      </c>
      <c r="S21" s="379">
        <v>1</v>
      </c>
      <c r="T21" s="154">
        <f>IFERROR(IF(ISBLANK(R21),VLOOKUP(NCH[[#This Row],[CEDULA]],BIO[],7,0),VLOOKUP(NCH[[#This Row],[CEDULA]],BIO[],7,0)),"No tiene huella Biometrico")</f>
        <v>0.40739583333333335</v>
      </c>
      <c r="U21" s="228" t="str">
        <f>IFERROR(IF(ISBLANK(R21),VLOOKUP(NCH[[#This Row],[CEDULA]],BIO[],8,0),VLOOKUP(NCH[[#This Row],[CEDULA]],BIO[],8,0)),"No tiene huella Biometrico")</f>
        <v>No registró</v>
      </c>
      <c r="V21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salida</v>
      </c>
      <c r="W21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21" s="106">
        <v>1</v>
      </c>
      <c r="Y21" s="380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21" s="154" t="str">
        <f>IFERROR(IF(ISBLANK(X21),VLOOKUP(NCH[[#This Row],[CEDULA]],BIO[],9,0),VLOOKUP(NCH[[#This Row],[CEDULA]],BIO[],9,0)),"No tiene huella Biometrico")</f>
        <v>No Registró</v>
      </c>
      <c r="AA21" s="228" t="str">
        <f>IFERROR(IF(ISBLANK(X21),VLOOKUP(NCH[[#This Row],[CEDULA]],BIO[],10,0),VLOOKUP(NCH[[#This Row],[CEDULA]],BIO[],10,0)),"No tiene huella Biometrico")</f>
        <v>No registró</v>
      </c>
      <c r="AB21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21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21" s="106">
        <v>1</v>
      </c>
      <c r="AE21" s="380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21" s="154" t="str">
        <f>IFERROR(IF(ISBLANK(NCH[G5]),VLOOKUP(NCH[[#This Row],[CEDULA]],BIO[],11,0),VLOOKUP(NCH[[#This Row],[CEDULA]],BIO[],11,0)),"No tiene huella Biometrico")</f>
        <v>No registró</v>
      </c>
      <c r="AG21" s="228" t="str">
        <f>IFERROR(IF((NCH[G5]),VLOOKUP(NCH[[#This Row],[CEDULA]],BIO[],12,0),VLOOKUP(NCH[[#This Row],[CEDULA]],BIO[],12,0)),"No tiene huella Biometrico")</f>
        <v>No registró</v>
      </c>
      <c r="AH21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21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21" s="107">
        <v>1</v>
      </c>
      <c r="AK21" s="381">
        <v>1</v>
      </c>
      <c r="AL21" s="154">
        <f>IFERROR(IF(ISBLANK(NCH[G6]),VLOOKUP(NCH[CEDULA],BIO[],13,0),VLOOKUP(NCH[CEDULA],BIO[],13,0)),"No tiene huella Biometrico")</f>
        <v>0.37927083333333328</v>
      </c>
      <c r="AM21" s="230" t="str">
        <f>IFERROR(IF((NCH[G6]),VLOOKUP(NCH[[#This Row],[CEDULA]],BIO[],14,0),VLOOKUP(NCH[[#This Row],[CEDULA]],BIO[],14,0)),"No tiene huella Biometrico")</f>
        <v>No registró</v>
      </c>
      <c r="AN21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salida</v>
      </c>
      <c r="AO21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21" s="107">
        <v>1</v>
      </c>
      <c r="AQ21" s="382"/>
      <c r="AR21" s="160" t="str">
        <f>IFERROR(IF(ISBLANK(NCH[G7]),VLOOKUP(NCH[CEDULA],BIO[],15,0),VLOOKUP(NCH[CEDULA],BIO[],15,0)),"No tiene huella Biometrico")</f>
        <v>No registró</v>
      </c>
      <c r="AS21" s="230" t="str">
        <f>IFERROR(IF(ISBLANK(NCH[G7]),VLOOKUP(NCH[[#This Row],[CEDULA]],BIO[],16,0),VLOOKUP(NCH[[#This Row],[CEDULA]],BIO[],16,0)),"No tiene huella Biometrico")</f>
        <v>No registró</v>
      </c>
      <c r="AT21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21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21" s="105">
        <f>NCH[[#This Row],[META]]+NCH[[#This Row],[META2]]+NCH[[#This Row],[META3]]</f>
        <v>3</v>
      </c>
      <c r="AW21" s="105">
        <f>NCH[[#This Row],[META4]]+NCH[[#This Row],[META5]]+NCH[[#This Row],[META6]]+NCH[[#This Row],[META7]]</f>
        <v>1</v>
      </c>
      <c r="AX21" s="231">
        <f>NCH[[#This Row],[TOTAL L-V]]+NCH[[#This Row],[TOTAL S-D]]</f>
        <v>4</v>
      </c>
      <c r="AY21" s="232">
        <f>VLOOKUP(NCH[[#This Row],[CEDULA]],METAS[],20,0)</f>
        <v>0</v>
      </c>
      <c r="AZ21" s="232">
        <f>VLOOKUP(NCH[[#This Row],[CEDULA]],METAS[],22,0)</f>
        <v>0</v>
      </c>
    </row>
    <row r="22" spans="1:52" ht="15.75" x14ac:dyDescent="0.25">
      <c r="A22" s="105">
        <f>IF(NCH[[#This Row],[CEDULA]]&gt;1,0,"")</f>
        <v>0</v>
      </c>
      <c r="B22" s="280">
        <v>7452015</v>
      </c>
      <c r="C22" s="125" t="str">
        <f>VLOOKUP(NCH[[#This Row],[CEDULA]],DATOS[],2,0)</f>
        <v>GONZALEZ RITO</v>
      </c>
      <c r="D22" s="108" t="s">
        <v>869</v>
      </c>
      <c r="E22" s="131" t="str">
        <f>MID(VLOOKUP(NCH[[#This Row],[CEDULA]],DATOS[],10,0),1,1)</f>
        <v>0</v>
      </c>
      <c r="F22" s="106">
        <v>1</v>
      </c>
      <c r="G22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1</v>
      </c>
      <c r="H22" s="154">
        <f>IFERROR(IF(ISBLANK(F22),VLOOKUP(NCH[[#This Row],[CEDULA]],BIO[],3,0),VLOOKUP(NCH[[#This Row],[CEDULA]],BIO[],3,0)),"No tiene huella Biometrico")</f>
        <v>0.2845138888888889</v>
      </c>
      <c r="I22" s="228">
        <f>IFERROR(IF(ISBLANK(F22),VLOOKUP(NCH[[#This Row],[CEDULA]],BIO[],4,0),VLOOKUP(NCH[[#This Row],[CEDULA]],BIO[],4,0)),"No tiene huella Biometrico")</f>
        <v>0.36546296296296293</v>
      </c>
      <c r="J22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Cumple H</v>
      </c>
      <c r="K22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cumple H</v>
      </c>
      <c r="L22" s="106">
        <v>1</v>
      </c>
      <c r="M22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1</v>
      </c>
      <c r="N22" s="154" t="str">
        <f>IFERROR(IF(ISBLANK(L22),VLOOKUP(NCH[[#This Row],[CEDULA]],BIO[],5,0),VLOOKUP(NCH[[#This Row],[CEDULA]],BIO[],5,0)),"No tiene huella Biometrico")</f>
        <v>No registró</v>
      </c>
      <c r="O22" s="228" t="str">
        <f>IFERROR(IF(ISBLANK(L22),VLOOKUP(NCH[[#This Row],[CEDULA]],BIO[],6,0),VLOOKUP(NCH[[#This Row],[CEDULA]],BIO[],6,0)),"No tiene huella Biometrico")</f>
        <v>No Registró</v>
      </c>
      <c r="P22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registro Biometrico</v>
      </c>
      <c r="Q22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cumple H</v>
      </c>
      <c r="R22" s="106">
        <v>1</v>
      </c>
      <c r="S22" s="379">
        <v>1</v>
      </c>
      <c r="T22" s="154">
        <f>IFERROR(IF(ISBLANK(R22),VLOOKUP(NCH[[#This Row],[CEDULA]],BIO[],7,0),VLOOKUP(NCH[[#This Row],[CEDULA]],BIO[],7,0)),"No tiene huella Biometrico")</f>
        <v>0.38895833333333335</v>
      </c>
      <c r="U22" s="228">
        <f>IFERROR(IF(ISBLANK(R22),VLOOKUP(NCH[[#This Row],[CEDULA]],BIO[],8,0),VLOOKUP(NCH[[#This Row],[CEDULA]],BIO[],8,0)),"No tiene huella Biometrico")</f>
        <v>0.88063657407407403</v>
      </c>
      <c r="V22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Cumple H</v>
      </c>
      <c r="W22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22" s="106">
        <v>1</v>
      </c>
      <c r="Y22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1</v>
      </c>
      <c r="Z22" s="154">
        <f>IFERROR(IF(ISBLANK(X22),VLOOKUP(NCH[[#This Row],[CEDULA]],BIO[],9,0),VLOOKUP(NCH[[#This Row],[CEDULA]],BIO[],9,0)),"No tiene huella Biometrico")</f>
        <v>0.3767476851851852</v>
      </c>
      <c r="AA22" s="228" t="str">
        <f>IFERROR(IF(ISBLANK(X22),VLOOKUP(NCH[[#This Row],[CEDULA]],BIO[],10,0),VLOOKUP(NCH[[#This Row],[CEDULA]],BIO[],10,0)),"No tiene huella Biometrico")</f>
        <v>No registró</v>
      </c>
      <c r="AB22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salida</v>
      </c>
      <c r="AC22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22" s="106">
        <v>1</v>
      </c>
      <c r="AE22" s="380">
        <v>1</v>
      </c>
      <c r="AF22" s="154" t="str">
        <f>IFERROR(IF(ISBLANK(NCH[G5]),VLOOKUP(NCH[[#This Row],[CEDULA]],BIO[],11,0),VLOOKUP(NCH[[#This Row],[CEDULA]],BIO[],11,0)),"No tiene huella Biometrico")</f>
        <v>No registró</v>
      </c>
      <c r="AG22" s="228" t="str">
        <f>IFERROR(IF((NCH[G5]),VLOOKUP(NCH[[#This Row],[CEDULA]],BIO[],12,0),VLOOKUP(NCH[[#This Row],[CEDULA]],BIO[],12,0)),"No tiene huella Biometrico")</f>
        <v>No registró</v>
      </c>
      <c r="AH22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22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22" s="107">
        <v>1</v>
      </c>
      <c r="AK22" s="369">
        <f>IF(NCH[[#This Row],[RUTA]]="0",NCH[[#This Row],[G6]],IF(AND(NCH[[#This Row],[ENTRADA7]]&lt;&gt;"No Registró",NCH[[#This Row],[SALIDA7]]&lt;&gt;"No Registró"),NCH[[#This Row],[G6]],0))</f>
        <v>1</v>
      </c>
      <c r="AL22" s="154">
        <f>IFERROR(IF(ISBLANK(NCH[G6]),VLOOKUP(NCH[CEDULA],BIO[],13,0),VLOOKUP(NCH[CEDULA],BIO[],13,0)),"No tiene huella Biometrico")</f>
        <v>0.46768518518518515</v>
      </c>
      <c r="AM22" s="230">
        <f>IFERROR(IF((NCH[G6]),VLOOKUP(NCH[[#This Row],[CEDULA]],BIO[],14,0),VLOOKUP(NCH[[#This Row],[CEDULA]],BIO[],14,0)),"No tiene huella Biometrico")</f>
        <v>0.67902777777777779</v>
      </c>
      <c r="AN22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Cumple H</v>
      </c>
      <c r="AO22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22" s="107">
        <v>1</v>
      </c>
      <c r="AQ22" s="231">
        <f>IF(NCH[[#This Row],[RUTA]]="0",NCH[[#This Row],[G7]],IF(AND(NCH[[#This Row],[ENTRADA8]]&lt;&gt;"No Registró",NCH[[#This Row],[SALIDA8]]&lt;&gt;"No Registró"),NCH[[#This Row],[G7]],0))</f>
        <v>1</v>
      </c>
      <c r="AR22" s="160">
        <f>IFERROR(IF(ISBLANK(NCH[G7]),VLOOKUP(NCH[CEDULA],BIO[],15,0),VLOOKUP(NCH[CEDULA],BIO[],15,0)),"No tiene huella Biometrico")</f>
        <v>0.45859953703703704</v>
      </c>
      <c r="AS22" s="230">
        <f>IFERROR(IF(ISBLANK(NCH[G7]),VLOOKUP(NCH[[#This Row],[CEDULA]],BIO[],16,0),VLOOKUP(NCH[[#This Row],[CEDULA]],BIO[],16,0)),"No tiene huella Biometrico")</f>
        <v>0.92143518518518519</v>
      </c>
      <c r="AT22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Cumple H</v>
      </c>
      <c r="AU22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22" s="105">
        <f>NCH[[#This Row],[META]]+NCH[[#This Row],[META2]]+NCH[[#This Row],[META3]]</f>
        <v>3</v>
      </c>
      <c r="AW22" s="105">
        <f>NCH[[#This Row],[META4]]+NCH[[#This Row],[META5]]+NCH[[#This Row],[META6]]+NCH[[#This Row],[META7]]</f>
        <v>4</v>
      </c>
      <c r="AX22" s="231">
        <f>NCH[[#This Row],[TOTAL L-V]]+NCH[[#This Row],[TOTAL S-D]]</f>
        <v>7</v>
      </c>
      <c r="AY22" s="232" t="str">
        <f>VLOOKUP(NCH[[#This Row],[CEDULA]],METAS[],20,0)</f>
        <v xml:space="preserve">Coordinador de la cocina </v>
      </c>
      <c r="AZ22" s="232">
        <f>VLOOKUP(NCH[[#This Row],[CEDULA]],METAS[],22,0)</f>
        <v>0</v>
      </c>
    </row>
    <row r="23" spans="1:52" ht="30" x14ac:dyDescent="0.25">
      <c r="A23" s="105">
        <f>IF(NCH[[#This Row],[CEDULA]]&gt;1,0,"")</f>
        <v>0</v>
      </c>
      <c r="B23" s="280">
        <v>9420460</v>
      </c>
      <c r="C23" s="125" t="str">
        <f>VLOOKUP(NCH[[#This Row],[CEDULA]],DATOS[],2,0)</f>
        <v>MOYA MANUEL</v>
      </c>
      <c r="D23" s="108" t="s">
        <v>868</v>
      </c>
      <c r="E23" s="131" t="str">
        <f>MID(VLOOKUP(NCH[[#This Row],[CEDULA]],DATOS[],10,0),1,1)</f>
        <v>0</v>
      </c>
      <c r="F23" s="106"/>
      <c r="G23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23" s="154">
        <f>IFERROR(IF(ISBLANK(F23),VLOOKUP(NCH[[#This Row],[CEDULA]],BIO[],3,0),VLOOKUP(NCH[[#This Row],[CEDULA]],BIO[],3,0)),"No tiene huella Biometrico")</f>
        <v>0.40792824074074074</v>
      </c>
      <c r="I23" s="228">
        <f>IFERROR(IF(ISBLANK(F23),VLOOKUP(NCH[[#This Row],[CEDULA]],BIO[],4,0),VLOOKUP(NCH[[#This Row],[CEDULA]],BIO[],4,0)),"No tiene huella Biometrico")</f>
        <v>0.60100694444444447</v>
      </c>
      <c r="J23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Cumple H</v>
      </c>
      <c r="K23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23" s="106"/>
      <c r="M23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23" s="154">
        <f>IFERROR(IF(ISBLANK(L23),VLOOKUP(NCH[[#This Row],[CEDULA]],BIO[],5,0),VLOOKUP(NCH[[#This Row],[CEDULA]],BIO[],5,0)),"No tiene huella Biometrico")</f>
        <v>0.32388888888888889</v>
      </c>
      <c r="O23" s="228">
        <f>IFERROR(IF(ISBLANK(L23),VLOOKUP(NCH[[#This Row],[CEDULA]],BIO[],6,0),VLOOKUP(NCH[[#This Row],[CEDULA]],BIO[],6,0)),"No tiene huella Biometrico")</f>
        <v>0.62788194444444445</v>
      </c>
      <c r="P23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23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23" s="106">
        <v>1</v>
      </c>
      <c r="S23" s="379">
        <v>1</v>
      </c>
      <c r="T23" s="154" t="str">
        <f>IFERROR(IF(ISBLANK(R23),VLOOKUP(NCH[[#This Row],[CEDULA]],BIO[],7,0),VLOOKUP(NCH[[#This Row],[CEDULA]],BIO[],7,0)),"No tiene huella Biometrico")</f>
        <v>No registró</v>
      </c>
      <c r="U23" s="228" t="str">
        <f>IFERROR(IF(ISBLANK(R23),VLOOKUP(NCH[[#This Row],[CEDULA]],BIO[],8,0),VLOOKUP(NCH[[#This Row],[CEDULA]],BIO[],8,0)),"No tiene huella Biometrico")</f>
        <v>No registró</v>
      </c>
      <c r="V23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23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23" s="106"/>
      <c r="Y23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23" s="154" t="str">
        <f>IFERROR(IF(ISBLANK(X23),VLOOKUP(NCH[[#This Row],[CEDULA]],BIO[],9,0),VLOOKUP(NCH[[#This Row],[CEDULA]],BIO[],9,0)),"No tiene huella Biometrico")</f>
        <v>No Registró</v>
      </c>
      <c r="AA23" s="228" t="str">
        <f>IFERROR(IF(ISBLANK(X23),VLOOKUP(NCH[[#This Row],[CEDULA]],BIO[],10,0),VLOOKUP(NCH[[#This Row],[CEDULA]],BIO[],10,0)),"No tiene huella Biometrico")</f>
        <v>No registró</v>
      </c>
      <c r="AB23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23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23" s="106"/>
      <c r="AE23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23" s="154" t="str">
        <f>IFERROR(IF(ISBLANK(NCH[G5]),VLOOKUP(NCH[[#This Row],[CEDULA]],BIO[],11,0),VLOOKUP(NCH[[#This Row],[CEDULA]],BIO[],11,0)),"No tiene huella Biometrico")</f>
        <v>No registró</v>
      </c>
      <c r="AG23" s="228" t="str">
        <f>IFERROR(IF((NCH[G5]),VLOOKUP(NCH[[#This Row],[CEDULA]],BIO[],12,0),VLOOKUP(NCH[[#This Row],[CEDULA]],BIO[],12,0)),"No tiene huella Biometrico")</f>
        <v>No registró</v>
      </c>
      <c r="AH23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23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23" s="107">
        <v>1</v>
      </c>
      <c r="AK23" s="381">
        <v>1</v>
      </c>
      <c r="AL23" s="154" t="str">
        <f>IFERROR(IF(ISBLANK(NCH[G6]),VLOOKUP(NCH[CEDULA],BIO[],13,0),VLOOKUP(NCH[CEDULA],BIO[],13,0)),"No tiene huella Biometrico")</f>
        <v>No registró</v>
      </c>
      <c r="AM23" s="230" t="str">
        <f>IFERROR(IF((NCH[G6]),VLOOKUP(NCH[[#This Row],[CEDULA]],BIO[],14,0),VLOOKUP(NCH[[#This Row],[CEDULA]],BIO[],14,0)),"No tiene huella Biometrico")</f>
        <v>No registró</v>
      </c>
      <c r="AN23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23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23" s="107"/>
      <c r="AQ23" s="231">
        <f>IF(NCH[[#This Row],[RUTA]]="0",NCH[[#This Row],[G7]],IF(AND(NCH[[#This Row],[ENTRADA8]]&lt;&gt;"No Registró",NCH[[#This Row],[SALIDA8]]&lt;&gt;"No Registró"),NCH[[#This Row],[G7]],0))</f>
        <v>0</v>
      </c>
      <c r="AR23" s="160" t="str">
        <f>IFERROR(IF(ISBLANK(NCH[G7]),VLOOKUP(NCH[CEDULA],BIO[],15,0),VLOOKUP(NCH[CEDULA],BIO[],15,0)),"No tiene huella Biometrico")</f>
        <v>No registró</v>
      </c>
      <c r="AS23" s="230" t="str">
        <f>IFERROR(IF(ISBLANK(NCH[G7]),VLOOKUP(NCH[[#This Row],[CEDULA]],BIO[],16,0),VLOOKUP(NCH[[#This Row],[CEDULA]],BIO[],16,0)),"No tiene huella Biometrico")</f>
        <v>No registró</v>
      </c>
      <c r="AT23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23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23" s="105">
        <f>NCH[[#This Row],[META]]+NCH[[#This Row],[META2]]+NCH[[#This Row],[META3]]</f>
        <v>1</v>
      </c>
      <c r="AW23" s="105">
        <f>NCH[[#This Row],[META4]]+NCH[[#This Row],[META5]]+NCH[[#This Row],[META6]]+NCH[[#This Row],[META7]]</f>
        <v>1</v>
      </c>
      <c r="AX23" s="231">
        <f>NCH[[#This Row],[TOTAL L-V]]+NCH[[#This Row],[TOTAL S-D]]</f>
        <v>2</v>
      </c>
      <c r="AY23" s="232" t="str">
        <f>VLOOKUP(NCH[[#This Row],[CEDULA]],METAS[],20,0)</f>
        <v>Producción de plasma de conejo</v>
      </c>
      <c r="AZ23" s="232" t="str">
        <f>VLOOKUP(NCH[[#This Row],[CEDULA]],METAS[],22,0)</f>
        <v>MIERCOLES Y SABADO TRABAJO EN LA GRANJA (PLASMA)</v>
      </c>
    </row>
    <row r="24" spans="1:52" ht="30" x14ac:dyDescent="0.25">
      <c r="A24" s="105">
        <f>IF(NCH[[#This Row],[CEDULA]]&gt;1,0,"")</f>
        <v>0</v>
      </c>
      <c r="B24" s="280">
        <v>14346582</v>
      </c>
      <c r="C24" s="125" t="str">
        <f>VLOOKUP(NCH[[#This Row],[CEDULA]],DATOS[],2,0)</f>
        <v>ESQUEA LUIS</v>
      </c>
      <c r="D24" s="108" t="s">
        <v>868</v>
      </c>
      <c r="E24" s="131" t="str">
        <f>MID(VLOOKUP(NCH[[#This Row],[CEDULA]],DATOS[],10,0),1,1)</f>
        <v/>
      </c>
      <c r="F24" s="106"/>
      <c r="G24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24" s="154">
        <f>IFERROR(IF(ISBLANK(F24),VLOOKUP(NCH[[#This Row],[CEDULA]],BIO[],3,0),VLOOKUP(NCH[[#This Row],[CEDULA]],BIO[],3,0)),"No tiene huella Biometrico")</f>
        <v>0.26925925925925925</v>
      </c>
      <c r="I24" s="228">
        <f>IFERROR(IF(ISBLANK(F24),VLOOKUP(NCH[[#This Row],[CEDULA]],BIO[],4,0),VLOOKUP(NCH[[#This Row],[CEDULA]],BIO[],4,0)),"No tiene huella Biometrico")</f>
        <v>0.47638888888888892</v>
      </c>
      <c r="J24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Cumple H</v>
      </c>
      <c r="K24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24" s="106"/>
      <c r="M24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24" s="154">
        <f>IFERROR(IF(ISBLANK(L24),VLOOKUP(NCH[[#This Row],[CEDULA]],BIO[],5,0),VLOOKUP(NCH[[#This Row],[CEDULA]],BIO[],5,0)),"No tiene huella Biometrico")</f>
        <v>0.26092592592592595</v>
      </c>
      <c r="O24" s="228">
        <f>IFERROR(IF(ISBLANK(L24),VLOOKUP(NCH[[#This Row],[CEDULA]],BIO[],6,0),VLOOKUP(NCH[[#This Row],[CEDULA]],BIO[],6,0)),"No tiene huella Biometrico")</f>
        <v>0.44196759259259261</v>
      </c>
      <c r="P24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24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24" s="106">
        <v>1</v>
      </c>
      <c r="S24" s="379">
        <v>1</v>
      </c>
      <c r="T24" s="154">
        <f>IFERROR(IF(ISBLANK(R24),VLOOKUP(NCH[[#This Row],[CEDULA]],BIO[],7,0),VLOOKUP(NCH[[#This Row],[CEDULA]],BIO[],7,0)),"No tiene huella Biometrico")</f>
        <v>0.31778935185185186</v>
      </c>
      <c r="U24" s="228" t="str">
        <f>IFERROR(IF(ISBLANK(R24),VLOOKUP(NCH[[#This Row],[CEDULA]],BIO[],8,0),VLOOKUP(NCH[[#This Row],[CEDULA]],BIO[],8,0)),"No tiene huella Biometrico")</f>
        <v>No registró</v>
      </c>
      <c r="V24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salida</v>
      </c>
      <c r="W24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24" s="106"/>
      <c r="Y24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24" s="154" t="str">
        <f>IFERROR(IF(ISBLANK(X24),VLOOKUP(NCH[[#This Row],[CEDULA]],BIO[],9,0),VLOOKUP(NCH[[#This Row],[CEDULA]],BIO[],9,0)),"No tiene huella Biometrico")</f>
        <v>No Registró</v>
      </c>
      <c r="AA24" s="228" t="str">
        <f>IFERROR(IF(ISBLANK(X24),VLOOKUP(NCH[[#This Row],[CEDULA]],BIO[],10,0),VLOOKUP(NCH[[#This Row],[CEDULA]],BIO[],10,0)),"No tiene huella Biometrico")</f>
        <v>No registró</v>
      </c>
      <c r="AB24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24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24" s="106"/>
      <c r="AE24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24" s="154" t="str">
        <f>IFERROR(IF(ISBLANK(NCH[G5]),VLOOKUP(NCH[[#This Row],[CEDULA]],BIO[],11,0),VLOOKUP(NCH[[#This Row],[CEDULA]],BIO[],11,0)),"No tiene huella Biometrico")</f>
        <v>No registró</v>
      </c>
      <c r="AG24" s="228" t="str">
        <f>IFERROR(IF((NCH[G5]),VLOOKUP(NCH[[#This Row],[CEDULA]],BIO[],12,0),VLOOKUP(NCH[[#This Row],[CEDULA]],BIO[],12,0)),"No tiene huella Biometrico")</f>
        <v>No registró</v>
      </c>
      <c r="AH24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24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24" s="107"/>
      <c r="AK24" s="369">
        <f>IF(NCH[[#This Row],[RUTA]]="0",NCH[[#This Row],[G6]],IF(AND(NCH[[#This Row],[ENTRADA7]]&lt;&gt;"No Registró",NCH[[#This Row],[SALIDA7]]&lt;&gt;"No Registró"),NCH[[#This Row],[G6]],0))</f>
        <v>0</v>
      </c>
      <c r="AL24" s="154" t="str">
        <f>IFERROR(IF(ISBLANK(NCH[G6]),VLOOKUP(NCH[CEDULA],BIO[],13,0),VLOOKUP(NCH[CEDULA],BIO[],13,0)),"No tiene huella Biometrico")</f>
        <v>No registró</v>
      </c>
      <c r="AM24" s="230" t="str">
        <f>IFERROR(IF((NCH[G6]),VLOOKUP(NCH[[#This Row],[CEDULA]],BIO[],14,0),VLOOKUP(NCH[[#This Row],[CEDULA]],BIO[],14,0)),"No tiene huella Biometrico")</f>
        <v>No registró</v>
      </c>
      <c r="AN24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24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24" s="107"/>
      <c r="AQ24" s="231">
        <f>IF(NCH[[#This Row],[RUTA]]="0",NCH[[#This Row],[G7]],IF(AND(NCH[[#This Row],[ENTRADA8]]&lt;&gt;"No Registró",NCH[[#This Row],[SALIDA8]]&lt;&gt;"No Registró"),NCH[[#This Row],[G7]],0))</f>
        <v>0</v>
      </c>
      <c r="AR24" s="160" t="str">
        <f>IFERROR(IF(ISBLANK(NCH[G7]),VLOOKUP(NCH[CEDULA],BIO[],15,0),VLOOKUP(NCH[CEDULA],BIO[],15,0)),"No tiene huella Biometrico")</f>
        <v>No registró</v>
      </c>
      <c r="AS24" s="230" t="str">
        <f>IFERROR(IF(ISBLANK(NCH[G7]),VLOOKUP(NCH[[#This Row],[CEDULA]],BIO[],16,0),VLOOKUP(NCH[[#This Row],[CEDULA]],BIO[],16,0)),"No tiene huella Biometrico")</f>
        <v>No registró</v>
      </c>
      <c r="AT24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24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24" s="105">
        <f>NCH[[#This Row],[META]]+NCH[[#This Row],[META2]]+NCH[[#This Row],[META3]]</f>
        <v>1</v>
      </c>
      <c r="AW24" s="105">
        <f>NCH[[#This Row],[META4]]+NCH[[#This Row],[META5]]+NCH[[#This Row],[META6]]+NCH[[#This Row],[META7]]</f>
        <v>0</v>
      </c>
      <c r="AX24" s="231">
        <f>NCH[[#This Row],[TOTAL L-V]]+NCH[[#This Row],[TOTAL S-D]]</f>
        <v>1</v>
      </c>
      <c r="AY24" s="232" t="str">
        <f>VLOOKUP(NCH[[#This Row],[CEDULA]],METAS[],20,0)</f>
        <v>Atención de animales de bioterio</v>
      </c>
      <c r="AZ24" s="232">
        <f>VLOOKUP(NCH[[#This Row],[CEDULA]],METAS[],22,0)</f>
        <v>0</v>
      </c>
    </row>
    <row r="25" spans="1:52" ht="30" x14ac:dyDescent="0.25">
      <c r="A25" s="105">
        <f>IF(NCH[[#This Row],[CEDULA]]&gt;1,0,"")</f>
        <v>0</v>
      </c>
      <c r="B25" s="280">
        <v>10628857</v>
      </c>
      <c r="C25" s="125" t="str">
        <f>VLOOKUP(NCH[[#This Row],[CEDULA]],DATOS[],2,0)</f>
        <v>ANGARITA YEISON</v>
      </c>
      <c r="D25" s="108" t="s">
        <v>868</v>
      </c>
      <c r="E25" s="131" t="str">
        <f>MID(VLOOKUP(NCH[[#This Row],[CEDULA]],DATOS[],10,0),1,1)</f>
        <v>3</v>
      </c>
      <c r="F25" s="106"/>
      <c r="G25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25" s="154">
        <f>IFERROR(IF(ISBLANK(F25),VLOOKUP(NCH[[#This Row],[CEDULA]],BIO[],3,0),VLOOKUP(NCH[[#This Row],[CEDULA]],BIO[],3,0)),"No tiene huella Biometrico")</f>
        <v>0.28278935185185183</v>
      </c>
      <c r="I25" s="228">
        <f>IFERROR(IF(ISBLANK(F25),VLOOKUP(NCH[[#This Row],[CEDULA]],BIO[],4,0),VLOOKUP(NCH[[#This Row],[CEDULA]],BIO[],4,0)),"No tiene huella Biometrico")</f>
        <v>0.55276620370370366</v>
      </c>
      <c r="J25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25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25" s="106"/>
      <c r="M25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25" s="154">
        <f>IFERROR(IF(ISBLANK(L25),VLOOKUP(NCH[[#This Row],[CEDULA]],BIO[],5,0),VLOOKUP(NCH[[#This Row],[CEDULA]],BIO[],5,0)),"No tiene huella Biometrico")</f>
        <v>0.28362268518518519</v>
      </c>
      <c r="O25" s="228">
        <f>IFERROR(IF(ISBLANK(L25),VLOOKUP(NCH[[#This Row],[CEDULA]],BIO[],6,0),VLOOKUP(NCH[[#This Row],[CEDULA]],BIO[],6,0)),"No tiene huella Biometrico")</f>
        <v>0.54262731481481474</v>
      </c>
      <c r="P25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25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25" s="106"/>
      <c r="S25" s="367"/>
      <c r="T25" s="154" t="str">
        <f>IFERROR(IF(ISBLANK(R25),VLOOKUP(NCH[[#This Row],[CEDULA]],BIO[],7,0),VLOOKUP(NCH[[#This Row],[CEDULA]],BIO[],7,0)),"No tiene huella Biometrico")</f>
        <v>No registró</v>
      </c>
      <c r="U25" s="228" t="str">
        <f>IFERROR(IF(ISBLANK(R25),VLOOKUP(NCH[[#This Row],[CEDULA]],BIO[],8,0),VLOOKUP(NCH[[#This Row],[CEDULA]],BIO[],8,0)),"No tiene huella Biometrico")</f>
        <v>No registró</v>
      </c>
      <c r="V25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25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25" s="106"/>
      <c r="Y25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25" s="154" t="str">
        <f>IFERROR(IF(ISBLANK(X25),VLOOKUP(NCH[[#This Row],[CEDULA]],BIO[],9,0),VLOOKUP(NCH[[#This Row],[CEDULA]],BIO[],9,0)),"No tiene huella Biometrico")</f>
        <v>No Registró</v>
      </c>
      <c r="AA25" s="228" t="str">
        <f>IFERROR(IF(ISBLANK(X25),VLOOKUP(NCH[[#This Row],[CEDULA]],BIO[],10,0),VLOOKUP(NCH[[#This Row],[CEDULA]],BIO[],10,0)),"No tiene huella Biometrico")</f>
        <v>No registró</v>
      </c>
      <c r="AB25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25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25" s="106">
        <v>1</v>
      </c>
      <c r="AE25" s="380">
        <v>1</v>
      </c>
      <c r="AF25" s="154">
        <f>IFERROR(IF(ISBLANK(NCH[G5]),VLOOKUP(NCH[[#This Row],[CEDULA]],BIO[],11,0),VLOOKUP(NCH[[#This Row],[CEDULA]],BIO[],11,0)),"No tiene huella Biometrico")</f>
        <v>0.2948263888888889</v>
      </c>
      <c r="AG25" s="228">
        <f>IFERROR(IF((NCH[G5]),VLOOKUP(NCH[[#This Row],[CEDULA]],BIO[],12,0),VLOOKUP(NCH[[#This Row],[CEDULA]],BIO[],12,0)),"No tiene huella Biometrico")</f>
        <v>0.59638888888888886</v>
      </c>
      <c r="AH25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Cumple Horario</v>
      </c>
      <c r="AI25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25" s="107"/>
      <c r="AK25" s="369">
        <f>IF(NCH[[#This Row],[RUTA]]="0",NCH[[#This Row],[G6]],IF(AND(NCH[[#This Row],[ENTRADA7]]&lt;&gt;"No Registró",NCH[[#This Row],[SALIDA7]]&lt;&gt;"No Registró"),NCH[[#This Row],[G6]],0))</f>
        <v>0</v>
      </c>
      <c r="AL25" s="154" t="str">
        <f>IFERROR(IF(ISBLANK(NCH[G6]),VLOOKUP(NCH[CEDULA],BIO[],13,0),VLOOKUP(NCH[CEDULA],BIO[],13,0)),"No tiene huella Biometrico")</f>
        <v>No registró</v>
      </c>
      <c r="AM25" s="230" t="str">
        <f>IFERROR(IF((NCH[G6]),VLOOKUP(NCH[[#This Row],[CEDULA]],BIO[],14,0),VLOOKUP(NCH[[#This Row],[CEDULA]],BIO[],14,0)),"No tiene huella Biometrico")</f>
        <v>No registró</v>
      </c>
      <c r="AN25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25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25" s="107"/>
      <c r="AQ25" s="231">
        <f>IF(NCH[[#This Row],[RUTA]]="0",NCH[[#This Row],[G7]],IF(AND(NCH[[#This Row],[ENTRADA8]]&lt;&gt;"No Registró",NCH[[#This Row],[SALIDA8]]&lt;&gt;"No Registró"),NCH[[#This Row],[G7]],0))</f>
        <v>0</v>
      </c>
      <c r="AR25" s="160" t="str">
        <f>IFERROR(IF(ISBLANK(NCH[G7]),VLOOKUP(NCH[CEDULA],BIO[],15,0),VLOOKUP(NCH[CEDULA],BIO[],15,0)),"No tiene huella Biometrico")</f>
        <v>No registró</v>
      </c>
      <c r="AS25" s="230" t="str">
        <f>IFERROR(IF(ISBLANK(NCH[G7]),VLOOKUP(NCH[[#This Row],[CEDULA]],BIO[],16,0),VLOOKUP(NCH[[#This Row],[CEDULA]],BIO[],16,0)),"No tiene huella Biometrico")</f>
        <v>No registró</v>
      </c>
      <c r="AT25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25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25" s="105">
        <f>NCH[[#This Row],[META]]+NCH[[#This Row],[META2]]+NCH[[#This Row],[META3]]</f>
        <v>0</v>
      </c>
      <c r="AW25" s="105">
        <f>NCH[[#This Row],[META4]]+NCH[[#This Row],[META5]]+NCH[[#This Row],[META6]]+NCH[[#This Row],[META7]]</f>
        <v>1</v>
      </c>
      <c r="AX25" s="231">
        <f>NCH[[#This Row],[TOTAL L-V]]+NCH[[#This Row],[TOTAL S-D]]</f>
        <v>1</v>
      </c>
      <c r="AY25" s="232" t="str">
        <f>VLOOKUP(NCH[[#This Row],[CEDULA]],METAS[],20,0)</f>
        <v>Atención de animales de bioterio</v>
      </c>
      <c r="AZ25" s="232">
        <f>VLOOKUP(NCH[[#This Row],[CEDULA]],METAS[],22,0)</f>
        <v>0</v>
      </c>
    </row>
    <row r="26" spans="1:52" ht="30" x14ac:dyDescent="0.25">
      <c r="A26" s="105">
        <f>IF(NCH[[#This Row],[CEDULA]]&gt;1,0,"")</f>
        <v>0</v>
      </c>
      <c r="B26" s="280">
        <v>11037153</v>
      </c>
      <c r="C26" s="125" t="str">
        <f>VLOOKUP(NCH[[#This Row],[CEDULA]],DATOS[],2,0)</f>
        <v>CASTRO JOSEFA</v>
      </c>
      <c r="D26" s="108" t="s">
        <v>868</v>
      </c>
      <c r="E26" s="131" t="str">
        <f>MID(VLOOKUP(NCH[[#This Row],[CEDULA]],DATOS[],10,0),1,1)</f>
        <v>0</v>
      </c>
      <c r="F26" s="106"/>
      <c r="G26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26" s="154" t="str">
        <f>IFERROR(IF(ISBLANK(F26),VLOOKUP(NCH[[#This Row],[CEDULA]],BIO[],3,0),VLOOKUP(NCH[[#This Row],[CEDULA]],BIO[],3,0)),"No tiene huella Biometrico")</f>
        <v>No tiene huella Biometrico</v>
      </c>
      <c r="I26" s="228" t="str">
        <f>IFERROR(IF(ISBLANK(F26),VLOOKUP(NCH[[#This Row],[CEDULA]],BIO[],4,0),VLOOKUP(NCH[[#This Row],[CEDULA]],BIO[],4,0)),"No tiene huella Biometrico")</f>
        <v>No tiene huella Biometrico</v>
      </c>
      <c r="J26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tiene huella Biometrico</v>
      </c>
      <c r="K26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tiene huella Biometrico</v>
      </c>
      <c r="L26" s="106"/>
      <c r="M26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26" s="154" t="str">
        <f>IFERROR(IF(ISBLANK(L26),VLOOKUP(NCH[[#This Row],[CEDULA]],BIO[],5,0),VLOOKUP(NCH[[#This Row],[CEDULA]],BIO[],5,0)),"No tiene huella Biometrico")</f>
        <v>No tiene huella Biometrico</v>
      </c>
      <c r="O26" s="228" t="str">
        <f>IFERROR(IF(ISBLANK(L26),VLOOKUP(NCH[[#This Row],[CEDULA]],BIO[],6,0),VLOOKUP(NCH[[#This Row],[CEDULA]],BIO[],6,0)),"No tiene huella Biometrico")</f>
        <v>No tiene huella Biometrico</v>
      </c>
      <c r="P26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tiene huella Biometrico</v>
      </c>
      <c r="Q26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tiene huella Biometrico</v>
      </c>
      <c r="R26" s="106">
        <v>1</v>
      </c>
      <c r="S26" s="379">
        <v>1</v>
      </c>
      <c r="T26" s="154" t="str">
        <f>IFERROR(IF(ISBLANK(R26),VLOOKUP(NCH[[#This Row],[CEDULA]],BIO[],7,0),VLOOKUP(NCH[[#This Row],[CEDULA]],BIO[],7,0)),"No tiene huella Biometrico")</f>
        <v>No tiene huella Biometrico</v>
      </c>
      <c r="U26" s="228" t="str">
        <f>IFERROR(IF(ISBLANK(R26),VLOOKUP(NCH[[#This Row],[CEDULA]],BIO[],8,0),VLOOKUP(NCH[[#This Row],[CEDULA]],BIO[],8,0)),"No tiene huella Biometrico")</f>
        <v>No tiene huella Biometrico</v>
      </c>
      <c r="V26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tiene huella Biometrico</v>
      </c>
      <c r="W26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tiene huella Biometrico</v>
      </c>
      <c r="X26" s="106"/>
      <c r="Y26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26" s="154" t="str">
        <f>IFERROR(IF(ISBLANK(X26),VLOOKUP(NCH[[#This Row],[CEDULA]],BIO[],9,0),VLOOKUP(NCH[[#This Row],[CEDULA]],BIO[],9,0)),"No tiene huella Biometrico")</f>
        <v>No tiene huella Biometrico</v>
      </c>
      <c r="AA26" s="228" t="str">
        <f>IFERROR(IF(ISBLANK(X26),VLOOKUP(NCH[[#This Row],[CEDULA]],BIO[],10,0),VLOOKUP(NCH[[#This Row],[CEDULA]],BIO[],10,0)),"No tiene huella Biometrico")</f>
        <v>No tiene huella Biometrico</v>
      </c>
      <c r="AB26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tiene huella Biometrico</v>
      </c>
      <c r="AC26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tiene huella Biometrico</v>
      </c>
      <c r="AD26" s="106"/>
      <c r="AE26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26" s="154" t="str">
        <f>IFERROR(IF(ISBLANK(NCH[G5]),VLOOKUP(NCH[[#This Row],[CEDULA]],BIO[],11,0),VLOOKUP(NCH[[#This Row],[CEDULA]],BIO[],11,0)),"No tiene huella Biometrico")</f>
        <v>No tiene huella Biometrico</v>
      </c>
      <c r="AG26" s="228" t="str">
        <f>IFERROR(IF((NCH[G5]),VLOOKUP(NCH[[#This Row],[CEDULA]],BIO[],12,0),VLOOKUP(NCH[[#This Row],[CEDULA]],BIO[],12,0)),"No tiene huella Biometrico")</f>
        <v>No tiene huella Biometrico</v>
      </c>
      <c r="AH26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tiene huella Biometrico</v>
      </c>
      <c r="AI26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tiene huella Biometrico</v>
      </c>
      <c r="AJ26" s="107">
        <v>1</v>
      </c>
      <c r="AK26" s="369">
        <f>IF(NCH[[#This Row],[RUTA]]="0",NCH[[#This Row],[G6]],IF(AND(NCH[[#This Row],[ENTRADA7]]&lt;&gt;"No Registró",NCH[[#This Row],[SALIDA7]]&lt;&gt;"No Registró"),NCH[[#This Row],[G6]],0))</f>
        <v>1</v>
      </c>
      <c r="AL26" s="154" t="str">
        <f>IFERROR(IF(ISBLANK(NCH[G6]),VLOOKUP(NCH[CEDULA],BIO[],13,0),VLOOKUP(NCH[CEDULA],BIO[],13,0)),"No tiene huella Biometrico")</f>
        <v>No tiene huella Biometrico</v>
      </c>
      <c r="AM26" s="230" t="str">
        <f>IFERROR(IF((NCH[G6]),VLOOKUP(NCH[[#This Row],[CEDULA]],BIO[],14,0),VLOOKUP(NCH[[#This Row],[CEDULA]],BIO[],14,0)),"No tiene huella Biometrico")</f>
        <v>No tiene huella Biometrico</v>
      </c>
      <c r="AN26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tiene huella Biometrico</v>
      </c>
      <c r="AO26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tiene huella Biometrico</v>
      </c>
      <c r="AP26" s="107"/>
      <c r="AQ26" s="231">
        <f>IF(NCH[[#This Row],[RUTA]]="0",NCH[[#This Row],[G7]],IF(AND(NCH[[#This Row],[ENTRADA8]]&lt;&gt;"No Registró",NCH[[#This Row],[SALIDA8]]&lt;&gt;"No Registró"),NCH[[#This Row],[G7]],0))</f>
        <v>0</v>
      </c>
      <c r="AR26" s="160" t="str">
        <f>IFERROR(IF(ISBLANK(NCH[G7]),VLOOKUP(NCH[CEDULA],BIO[],15,0),VLOOKUP(NCH[CEDULA],BIO[],15,0)),"No tiene huella Biometrico")</f>
        <v>No tiene huella Biometrico</v>
      </c>
      <c r="AS26" s="230" t="str">
        <f>IFERROR(IF(ISBLANK(NCH[G7]),VLOOKUP(NCH[[#This Row],[CEDULA]],BIO[],16,0),VLOOKUP(NCH[[#This Row],[CEDULA]],BIO[],16,0)),"No tiene huella Biometrico")</f>
        <v>No tiene huella Biometrico</v>
      </c>
      <c r="AT26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tiene huella Biometrico</v>
      </c>
      <c r="AU26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tiene huella Biometrico</v>
      </c>
      <c r="AV26" s="105">
        <f>NCH[[#This Row],[META]]+NCH[[#This Row],[META2]]+NCH[[#This Row],[META3]]</f>
        <v>1</v>
      </c>
      <c r="AW26" s="105">
        <f>NCH[[#This Row],[META4]]+NCH[[#This Row],[META5]]+NCH[[#This Row],[META6]]+NCH[[#This Row],[META7]]</f>
        <v>1</v>
      </c>
      <c r="AX26" s="231">
        <f>NCH[[#This Row],[TOTAL L-V]]+NCH[[#This Row],[TOTAL S-D]]</f>
        <v>2</v>
      </c>
      <c r="AY26" s="232" t="str">
        <f>VLOOKUP(NCH[[#This Row],[CEDULA]],METAS[],20,0)</f>
        <v>Atención de animales de granja, apoyo en procesamiento de plasma de conejo</v>
      </c>
      <c r="AZ26" s="232">
        <f>VLOOKUP(NCH[[#This Row],[CEDULA]],METAS[],22,0)</f>
        <v>0</v>
      </c>
    </row>
    <row r="27" spans="1:52" ht="30" x14ac:dyDescent="0.25">
      <c r="A27" s="105">
        <f>IF(NCH[[#This Row],[CEDULA]]&gt;1,0,"")</f>
        <v>0</v>
      </c>
      <c r="B27" s="280">
        <v>13548201</v>
      </c>
      <c r="C27" s="125" t="str">
        <f>VLOOKUP(NCH[[#This Row],[CEDULA]],DATOS[],2,0)</f>
        <v>AULAR JOSE</v>
      </c>
      <c r="D27" s="108" t="s">
        <v>868</v>
      </c>
      <c r="E27" s="131" t="str">
        <f>MID(VLOOKUP(NCH[[#This Row],[CEDULA]],DATOS[],10,0),1,1)</f>
        <v>0</v>
      </c>
      <c r="F27" s="106"/>
      <c r="G27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27" s="154" t="str">
        <f>IFERROR(IF(ISBLANK(F27),VLOOKUP(NCH[[#This Row],[CEDULA]],BIO[],3,0),VLOOKUP(NCH[[#This Row],[CEDULA]],BIO[],3,0)),"No tiene huella Biometrico")</f>
        <v>No tiene huella Biometrico</v>
      </c>
      <c r="I27" s="228" t="str">
        <f>IFERROR(IF(ISBLANK(F27),VLOOKUP(NCH[[#This Row],[CEDULA]],BIO[],4,0),VLOOKUP(NCH[[#This Row],[CEDULA]],BIO[],4,0)),"No tiene huella Biometrico")</f>
        <v>No tiene huella Biometrico</v>
      </c>
      <c r="J27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tiene huella Biometrico</v>
      </c>
      <c r="K27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tiene huella Biometrico</v>
      </c>
      <c r="L27" s="106"/>
      <c r="M27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27" s="154" t="str">
        <f>IFERROR(IF(ISBLANK(L27),VLOOKUP(NCH[[#This Row],[CEDULA]],BIO[],5,0),VLOOKUP(NCH[[#This Row],[CEDULA]],BIO[],5,0)),"No tiene huella Biometrico")</f>
        <v>No tiene huella Biometrico</v>
      </c>
      <c r="O27" s="228" t="str">
        <f>IFERROR(IF(ISBLANK(L27),VLOOKUP(NCH[[#This Row],[CEDULA]],BIO[],6,0),VLOOKUP(NCH[[#This Row],[CEDULA]],BIO[],6,0)),"No tiene huella Biometrico")</f>
        <v>No tiene huella Biometrico</v>
      </c>
      <c r="P27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tiene huella Biometrico</v>
      </c>
      <c r="Q27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tiene huella Biometrico</v>
      </c>
      <c r="R27" s="106"/>
      <c r="S27" s="367"/>
      <c r="T27" s="154" t="str">
        <f>IFERROR(IF(ISBLANK(R27),VLOOKUP(NCH[[#This Row],[CEDULA]],BIO[],7,0),VLOOKUP(NCH[[#This Row],[CEDULA]],BIO[],7,0)),"No tiene huella Biometrico")</f>
        <v>No tiene huella Biometrico</v>
      </c>
      <c r="U27" s="228" t="str">
        <f>IFERROR(IF(ISBLANK(R27),VLOOKUP(NCH[[#This Row],[CEDULA]],BIO[],8,0),VLOOKUP(NCH[[#This Row],[CEDULA]],BIO[],8,0)),"No tiene huella Biometrico")</f>
        <v>No tiene huella Biometrico</v>
      </c>
      <c r="V27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tiene huella Biometrico</v>
      </c>
      <c r="W27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tiene huella Biometrico</v>
      </c>
      <c r="X27" s="106">
        <v>1</v>
      </c>
      <c r="Y27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1</v>
      </c>
      <c r="Z27" s="154" t="str">
        <f>IFERROR(IF(ISBLANK(X27),VLOOKUP(NCH[[#This Row],[CEDULA]],BIO[],9,0),VLOOKUP(NCH[[#This Row],[CEDULA]],BIO[],9,0)),"No tiene huella Biometrico")</f>
        <v>No tiene huella Biometrico</v>
      </c>
      <c r="AA27" s="228" t="str">
        <f>IFERROR(IF(ISBLANK(X27),VLOOKUP(NCH[[#This Row],[CEDULA]],BIO[],10,0),VLOOKUP(NCH[[#This Row],[CEDULA]],BIO[],10,0)),"No tiene huella Biometrico")</f>
        <v>No tiene huella Biometrico</v>
      </c>
      <c r="AB27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tiene huella Biometrico</v>
      </c>
      <c r="AC27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tiene huella Biometrico</v>
      </c>
      <c r="AD27" s="106">
        <v>1</v>
      </c>
      <c r="AE27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1</v>
      </c>
      <c r="AF27" s="154" t="str">
        <f>IFERROR(IF(ISBLANK(NCH[G5]),VLOOKUP(NCH[[#This Row],[CEDULA]],BIO[],11,0),VLOOKUP(NCH[[#This Row],[CEDULA]],BIO[],11,0)),"No tiene huella Biometrico")</f>
        <v>No tiene huella Biometrico</v>
      </c>
      <c r="AG27" s="228" t="str">
        <f>IFERROR(IF((NCH[G5]),VLOOKUP(NCH[[#This Row],[CEDULA]],BIO[],12,0),VLOOKUP(NCH[[#This Row],[CEDULA]],BIO[],12,0)),"No tiene huella Biometrico")</f>
        <v>No tiene huella Biometrico</v>
      </c>
      <c r="AH27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tiene huella Biometrico</v>
      </c>
      <c r="AI27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tiene huella Biometrico</v>
      </c>
      <c r="AJ27" s="107"/>
      <c r="AK27" s="369">
        <f>IF(NCH[[#This Row],[RUTA]]="0",NCH[[#This Row],[G6]],IF(AND(NCH[[#This Row],[ENTRADA7]]&lt;&gt;"No Registró",NCH[[#This Row],[SALIDA7]]&lt;&gt;"No Registró"),NCH[[#This Row],[G6]],0))</f>
        <v>0</v>
      </c>
      <c r="AL27" s="154" t="str">
        <f>IFERROR(IF(ISBLANK(NCH[G6]),VLOOKUP(NCH[CEDULA],BIO[],13,0),VLOOKUP(NCH[CEDULA],BIO[],13,0)),"No tiene huella Biometrico")</f>
        <v>No tiene huella Biometrico</v>
      </c>
      <c r="AM27" s="230" t="str">
        <f>IFERROR(IF((NCH[G6]),VLOOKUP(NCH[[#This Row],[CEDULA]],BIO[],14,0),VLOOKUP(NCH[[#This Row],[CEDULA]],BIO[],14,0)),"No tiene huella Biometrico")</f>
        <v>No tiene huella Biometrico</v>
      </c>
      <c r="AN27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tiene huella Biometrico</v>
      </c>
      <c r="AO27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tiene huella Biometrico</v>
      </c>
      <c r="AP27" s="107"/>
      <c r="AQ27" s="231">
        <f>IF(NCH[[#This Row],[RUTA]]="0",NCH[[#This Row],[G7]],IF(AND(NCH[[#This Row],[ENTRADA8]]&lt;&gt;"No Registró",NCH[[#This Row],[SALIDA8]]&lt;&gt;"No Registró"),NCH[[#This Row],[G7]],0))</f>
        <v>0</v>
      </c>
      <c r="AR27" s="160" t="str">
        <f>IFERROR(IF(ISBLANK(NCH[G7]),VLOOKUP(NCH[CEDULA],BIO[],15,0),VLOOKUP(NCH[CEDULA],BIO[],15,0)),"No tiene huella Biometrico")</f>
        <v>No tiene huella Biometrico</v>
      </c>
      <c r="AS27" s="230" t="str">
        <f>IFERROR(IF(ISBLANK(NCH[G7]),VLOOKUP(NCH[[#This Row],[CEDULA]],BIO[],16,0),VLOOKUP(NCH[[#This Row],[CEDULA]],BIO[],16,0)),"No tiene huella Biometrico")</f>
        <v>No tiene huella Biometrico</v>
      </c>
      <c r="AT27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tiene huella Biometrico</v>
      </c>
      <c r="AU27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tiene huella Biometrico</v>
      </c>
      <c r="AV27" s="105">
        <f>NCH[[#This Row],[META]]+NCH[[#This Row],[META2]]+NCH[[#This Row],[META3]]</f>
        <v>0</v>
      </c>
      <c r="AW27" s="105">
        <f>NCH[[#This Row],[META4]]+NCH[[#This Row],[META5]]+NCH[[#This Row],[META6]]+NCH[[#This Row],[META7]]</f>
        <v>2</v>
      </c>
      <c r="AX27" s="231">
        <f>NCH[[#This Row],[TOTAL L-V]]+NCH[[#This Row],[TOTAL S-D]]</f>
        <v>2</v>
      </c>
      <c r="AY27" s="232" t="str">
        <f>VLOOKUP(NCH[[#This Row],[CEDULA]],METAS[],20,0)</f>
        <v>Atención de animales de granja</v>
      </c>
      <c r="AZ27" s="232">
        <f>VLOOKUP(NCH[[#This Row],[CEDULA]],METAS[],22,0)</f>
        <v>0</v>
      </c>
    </row>
    <row r="28" spans="1:52" ht="30" x14ac:dyDescent="0.25">
      <c r="A28" s="105">
        <f>IF(NCH[[#This Row],[CEDULA]]&gt;1,0,"")</f>
        <v>0</v>
      </c>
      <c r="B28" s="295">
        <v>5466538</v>
      </c>
      <c r="C28" s="125" t="str">
        <f>VLOOKUP(NCH[[#This Row],[CEDULA]],DATOS[],2,0)</f>
        <v>BRITO LYSBETH</v>
      </c>
      <c r="D28" s="108" t="s">
        <v>868</v>
      </c>
      <c r="E28" s="131" t="str">
        <f>MID(VLOOKUP(NCH[[#This Row],[CEDULA]],DATOS[],10,0),1,1)</f>
        <v/>
      </c>
      <c r="F28" s="106"/>
      <c r="G28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28" s="154">
        <f>IFERROR(IF(ISBLANK(F28),VLOOKUP(NCH[[#This Row],[CEDULA]],BIO[],3,0),VLOOKUP(NCH[[#This Row],[CEDULA]],BIO[],3,0)),"No tiene huella Biometrico")</f>
        <v>0.30231481481481481</v>
      </c>
      <c r="I28" s="228">
        <f>IFERROR(IF(ISBLANK(F28),VLOOKUP(NCH[[#This Row],[CEDULA]],BIO[],4,0),VLOOKUP(NCH[[#This Row],[CEDULA]],BIO[],4,0)),"No tiene huella Biometrico")</f>
        <v>0.62452546296296296</v>
      </c>
      <c r="J28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28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28" s="106"/>
      <c r="M28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28" s="154">
        <f>IFERROR(IF(ISBLANK(L28),VLOOKUP(NCH[[#This Row],[CEDULA]],BIO[],5,0),VLOOKUP(NCH[[#This Row],[CEDULA]],BIO[],5,0)),"No tiene huella Biometrico")</f>
        <v>0.29531250000000003</v>
      </c>
      <c r="O28" s="228">
        <f>IFERROR(IF(ISBLANK(L28),VLOOKUP(NCH[[#This Row],[CEDULA]],BIO[],6,0),VLOOKUP(NCH[[#This Row],[CEDULA]],BIO[],6,0)),"No tiene huella Biometrico")</f>
        <v>0.64206018518518515</v>
      </c>
      <c r="P28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Cumple Horario</v>
      </c>
      <c r="Q28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28" s="106"/>
      <c r="S28" s="367"/>
      <c r="T28" s="154" t="str">
        <f>IFERROR(IF(ISBLANK(R28),VLOOKUP(NCH[[#This Row],[CEDULA]],BIO[],7,0),VLOOKUP(NCH[[#This Row],[CEDULA]],BIO[],7,0)),"No tiene huella Biometrico")</f>
        <v>No registró</v>
      </c>
      <c r="U28" s="228" t="str">
        <f>IFERROR(IF(ISBLANK(R28),VLOOKUP(NCH[[#This Row],[CEDULA]],BIO[],8,0),VLOOKUP(NCH[[#This Row],[CEDULA]],BIO[],8,0)),"No tiene huella Biometrico")</f>
        <v>No registró</v>
      </c>
      <c r="V28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28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28" s="106"/>
      <c r="Y28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28" s="154" t="str">
        <f>IFERROR(IF(ISBLANK(X28),VLOOKUP(NCH[[#This Row],[CEDULA]],BIO[],9,0),VLOOKUP(NCH[[#This Row],[CEDULA]],BIO[],9,0)),"No tiene huella Biometrico")</f>
        <v>No Registró</v>
      </c>
      <c r="AA28" s="228" t="str">
        <f>IFERROR(IF(ISBLANK(X28),VLOOKUP(NCH[[#This Row],[CEDULA]],BIO[],10,0),VLOOKUP(NCH[[#This Row],[CEDULA]],BIO[],10,0)),"No tiene huella Biometrico")</f>
        <v>No registró</v>
      </c>
      <c r="AB28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28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28" s="106">
        <v>1</v>
      </c>
      <c r="AE28" s="380">
        <v>1</v>
      </c>
      <c r="AF28" s="154">
        <f>IFERROR(IF(ISBLANK(NCH[G5]),VLOOKUP(NCH[[#This Row],[CEDULA]],BIO[],11,0),VLOOKUP(NCH[[#This Row],[CEDULA]],BIO[],11,0)),"No tiene huella Biometrico")</f>
        <v>0.31086805555555558</v>
      </c>
      <c r="AG28" s="228">
        <f>IFERROR(IF((NCH[G5]),VLOOKUP(NCH[[#This Row],[CEDULA]],BIO[],12,0),VLOOKUP(NCH[[#This Row],[CEDULA]],BIO[],12,0)),"No tiene huella Biometrico")</f>
        <v>0.56767361111111114</v>
      </c>
      <c r="AH28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Cumple H</v>
      </c>
      <c r="AI28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28" s="107"/>
      <c r="AK28" s="369">
        <f>IF(NCH[[#This Row],[RUTA]]="0",NCH[[#This Row],[G6]],IF(AND(NCH[[#This Row],[ENTRADA7]]&lt;&gt;"No Registró",NCH[[#This Row],[SALIDA7]]&lt;&gt;"No Registró"),NCH[[#This Row],[G6]],0))</f>
        <v>0</v>
      </c>
      <c r="AL28" s="154" t="str">
        <f>IFERROR(IF(ISBLANK(NCH[G6]),VLOOKUP(NCH[CEDULA],BIO[],13,0),VLOOKUP(NCH[CEDULA],BIO[],13,0)),"No tiene huella Biometrico")</f>
        <v>No registró</v>
      </c>
      <c r="AM28" s="230" t="str">
        <f>IFERROR(IF((NCH[G6]),VLOOKUP(NCH[[#This Row],[CEDULA]],BIO[],14,0),VLOOKUP(NCH[[#This Row],[CEDULA]],BIO[],14,0)),"No tiene huella Biometrico")</f>
        <v>No registró</v>
      </c>
      <c r="AN28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28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28" s="107"/>
      <c r="AQ28" s="231">
        <f>IF(NCH[[#This Row],[RUTA]]="0",NCH[[#This Row],[G7]],IF(AND(NCH[[#This Row],[ENTRADA8]]&lt;&gt;"No Registró",NCH[[#This Row],[SALIDA8]]&lt;&gt;"No Registró"),NCH[[#This Row],[G7]],0))</f>
        <v>0</v>
      </c>
      <c r="AR28" s="160" t="str">
        <f>IFERROR(IF(ISBLANK(NCH[G7]),VLOOKUP(NCH[CEDULA],BIO[],15,0),VLOOKUP(NCH[CEDULA],BIO[],15,0)),"No tiene huella Biometrico")</f>
        <v>No registró</v>
      </c>
      <c r="AS28" s="230" t="str">
        <f>IFERROR(IF(ISBLANK(NCH[G7]),VLOOKUP(NCH[[#This Row],[CEDULA]],BIO[],16,0),VLOOKUP(NCH[[#This Row],[CEDULA]],BIO[],16,0)),"No tiene huella Biometrico")</f>
        <v>No registró</v>
      </c>
      <c r="AT28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28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28" s="105">
        <f>NCH[[#This Row],[META]]+NCH[[#This Row],[META2]]+NCH[[#This Row],[META3]]</f>
        <v>0</v>
      </c>
      <c r="AW28" s="105">
        <f>NCH[[#This Row],[META4]]+NCH[[#This Row],[META5]]+NCH[[#This Row],[META6]]+NCH[[#This Row],[META7]]</f>
        <v>1</v>
      </c>
      <c r="AX28" s="231">
        <f>NCH[[#This Row],[TOTAL L-V]]+NCH[[#This Row],[TOTAL S-D]]</f>
        <v>1</v>
      </c>
      <c r="AY28" s="232" t="str">
        <f>VLOOKUP(NCH[[#This Row],[CEDULA]],METAS[],20,0)</f>
        <v>Producción  y revisión de lineas celulares para diagnostico de virus dengue</v>
      </c>
      <c r="AZ28" s="232">
        <f>VLOOKUP(NCH[[#This Row],[CEDULA]],METAS[],22,0)</f>
        <v>0</v>
      </c>
    </row>
    <row r="29" spans="1:52" ht="30" x14ac:dyDescent="0.25">
      <c r="A29" s="105">
        <f>IF(NCH[[#This Row],[CEDULA]]&gt;1,0,"")</f>
        <v>0</v>
      </c>
      <c r="B29" s="280">
        <v>6318111</v>
      </c>
      <c r="C29" s="125" t="str">
        <f>VLOOKUP(NCH[[#This Row],[CEDULA]],DATOS[],2,0)</f>
        <v>GARCIA CARLOS</v>
      </c>
      <c r="D29" s="108" t="s">
        <v>868</v>
      </c>
      <c r="E29" s="131" t="str">
        <f>MID(VLOOKUP(NCH[[#This Row],[CEDULA]],DATOS[],10,0),1,1)</f>
        <v/>
      </c>
      <c r="F29" s="106"/>
      <c r="G29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29" s="154">
        <f>IFERROR(IF(ISBLANK(F29),VLOOKUP(NCH[[#This Row],[CEDULA]],BIO[],3,0),VLOOKUP(NCH[[#This Row],[CEDULA]],BIO[],3,0)),"No tiene huella Biometrico")</f>
        <v>0.29351851851851851</v>
      </c>
      <c r="I29" s="228">
        <f>IFERROR(IF(ISBLANK(F29),VLOOKUP(NCH[[#This Row],[CEDULA]],BIO[],4,0),VLOOKUP(NCH[[#This Row],[CEDULA]],BIO[],4,0)),"No tiene huella Biometrico")</f>
        <v>0.55336805555555557</v>
      </c>
      <c r="J29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29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29" s="106"/>
      <c r="M29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29" s="154">
        <f>IFERROR(IF(ISBLANK(L29),VLOOKUP(NCH[[#This Row],[CEDULA]],BIO[],5,0),VLOOKUP(NCH[[#This Row],[CEDULA]],BIO[],5,0)),"No tiene huella Biometrico")</f>
        <v>0.29900462962962965</v>
      </c>
      <c r="O29" s="228">
        <f>IFERROR(IF(ISBLANK(L29),VLOOKUP(NCH[[#This Row],[CEDULA]],BIO[],6,0),VLOOKUP(NCH[[#This Row],[CEDULA]],BIO[],6,0)),"No tiene huella Biometrico")</f>
        <v>0.55359953703703701</v>
      </c>
      <c r="P29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Cumple Horario</v>
      </c>
      <c r="Q29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29" s="106"/>
      <c r="S29" s="367"/>
      <c r="T29" s="154" t="str">
        <f>IFERROR(IF(ISBLANK(R29),VLOOKUP(NCH[[#This Row],[CEDULA]],BIO[],7,0),VLOOKUP(NCH[[#This Row],[CEDULA]],BIO[],7,0)),"No tiene huella Biometrico")</f>
        <v>No registró</v>
      </c>
      <c r="U29" s="228" t="str">
        <f>IFERROR(IF(ISBLANK(R29),VLOOKUP(NCH[[#This Row],[CEDULA]],BIO[],8,0),VLOOKUP(NCH[[#This Row],[CEDULA]],BIO[],8,0)),"No tiene huella Biometrico")</f>
        <v>No registró</v>
      </c>
      <c r="V29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29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29" s="106"/>
      <c r="Y29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29" s="154" t="str">
        <f>IFERROR(IF(ISBLANK(X29),VLOOKUP(NCH[[#This Row],[CEDULA]],BIO[],9,0),VLOOKUP(NCH[[#This Row],[CEDULA]],BIO[],9,0)),"No tiene huella Biometrico")</f>
        <v>No Registró</v>
      </c>
      <c r="AA29" s="228" t="str">
        <f>IFERROR(IF(ISBLANK(X29),VLOOKUP(NCH[[#This Row],[CEDULA]],BIO[],10,0),VLOOKUP(NCH[[#This Row],[CEDULA]],BIO[],10,0)),"No tiene huella Biometrico")</f>
        <v>No registró</v>
      </c>
      <c r="AB29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29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29" s="106">
        <v>1</v>
      </c>
      <c r="AE29" s="380">
        <v>1</v>
      </c>
      <c r="AF29" s="154">
        <f>IFERROR(IF(ISBLANK(NCH[G5]),VLOOKUP(NCH[[#This Row],[CEDULA]],BIO[],11,0),VLOOKUP(NCH[[#This Row],[CEDULA]],BIO[],11,0)),"No tiene huella Biometrico")</f>
        <v>0.32238425925925923</v>
      </c>
      <c r="AG29" s="228">
        <f>IFERROR(IF((NCH[G5]),VLOOKUP(NCH[[#This Row],[CEDULA]],BIO[],12,0),VLOOKUP(NCH[[#This Row],[CEDULA]],BIO[],12,0)),"No tiene huella Biometrico")</f>
        <v>0.55737268518518512</v>
      </c>
      <c r="AH29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Cumple H</v>
      </c>
      <c r="AI29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29" s="107"/>
      <c r="AK29" s="369">
        <f>IF(NCH[[#This Row],[RUTA]]="0",NCH[[#This Row],[G6]],IF(AND(NCH[[#This Row],[ENTRADA7]]&lt;&gt;"No Registró",NCH[[#This Row],[SALIDA7]]&lt;&gt;"No Registró"),NCH[[#This Row],[G6]],0))</f>
        <v>0</v>
      </c>
      <c r="AL29" s="154" t="str">
        <f>IFERROR(IF(ISBLANK(NCH[G6]),VLOOKUP(NCH[CEDULA],BIO[],13,0),VLOOKUP(NCH[CEDULA],BIO[],13,0)),"No tiene huella Biometrico")</f>
        <v>No registró</v>
      </c>
      <c r="AM29" s="230" t="str">
        <f>IFERROR(IF((NCH[G6]),VLOOKUP(NCH[[#This Row],[CEDULA]],BIO[],14,0),VLOOKUP(NCH[[#This Row],[CEDULA]],BIO[],14,0)),"No tiene huella Biometrico")</f>
        <v>No registró</v>
      </c>
      <c r="AN29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29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29" s="107"/>
      <c r="AQ29" s="231">
        <f>IF(NCH[[#This Row],[RUTA]]="0",NCH[[#This Row],[G7]],IF(AND(NCH[[#This Row],[ENTRADA8]]&lt;&gt;"No Registró",NCH[[#This Row],[SALIDA8]]&lt;&gt;"No Registró"),NCH[[#This Row],[G7]],0))</f>
        <v>0</v>
      </c>
      <c r="AR29" s="160" t="str">
        <f>IFERROR(IF(ISBLANK(NCH[G7]),VLOOKUP(NCH[CEDULA],BIO[],15,0),VLOOKUP(NCH[CEDULA],BIO[],15,0)),"No tiene huella Biometrico")</f>
        <v>No registró</v>
      </c>
      <c r="AS29" s="230" t="str">
        <f>IFERROR(IF(ISBLANK(NCH[G7]),VLOOKUP(NCH[[#This Row],[CEDULA]],BIO[],16,0),VLOOKUP(NCH[[#This Row],[CEDULA]],BIO[],16,0)),"No tiene huella Biometrico")</f>
        <v>No registró</v>
      </c>
      <c r="AT29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29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29" s="105">
        <f>NCH[[#This Row],[META]]+NCH[[#This Row],[META2]]+NCH[[#This Row],[META3]]</f>
        <v>0</v>
      </c>
      <c r="AW29" s="105">
        <f>NCH[[#This Row],[META4]]+NCH[[#This Row],[META5]]+NCH[[#This Row],[META6]]+NCH[[#This Row],[META7]]</f>
        <v>1</v>
      </c>
      <c r="AX29" s="231">
        <f>NCH[[#This Row],[TOTAL L-V]]+NCH[[#This Row],[TOTAL S-D]]</f>
        <v>1</v>
      </c>
      <c r="AY29" s="232" t="str">
        <f>VLOOKUP(NCH[[#This Row],[CEDULA]],METAS[],20,0)</f>
        <v>Apoyo en la producción  de lineas celulares para diagnostico de virus dengue</v>
      </c>
      <c r="AZ29" s="232">
        <f>VLOOKUP(NCH[[#This Row],[CEDULA]],METAS[],22,0)</f>
        <v>0</v>
      </c>
    </row>
    <row r="30" spans="1:52" ht="30" x14ac:dyDescent="0.25">
      <c r="A30" s="105">
        <f>IF(NCH[[#This Row],[CEDULA]]&gt;1,0,"")</f>
        <v>0</v>
      </c>
      <c r="B30" s="280">
        <v>33396857</v>
      </c>
      <c r="C30" s="125" t="str">
        <f>VLOOKUP(NCH[[#This Row],[CEDULA]],DATOS[],2,0)</f>
        <v>RIVAS ABDIAS</v>
      </c>
      <c r="D30" s="108" t="s">
        <v>868</v>
      </c>
      <c r="E30" s="131" t="str">
        <f>MID(VLOOKUP(NCH[[#This Row],[CEDULA]],DATOS[],10,0),1,1)</f>
        <v>5</v>
      </c>
      <c r="F30" s="106"/>
      <c r="G30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30" s="154">
        <f>IFERROR(IF(ISBLANK(F30),VLOOKUP(NCH[[#This Row],[CEDULA]],BIO[],3,0),VLOOKUP(NCH[[#This Row],[CEDULA]],BIO[],3,0)),"No tiene huella Biometrico")</f>
        <v>0.28206018518518516</v>
      </c>
      <c r="I30" s="228">
        <f>IFERROR(IF(ISBLANK(F30),VLOOKUP(NCH[[#This Row],[CEDULA]],BIO[],4,0),VLOOKUP(NCH[[#This Row],[CEDULA]],BIO[],4,0)),"No tiene huella Biometrico")</f>
        <v>0.55413194444444447</v>
      </c>
      <c r="J30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30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30" s="106"/>
      <c r="M30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30" s="154">
        <f>IFERROR(IF(ISBLANK(L30),VLOOKUP(NCH[[#This Row],[CEDULA]],BIO[],5,0),VLOOKUP(NCH[[#This Row],[CEDULA]],BIO[],5,0)),"No tiene huella Biometrico")</f>
        <v>0.28196759259259258</v>
      </c>
      <c r="O30" s="228">
        <f>IFERROR(IF(ISBLANK(L30),VLOOKUP(NCH[[#This Row],[CEDULA]],BIO[],6,0),VLOOKUP(NCH[[#This Row],[CEDULA]],BIO[],6,0)),"No tiene huella Biometrico")</f>
        <v>0.55305555555555552</v>
      </c>
      <c r="P30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Cumple Horario</v>
      </c>
      <c r="Q30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30" s="106"/>
      <c r="S30" s="367"/>
      <c r="T30" s="154" t="str">
        <f>IFERROR(IF(ISBLANK(R30),VLOOKUP(NCH[[#This Row],[CEDULA]],BIO[],7,0),VLOOKUP(NCH[[#This Row],[CEDULA]],BIO[],7,0)),"No tiene huella Biometrico")</f>
        <v>No registró</v>
      </c>
      <c r="U30" s="228" t="str">
        <f>IFERROR(IF(ISBLANK(R30),VLOOKUP(NCH[[#This Row],[CEDULA]],BIO[],8,0),VLOOKUP(NCH[[#This Row],[CEDULA]],BIO[],8,0)),"No tiene huella Biometrico")</f>
        <v>No registró</v>
      </c>
      <c r="V30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30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30" s="106"/>
      <c r="Y30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30" s="154" t="str">
        <f>IFERROR(IF(ISBLANK(X30),VLOOKUP(NCH[[#This Row],[CEDULA]],BIO[],9,0),VLOOKUP(NCH[[#This Row],[CEDULA]],BIO[],9,0)),"No tiene huella Biometrico")</f>
        <v>No Registró</v>
      </c>
      <c r="AA30" s="228" t="str">
        <f>IFERROR(IF(ISBLANK(X30),VLOOKUP(NCH[[#This Row],[CEDULA]],BIO[],10,0),VLOOKUP(NCH[[#This Row],[CEDULA]],BIO[],10,0)),"No tiene huella Biometrico")</f>
        <v>No registró</v>
      </c>
      <c r="AB30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30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30" s="106">
        <v>1</v>
      </c>
      <c r="AE30" s="380">
        <v>1</v>
      </c>
      <c r="AF30" s="154">
        <f>IFERROR(IF(ISBLANK(NCH[G5]),VLOOKUP(NCH[[#This Row],[CEDULA]],BIO[],11,0),VLOOKUP(NCH[[#This Row],[CEDULA]],BIO[],11,0)),"No tiene huella Biometrico")</f>
        <v>0.3524768518518519</v>
      </c>
      <c r="AG30" s="228">
        <f>IFERROR(IF((NCH[G5]),VLOOKUP(NCH[[#This Row],[CEDULA]],BIO[],12,0),VLOOKUP(NCH[[#This Row],[CEDULA]],BIO[],12,0)),"No tiene huella Biometrico")</f>
        <v>0.55641203703703701</v>
      </c>
      <c r="AH30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Cumple H</v>
      </c>
      <c r="AI30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30" s="107"/>
      <c r="AK30" s="369">
        <f>IF(NCH[[#This Row],[RUTA]]="0",NCH[[#This Row],[G6]],IF(AND(NCH[[#This Row],[ENTRADA7]]&lt;&gt;"No Registró",NCH[[#This Row],[SALIDA7]]&lt;&gt;"No Registró"),NCH[[#This Row],[G6]],0))</f>
        <v>0</v>
      </c>
      <c r="AL30" s="154" t="str">
        <f>IFERROR(IF(ISBLANK(NCH[G6]),VLOOKUP(NCH[CEDULA],BIO[],13,0),VLOOKUP(NCH[CEDULA],BIO[],13,0)),"No tiene huella Biometrico")</f>
        <v>No registró</v>
      </c>
      <c r="AM30" s="230" t="str">
        <f>IFERROR(IF((NCH[G6]),VLOOKUP(NCH[[#This Row],[CEDULA]],BIO[],14,0),VLOOKUP(NCH[[#This Row],[CEDULA]],BIO[],14,0)),"No tiene huella Biometrico")</f>
        <v>No registró</v>
      </c>
      <c r="AN30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30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30" s="107"/>
      <c r="AQ30" s="231">
        <f>IF(NCH[[#This Row],[RUTA]]="0",NCH[[#This Row],[G7]],IF(AND(NCH[[#This Row],[ENTRADA8]]&lt;&gt;"No Registró",NCH[[#This Row],[SALIDA8]]&lt;&gt;"No Registró"),NCH[[#This Row],[G7]],0))</f>
        <v>0</v>
      </c>
      <c r="AR30" s="160" t="str">
        <f>IFERROR(IF(ISBLANK(NCH[G7]),VLOOKUP(NCH[CEDULA],BIO[],15,0),VLOOKUP(NCH[CEDULA],BIO[],15,0)),"No tiene huella Biometrico")</f>
        <v>No registró</v>
      </c>
      <c r="AS30" s="230" t="str">
        <f>IFERROR(IF(ISBLANK(NCH[G7]),VLOOKUP(NCH[[#This Row],[CEDULA]],BIO[],16,0),VLOOKUP(NCH[[#This Row],[CEDULA]],BIO[],16,0)),"No tiene huella Biometrico")</f>
        <v>No registró</v>
      </c>
      <c r="AT30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30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30" s="105">
        <f>NCH[[#This Row],[META]]+NCH[[#This Row],[META2]]+NCH[[#This Row],[META3]]</f>
        <v>0</v>
      </c>
      <c r="AW30" s="105">
        <f>NCH[[#This Row],[META4]]+NCH[[#This Row],[META5]]+NCH[[#This Row],[META6]]+NCH[[#This Row],[META7]]</f>
        <v>1</v>
      </c>
      <c r="AX30" s="231">
        <f>NCH[[#This Row],[TOTAL L-V]]+NCH[[#This Row],[TOTAL S-D]]</f>
        <v>1</v>
      </c>
      <c r="AY30" s="232" t="str">
        <f>VLOOKUP(NCH[[#This Row],[CEDULA]],METAS[],20,0)</f>
        <v>Apoyo en la producción  de lineas celulares para diagnostico de virus dengue</v>
      </c>
      <c r="AZ30" s="232">
        <f>VLOOKUP(NCH[[#This Row],[CEDULA]],METAS[],22,0)</f>
        <v>0</v>
      </c>
    </row>
    <row r="31" spans="1:52" ht="45" x14ac:dyDescent="0.25">
      <c r="A31" s="105">
        <f>IF(NCH[[#This Row],[CEDULA]]&gt;1,0,"")</f>
        <v>0</v>
      </c>
      <c r="B31" s="280">
        <v>6965462</v>
      </c>
      <c r="C31" s="125" t="str">
        <f>VLOOKUP(NCH[[#This Row],[CEDULA]],DATOS[],2,0)</f>
        <v>QUINTANA ANTONIO</v>
      </c>
      <c r="D31" s="108" t="s">
        <v>870</v>
      </c>
      <c r="E31" s="131" t="str">
        <f>MID(VLOOKUP(NCH[[#This Row],[CEDULA]],DATOS[],10,0),1,1)</f>
        <v/>
      </c>
      <c r="F31" s="106"/>
      <c r="G31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31" s="154">
        <f>IFERROR(IF(ISBLANK(F31),VLOOKUP(NCH[[#This Row],[CEDULA]],BIO[],3,0),VLOOKUP(NCH[[#This Row],[CEDULA]],BIO[],3,0)),"No tiene huella Biometrico")</f>
        <v>0.2777662037037037</v>
      </c>
      <c r="I31" s="228">
        <f>IFERROR(IF(ISBLANK(F31),VLOOKUP(NCH[[#This Row],[CEDULA]],BIO[],4,0),VLOOKUP(NCH[[#This Row],[CEDULA]],BIO[],4,0)),"No tiene huella Biometrico")</f>
        <v>0.55333333333333334</v>
      </c>
      <c r="J31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31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31" s="106"/>
      <c r="M31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31" s="154">
        <f>IFERROR(IF(ISBLANK(L31),VLOOKUP(NCH[[#This Row],[CEDULA]],BIO[],5,0),VLOOKUP(NCH[[#This Row],[CEDULA]],BIO[],5,0)),"No tiene huella Biometrico")</f>
        <v>0.27761574074074075</v>
      </c>
      <c r="O31" s="228">
        <f>IFERROR(IF(ISBLANK(L31),VLOOKUP(NCH[[#This Row],[CEDULA]],BIO[],6,0),VLOOKUP(NCH[[#This Row],[CEDULA]],BIO[],6,0)),"No tiene huella Biometrico")</f>
        <v>0.55262731481481475</v>
      </c>
      <c r="P31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Cumple Horario</v>
      </c>
      <c r="Q31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31" s="106">
        <v>1</v>
      </c>
      <c r="S31" s="379">
        <v>1</v>
      </c>
      <c r="T31" s="154">
        <f>IFERROR(IF(ISBLANK(R31),VLOOKUP(NCH[[#This Row],[CEDULA]],BIO[],7,0),VLOOKUP(NCH[[#This Row],[CEDULA]],BIO[],7,0)),"No tiene huella Biometrico")</f>
        <v>0.38886574074074076</v>
      </c>
      <c r="U31" s="228">
        <f>IFERROR(IF(ISBLANK(R31),VLOOKUP(NCH[[#This Row],[CEDULA]],BIO[],8,0),VLOOKUP(NCH[[#This Row],[CEDULA]],BIO[],8,0)),"No tiene huella Biometrico")</f>
        <v>0.56511574074074067</v>
      </c>
      <c r="V31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Cumple H</v>
      </c>
      <c r="W31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31" s="106"/>
      <c r="Y31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31" s="154" t="str">
        <f>IFERROR(IF(ISBLANK(X31),VLOOKUP(NCH[[#This Row],[CEDULA]],BIO[],9,0),VLOOKUP(NCH[[#This Row],[CEDULA]],BIO[],9,0)),"No tiene huella Biometrico")</f>
        <v>No Registró</v>
      </c>
      <c r="AA31" s="228" t="str">
        <f>IFERROR(IF(ISBLANK(X31),VLOOKUP(NCH[[#This Row],[CEDULA]],BIO[],10,0),VLOOKUP(NCH[[#This Row],[CEDULA]],BIO[],10,0)),"No tiene huella Biometrico")</f>
        <v>No registró</v>
      </c>
      <c r="AB31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31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31" s="106"/>
      <c r="AE31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31" s="154" t="str">
        <f>IFERROR(IF(ISBLANK(NCH[G5]),VLOOKUP(NCH[[#This Row],[CEDULA]],BIO[],11,0),VLOOKUP(NCH[[#This Row],[CEDULA]],BIO[],11,0)),"No tiene huella Biometrico")</f>
        <v>No registró</v>
      </c>
      <c r="AG31" s="228" t="str">
        <f>IFERROR(IF((NCH[G5]),VLOOKUP(NCH[[#This Row],[CEDULA]],BIO[],12,0),VLOOKUP(NCH[[#This Row],[CEDULA]],BIO[],12,0)),"No tiene huella Biometrico")</f>
        <v>No registró</v>
      </c>
      <c r="AH31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31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31" s="107">
        <v>1</v>
      </c>
      <c r="AK31" s="369">
        <f>IF(NCH[[#This Row],[RUTA]]="0",NCH[[#This Row],[G6]],IF(AND(NCH[[#This Row],[ENTRADA7]]&lt;&gt;"No Registró",NCH[[#This Row],[SALIDA7]]&lt;&gt;"No Registró"),NCH[[#This Row],[G6]],0))</f>
        <v>1</v>
      </c>
      <c r="AL31" s="154">
        <f>IFERROR(IF(ISBLANK(NCH[G6]),VLOOKUP(NCH[CEDULA],BIO[],13,0),VLOOKUP(NCH[CEDULA],BIO[],13,0)),"No tiene huella Biometrico")</f>
        <v>0.46741898148148148</v>
      </c>
      <c r="AM31" s="230">
        <f>IFERROR(IF((NCH[G6]),VLOOKUP(NCH[[#This Row],[CEDULA]],BIO[],14,0),VLOOKUP(NCH[[#This Row],[CEDULA]],BIO[],14,0)),"No tiene huella Biometrico")</f>
        <v>0.55561342592592589</v>
      </c>
      <c r="AN31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Cumple H</v>
      </c>
      <c r="AO31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31" s="107"/>
      <c r="AQ31" s="231">
        <f>IF(NCH[[#This Row],[RUTA]]="0",NCH[[#This Row],[G7]],IF(AND(NCH[[#This Row],[ENTRADA8]]&lt;&gt;"No Registró",NCH[[#This Row],[SALIDA8]]&lt;&gt;"No Registró"),NCH[[#This Row],[G7]],0))</f>
        <v>0</v>
      </c>
      <c r="AR31" s="160" t="str">
        <f>IFERROR(IF(ISBLANK(NCH[G7]),VLOOKUP(NCH[CEDULA],BIO[],15,0),VLOOKUP(NCH[CEDULA],BIO[],15,0)),"No tiene huella Biometrico")</f>
        <v>No registró</v>
      </c>
      <c r="AS31" s="230" t="str">
        <f>IFERROR(IF(ISBLANK(NCH[G7]),VLOOKUP(NCH[[#This Row],[CEDULA]],BIO[],16,0),VLOOKUP(NCH[[#This Row],[CEDULA]],BIO[],16,0)),"No tiene huella Biometrico")</f>
        <v>No registró</v>
      </c>
      <c r="AT31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31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31" s="105">
        <f>NCH[[#This Row],[META]]+NCH[[#This Row],[META2]]+NCH[[#This Row],[META3]]</f>
        <v>1</v>
      </c>
      <c r="AW31" s="105">
        <f>NCH[[#This Row],[META4]]+NCH[[#This Row],[META5]]+NCH[[#This Row],[META6]]+NCH[[#This Row],[META7]]</f>
        <v>1</v>
      </c>
      <c r="AX31" s="231">
        <f>NCH[[#This Row],[TOTAL L-V]]+NCH[[#This Row],[TOTAL S-D]]</f>
        <v>2</v>
      </c>
      <c r="AY31" s="232" t="str">
        <f>VLOOKUP(NCH[[#This Row],[CEDULA]],METAS[],20,0)</f>
        <v>1) Supervisión en Materia de Prevención de Riesgos trabajos internos en el área de la cocina (sótano) y comedor (área externa).</v>
      </c>
      <c r="AZ31" s="232">
        <f>VLOOKUP(NCH[[#This Row],[CEDULA]],METAS[],22,0)</f>
        <v>0</v>
      </c>
    </row>
    <row r="32" spans="1:52" ht="30" x14ac:dyDescent="0.25">
      <c r="A32" s="105">
        <f>IF(NCH[[#This Row],[CEDULA]]&gt;1,0,"")</f>
        <v>0</v>
      </c>
      <c r="B32" s="280">
        <v>6040404</v>
      </c>
      <c r="C32" s="125" t="str">
        <f>VLOOKUP(NCH[[#This Row],[CEDULA]],DATOS[],2,0)</f>
        <v>CRISTANCHO CIRO</v>
      </c>
      <c r="D32" s="108" t="s">
        <v>862</v>
      </c>
      <c r="E32" s="131" t="str">
        <f>MID(VLOOKUP(NCH[[#This Row],[CEDULA]],DATOS[],10,0),1,1)</f>
        <v>2</v>
      </c>
      <c r="F32" s="106"/>
      <c r="G32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32" s="154">
        <f>IFERROR(IF(ISBLANK(F32),VLOOKUP(NCH[[#This Row],[CEDULA]],BIO[],3,0),VLOOKUP(NCH[[#This Row],[CEDULA]],BIO[],3,0)),"No tiene huella Biometrico")</f>
        <v>0.26258101851851851</v>
      </c>
      <c r="I32" s="228">
        <f>IFERROR(IF(ISBLANK(F32),VLOOKUP(NCH[[#This Row],[CEDULA]],BIO[],4,0),VLOOKUP(NCH[[#This Row],[CEDULA]],BIO[],4,0)),"No tiene huella Biometrico")</f>
        <v>0.54831018518518515</v>
      </c>
      <c r="J32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Cumple H</v>
      </c>
      <c r="K32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32" s="106"/>
      <c r="M32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32" s="154">
        <f>IFERROR(IF(ISBLANK(L32),VLOOKUP(NCH[[#This Row],[CEDULA]],BIO[],5,0),VLOOKUP(NCH[[#This Row],[CEDULA]],BIO[],5,0)),"No tiene huella Biometrico")</f>
        <v>0.24618055555555554</v>
      </c>
      <c r="O32" s="228">
        <f>IFERROR(IF(ISBLANK(L32),VLOOKUP(NCH[[#This Row],[CEDULA]],BIO[],6,0),VLOOKUP(NCH[[#This Row],[CEDULA]],BIO[],6,0)),"No tiene huella Biometrico")</f>
        <v>0.54537037037037039</v>
      </c>
      <c r="P32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32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32" s="106">
        <v>1</v>
      </c>
      <c r="S32" s="379">
        <v>1</v>
      </c>
      <c r="T32" s="154">
        <f>IFERROR(IF(ISBLANK(R32),VLOOKUP(NCH[[#This Row],[CEDULA]],BIO[],7,0),VLOOKUP(NCH[[#This Row],[CEDULA]],BIO[],7,0)),"No tiene huella Biometrico")</f>
        <v>0.26461805555555556</v>
      </c>
      <c r="U32" s="228">
        <f>IFERROR(IF(ISBLANK(R32),VLOOKUP(NCH[[#This Row],[CEDULA]],BIO[],8,0),VLOOKUP(NCH[[#This Row],[CEDULA]],BIO[],8,0)),"No tiene huella Biometrico")</f>
        <v>0.60621527777777773</v>
      </c>
      <c r="V32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Cumple Horario</v>
      </c>
      <c r="W32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32" s="106"/>
      <c r="Y32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32" s="154" t="str">
        <f>IFERROR(IF(ISBLANK(X32),VLOOKUP(NCH[[#This Row],[CEDULA]],BIO[],9,0),VLOOKUP(NCH[[#This Row],[CEDULA]],BIO[],9,0)),"No tiene huella Biometrico")</f>
        <v>No Registró</v>
      </c>
      <c r="AA32" s="228" t="str">
        <f>IFERROR(IF(ISBLANK(X32),VLOOKUP(NCH[[#This Row],[CEDULA]],BIO[],10,0),VLOOKUP(NCH[[#This Row],[CEDULA]],BIO[],10,0)),"No tiene huella Biometrico")</f>
        <v>No registró</v>
      </c>
      <c r="AB32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32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32" s="106"/>
      <c r="AE32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32" s="154" t="str">
        <f>IFERROR(IF(ISBLANK(NCH[G5]),VLOOKUP(NCH[[#This Row],[CEDULA]],BIO[],11,0),VLOOKUP(NCH[[#This Row],[CEDULA]],BIO[],11,0)),"No tiene huella Biometrico")</f>
        <v>No registró</v>
      </c>
      <c r="AG32" s="228" t="str">
        <f>IFERROR(IF((NCH[G5]),VLOOKUP(NCH[[#This Row],[CEDULA]],BIO[],12,0),VLOOKUP(NCH[[#This Row],[CEDULA]],BIO[],12,0)),"No tiene huella Biometrico")</f>
        <v>No registró</v>
      </c>
      <c r="AH32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32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32" s="107"/>
      <c r="AK32" s="369">
        <f>IF(NCH[[#This Row],[RUTA]]="0",NCH[[#This Row],[G6]],IF(AND(NCH[[#This Row],[ENTRADA7]]&lt;&gt;"No Registró",NCH[[#This Row],[SALIDA7]]&lt;&gt;"No Registró"),NCH[[#This Row],[G6]],0))</f>
        <v>0</v>
      </c>
      <c r="AL32" s="154" t="str">
        <f>IFERROR(IF(ISBLANK(NCH[G6]),VLOOKUP(NCH[CEDULA],BIO[],13,0),VLOOKUP(NCH[CEDULA],BIO[],13,0)),"No tiene huella Biometrico")</f>
        <v>No registró</v>
      </c>
      <c r="AM32" s="230" t="str">
        <f>IFERROR(IF((NCH[G6]),VLOOKUP(NCH[[#This Row],[CEDULA]],BIO[],14,0),VLOOKUP(NCH[[#This Row],[CEDULA]],BIO[],14,0)),"No tiene huella Biometrico")</f>
        <v>No registró</v>
      </c>
      <c r="AN32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32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32" s="107"/>
      <c r="AQ32" s="231">
        <f>IF(NCH[[#This Row],[RUTA]]="0",NCH[[#This Row],[G7]],IF(AND(NCH[[#This Row],[ENTRADA8]]&lt;&gt;"No Registró",NCH[[#This Row],[SALIDA8]]&lt;&gt;"No Registró"),NCH[[#This Row],[G7]],0))</f>
        <v>0</v>
      </c>
      <c r="AR32" s="160" t="str">
        <f>IFERROR(IF(ISBLANK(NCH[G7]),VLOOKUP(NCH[CEDULA],BIO[],15,0),VLOOKUP(NCH[CEDULA],BIO[],15,0)),"No tiene huella Biometrico")</f>
        <v>No registró</v>
      </c>
      <c r="AS32" s="230" t="str">
        <f>IFERROR(IF(ISBLANK(NCH[G7]),VLOOKUP(NCH[[#This Row],[CEDULA]],BIO[],16,0),VLOOKUP(NCH[[#This Row],[CEDULA]],BIO[],16,0)),"No tiene huella Biometrico")</f>
        <v>No registró</v>
      </c>
      <c r="AT32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32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32" s="105">
        <f>NCH[[#This Row],[META]]+NCH[[#This Row],[META2]]+NCH[[#This Row],[META3]]</f>
        <v>1</v>
      </c>
      <c r="AW32" s="105">
        <f>NCH[[#This Row],[META4]]+NCH[[#This Row],[META5]]+NCH[[#This Row],[META6]]+NCH[[#This Row],[META7]]</f>
        <v>0</v>
      </c>
      <c r="AX32" s="231">
        <f>NCH[[#This Row],[TOTAL L-V]]+NCH[[#This Row],[TOTAL S-D]]</f>
        <v>1</v>
      </c>
      <c r="AY32" s="232">
        <f>VLOOKUP(NCH[[#This Row],[CEDULA]],METAS[],20,0)</f>
        <v>0</v>
      </c>
      <c r="AZ32" s="232">
        <f>VLOOKUP(NCH[[#This Row],[CEDULA]],METAS[],22,0)</f>
        <v>0</v>
      </c>
    </row>
    <row r="33" spans="1:52" ht="75" x14ac:dyDescent="0.25">
      <c r="A33" s="105">
        <f>IF(NCH[[#This Row],[CEDULA]]&gt;1,0,"")</f>
        <v>0</v>
      </c>
      <c r="B33" s="280">
        <v>9489511</v>
      </c>
      <c r="C33" s="125" t="str">
        <f>VLOOKUP(NCH[[#This Row],[CEDULA]],DATOS[],2,0)</f>
        <v>FEO LUIS</v>
      </c>
      <c r="D33" s="108" t="s">
        <v>862</v>
      </c>
      <c r="E33" s="131" t="str">
        <f>MID(VLOOKUP(NCH[[#This Row],[CEDULA]],DATOS[],10,0),1,1)</f>
        <v/>
      </c>
      <c r="F33" s="106">
        <v>1</v>
      </c>
      <c r="G33" s="379">
        <v>1</v>
      </c>
      <c r="H33" s="154">
        <f>IFERROR(IF(ISBLANK(F33),VLOOKUP(NCH[[#This Row],[CEDULA]],BIO[],3,0),VLOOKUP(NCH[[#This Row],[CEDULA]],BIO[],3,0)),"No tiene huella Biometrico")</f>
        <v>0.22940972222222222</v>
      </c>
      <c r="I33" s="228">
        <f>IFERROR(IF(ISBLANK(F33),VLOOKUP(NCH[[#This Row],[CEDULA]],BIO[],4,0),VLOOKUP(NCH[[#This Row],[CEDULA]],BIO[],4,0)),"No tiene huella Biometrico")</f>
        <v>0.6318287037037037</v>
      </c>
      <c r="J33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33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cumple H</v>
      </c>
      <c r="L33" s="106">
        <v>1</v>
      </c>
      <c r="M33" s="379">
        <v>1</v>
      </c>
      <c r="N33" s="154">
        <f>IFERROR(IF(ISBLANK(L33),VLOOKUP(NCH[[#This Row],[CEDULA]],BIO[],5,0),VLOOKUP(NCH[[#This Row],[CEDULA]],BIO[],5,0)),"No tiene huella Biometrico")</f>
        <v>0.19925925925925925</v>
      </c>
      <c r="O33" s="228">
        <f>IFERROR(IF(ISBLANK(L33),VLOOKUP(NCH[[#This Row],[CEDULA]],BIO[],6,0),VLOOKUP(NCH[[#This Row],[CEDULA]],BIO[],6,0)),"No tiene huella Biometrico")</f>
        <v>0.63358796296296294</v>
      </c>
      <c r="P33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Cumple Horario</v>
      </c>
      <c r="Q33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cumple H</v>
      </c>
      <c r="R33" s="106">
        <v>1</v>
      </c>
      <c r="S33" s="379">
        <v>1</v>
      </c>
      <c r="T33" s="154" t="str">
        <f>IFERROR(IF(ISBLANK(R33),VLOOKUP(NCH[[#This Row],[CEDULA]],BIO[],7,0),VLOOKUP(NCH[[#This Row],[CEDULA]],BIO[],7,0)),"No tiene huella Biometrico")</f>
        <v>No registró</v>
      </c>
      <c r="U33" s="228" t="str">
        <f>IFERROR(IF(ISBLANK(R33),VLOOKUP(NCH[[#This Row],[CEDULA]],BIO[],8,0),VLOOKUP(NCH[[#This Row],[CEDULA]],BIO[],8,0)),"No tiene huella Biometrico")</f>
        <v>No registró</v>
      </c>
      <c r="V33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33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33" s="106">
        <v>1</v>
      </c>
      <c r="Y33" s="380">
        <v>1</v>
      </c>
      <c r="Z33" s="154" t="str">
        <f>IFERROR(IF(ISBLANK(X33),VLOOKUP(NCH[[#This Row],[CEDULA]],BIO[],9,0),VLOOKUP(NCH[[#This Row],[CEDULA]],BIO[],9,0)),"No tiene huella Biometrico")</f>
        <v>No Registró</v>
      </c>
      <c r="AA33" s="228" t="str">
        <f>IFERROR(IF(ISBLANK(X33),VLOOKUP(NCH[[#This Row],[CEDULA]],BIO[],10,0),VLOOKUP(NCH[[#This Row],[CEDULA]],BIO[],10,0)),"No tiene huella Biometrico")</f>
        <v>No registró</v>
      </c>
      <c r="AB33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33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33" s="106">
        <v>1</v>
      </c>
      <c r="AE33" s="380">
        <v>1</v>
      </c>
      <c r="AF33" s="154" t="str">
        <f>IFERROR(IF(ISBLANK(NCH[G5]),VLOOKUP(NCH[[#This Row],[CEDULA]],BIO[],11,0),VLOOKUP(NCH[[#This Row],[CEDULA]],BIO[],11,0)),"No tiene huella Biometrico")</f>
        <v>No registró</v>
      </c>
      <c r="AG33" s="228" t="str">
        <f>IFERROR(IF((NCH[G5]),VLOOKUP(NCH[[#This Row],[CEDULA]],BIO[],12,0),VLOOKUP(NCH[[#This Row],[CEDULA]],BIO[],12,0)),"No tiene huella Biometrico")</f>
        <v>No registró</v>
      </c>
      <c r="AH33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33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33" s="107"/>
      <c r="AK33" s="369">
        <f>IF(NCH[[#This Row],[RUTA]]="0",NCH[[#This Row],[G6]],IF(AND(NCH[[#This Row],[ENTRADA7]]&lt;&gt;"No Registró",NCH[[#This Row],[SALIDA7]]&lt;&gt;"No Registró"),NCH[[#This Row],[G6]],0))</f>
        <v>0</v>
      </c>
      <c r="AL33" s="154">
        <f>IFERROR(IF(ISBLANK(NCH[G6]),VLOOKUP(NCH[CEDULA],BIO[],13,0),VLOOKUP(NCH[CEDULA],BIO[],13,0)),"No tiene huella Biometrico")</f>
        <v>0.31886574074074076</v>
      </c>
      <c r="AM33" s="230">
        <f>IFERROR(IF((NCH[G6]),VLOOKUP(NCH[[#This Row],[CEDULA]],BIO[],14,0),VLOOKUP(NCH[[#This Row],[CEDULA]],BIO[],14,0)),"No tiene huella Biometrico")</f>
        <v>0.5184375</v>
      </c>
      <c r="AN33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Cumple H</v>
      </c>
      <c r="AO33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realizo Metas</v>
      </c>
      <c r="AP33" s="107"/>
      <c r="AQ33" s="231">
        <f>IF(NCH[[#This Row],[RUTA]]="0",NCH[[#This Row],[G7]],IF(AND(NCH[[#This Row],[ENTRADA8]]&lt;&gt;"No Registró",NCH[[#This Row],[SALIDA8]]&lt;&gt;"No Registró"),NCH[[#This Row],[G7]],0))</f>
        <v>0</v>
      </c>
      <c r="AR33" s="160" t="str">
        <f>IFERROR(IF(ISBLANK(NCH[G7]),VLOOKUP(NCH[CEDULA],BIO[],15,0),VLOOKUP(NCH[CEDULA],BIO[],15,0)),"No tiene huella Biometrico")</f>
        <v>No registró</v>
      </c>
      <c r="AS33" s="230" t="str">
        <f>IFERROR(IF(ISBLANK(NCH[G7]),VLOOKUP(NCH[[#This Row],[CEDULA]],BIO[],16,0),VLOOKUP(NCH[[#This Row],[CEDULA]],BIO[],16,0)),"No tiene huella Biometrico")</f>
        <v>No registró</v>
      </c>
      <c r="AT33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33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33" s="105">
        <f>NCH[[#This Row],[META]]+NCH[[#This Row],[META2]]+NCH[[#This Row],[META3]]</f>
        <v>3</v>
      </c>
      <c r="AW33" s="105">
        <f>NCH[[#This Row],[META4]]+NCH[[#This Row],[META5]]+NCH[[#This Row],[META6]]+NCH[[#This Row],[META7]]</f>
        <v>2</v>
      </c>
      <c r="AX33" s="231">
        <f>NCH[[#This Row],[TOTAL L-V]]+NCH[[#This Row],[TOTAL S-D]]</f>
        <v>5</v>
      </c>
      <c r="AY33" s="232" t="str">
        <f>VLOOKUP(NCH[[#This Row],[CEDULA]],METAS[],20,0)</f>
        <v>bUSCAR Y LLEVAR AL PERSONAL DE GUARDIA  DE LUNES A SABADO EN LOS AUTOBUSES Y  EN LAS CAMIONETAS, PRESTAR APOYO EN TODAS LAS OPERACIONES QUE REQUIERE LA INSTITUCION DE LUNES A DOMINGO. LAS ACTIVIDADES SON RECURRENTE</v>
      </c>
      <c r="AZ33" s="232" t="str">
        <f>VLOOKUP(NCH[[#This Row],[CEDULA]],METAS[],22,0)</f>
        <v>Por asuelto de semana santa realizo las guardias desde su casa por cualquier eventualidad que se presentara</v>
      </c>
    </row>
    <row r="34" spans="1:52" ht="75" x14ac:dyDescent="0.25">
      <c r="A34" s="105">
        <f>IF(NCH[[#This Row],[CEDULA]]&gt;1,0,"")</f>
        <v>0</v>
      </c>
      <c r="B34" s="280">
        <v>11921508</v>
      </c>
      <c r="C34" s="125" t="str">
        <f>VLOOKUP(NCH[[#This Row],[CEDULA]],DATOS[],2,0)</f>
        <v>MARTINEZ JAVIER</v>
      </c>
      <c r="D34" s="108" t="s">
        <v>862</v>
      </c>
      <c r="E34" s="131" t="str">
        <f>MID(VLOOKUP(NCH[[#This Row],[CEDULA]],DATOS[],10,0),1,1)</f>
        <v/>
      </c>
      <c r="F34" s="106">
        <v>1</v>
      </c>
      <c r="G34" s="379">
        <v>1</v>
      </c>
      <c r="H34" s="154">
        <f>IFERROR(IF(ISBLANK(F34),VLOOKUP(NCH[[#This Row],[CEDULA]],BIO[],3,0),VLOOKUP(NCH[[#This Row],[CEDULA]],BIO[],3,0)),"No tiene huella Biometrico")</f>
        <v>0.2273263888888889</v>
      </c>
      <c r="I34" s="228">
        <f>IFERROR(IF(ISBLANK(F34),VLOOKUP(NCH[[#This Row],[CEDULA]],BIO[],4,0),VLOOKUP(NCH[[#This Row],[CEDULA]],BIO[],4,0)),"No tiene huella Biometrico")</f>
        <v>0.61131944444444442</v>
      </c>
      <c r="J34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34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cumple H</v>
      </c>
      <c r="L34" s="106">
        <v>1</v>
      </c>
      <c r="M34" s="379">
        <v>1</v>
      </c>
      <c r="N34" s="154">
        <f>IFERROR(IF(ISBLANK(L34),VLOOKUP(NCH[[#This Row],[CEDULA]],BIO[],5,0),VLOOKUP(NCH[[#This Row],[CEDULA]],BIO[],5,0)),"No tiene huella Biometrico")</f>
        <v>0.22613425925925926</v>
      </c>
      <c r="O34" s="228">
        <f>IFERROR(IF(ISBLANK(L34),VLOOKUP(NCH[[#This Row],[CEDULA]],BIO[],6,0),VLOOKUP(NCH[[#This Row],[CEDULA]],BIO[],6,0)),"No tiene huella Biometrico")</f>
        <v>0.63168981481481479</v>
      </c>
      <c r="P34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Cumple Horario</v>
      </c>
      <c r="Q34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cumple H</v>
      </c>
      <c r="R34" s="106"/>
      <c r="S34" s="367"/>
      <c r="T34" s="154" t="str">
        <f>IFERROR(IF(ISBLANK(R34),VLOOKUP(NCH[[#This Row],[CEDULA]],BIO[],7,0),VLOOKUP(NCH[[#This Row],[CEDULA]],BIO[],7,0)),"No tiene huella Biometrico")</f>
        <v>No registró</v>
      </c>
      <c r="U34" s="228" t="str">
        <f>IFERROR(IF(ISBLANK(R34),VLOOKUP(NCH[[#This Row],[CEDULA]],BIO[],8,0),VLOOKUP(NCH[[#This Row],[CEDULA]],BIO[],8,0)),"No tiene huella Biometrico")</f>
        <v>No registró</v>
      </c>
      <c r="V34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34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34" s="106"/>
      <c r="Y34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34" s="154" t="str">
        <f>IFERROR(IF(ISBLANK(X34),VLOOKUP(NCH[[#This Row],[CEDULA]],BIO[],9,0),VLOOKUP(NCH[[#This Row],[CEDULA]],BIO[],9,0)),"No tiene huella Biometrico")</f>
        <v>No Registró</v>
      </c>
      <c r="AA34" s="228" t="str">
        <f>IFERROR(IF(ISBLANK(X34),VLOOKUP(NCH[[#This Row],[CEDULA]],BIO[],10,0),VLOOKUP(NCH[[#This Row],[CEDULA]],BIO[],10,0)),"No tiene huella Biometrico")</f>
        <v>No registró</v>
      </c>
      <c r="AB34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34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34" s="106"/>
      <c r="AE34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34" s="154" t="str">
        <f>IFERROR(IF(ISBLANK(NCH[G5]),VLOOKUP(NCH[[#This Row],[CEDULA]],BIO[],11,0),VLOOKUP(NCH[[#This Row],[CEDULA]],BIO[],11,0)),"No tiene huella Biometrico")</f>
        <v>No registró</v>
      </c>
      <c r="AG34" s="228" t="str">
        <f>IFERROR(IF((NCH[G5]),VLOOKUP(NCH[[#This Row],[CEDULA]],BIO[],12,0),VLOOKUP(NCH[[#This Row],[CEDULA]],BIO[],12,0)),"No tiene huella Biometrico")</f>
        <v>No registró</v>
      </c>
      <c r="AH34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34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34" s="107"/>
      <c r="AK34" s="369">
        <f>IF(NCH[[#This Row],[RUTA]]="0",NCH[[#This Row],[G6]],IF(AND(NCH[[#This Row],[ENTRADA7]]&lt;&gt;"No Registró",NCH[[#This Row],[SALIDA7]]&lt;&gt;"No Registró"),NCH[[#This Row],[G6]],0))</f>
        <v>0</v>
      </c>
      <c r="AL34" s="154" t="str">
        <f>IFERROR(IF(ISBLANK(NCH[G6]),VLOOKUP(NCH[CEDULA],BIO[],13,0),VLOOKUP(NCH[CEDULA],BIO[],13,0)),"No tiene huella Biometrico")</f>
        <v>No registró</v>
      </c>
      <c r="AM34" s="230" t="str">
        <f>IFERROR(IF((NCH[G6]),VLOOKUP(NCH[[#This Row],[CEDULA]],BIO[],14,0),VLOOKUP(NCH[[#This Row],[CEDULA]],BIO[],14,0)),"No tiene huella Biometrico")</f>
        <v>No registró</v>
      </c>
      <c r="AN34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34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34" s="107">
        <v>1</v>
      </c>
      <c r="AQ34" s="231">
        <f>IF(NCH[[#This Row],[RUTA]]="0",NCH[[#This Row],[G7]],IF(AND(NCH[[#This Row],[ENTRADA8]]&lt;&gt;"No Registró",NCH[[#This Row],[SALIDA8]]&lt;&gt;"No Registró"),NCH[[#This Row],[G7]],0))</f>
        <v>1</v>
      </c>
      <c r="AR34" s="160">
        <f>IFERROR(IF(ISBLANK(NCH[G7]),VLOOKUP(NCH[CEDULA],BIO[],15,0),VLOOKUP(NCH[CEDULA],BIO[],15,0)),"No tiene huella Biometrico")</f>
        <v>0.57105324074074071</v>
      </c>
      <c r="AS34" s="230">
        <f>IFERROR(IF(ISBLANK(NCH[G7]),VLOOKUP(NCH[[#This Row],[CEDULA]],BIO[],16,0),VLOOKUP(NCH[[#This Row],[CEDULA]],BIO[],16,0)),"No tiene huella Biometrico")</f>
        <v>0.57120370370370377</v>
      </c>
      <c r="AT34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Cumple H</v>
      </c>
      <c r="AU34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34" s="105">
        <f>NCH[[#This Row],[META]]+NCH[[#This Row],[META2]]+NCH[[#This Row],[META3]]</f>
        <v>2</v>
      </c>
      <c r="AW34" s="105">
        <f>NCH[[#This Row],[META4]]+NCH[[#This Row],[META5]]+NCH[[#This Row],[META6]]+NCH[[#This Row],[META7]]</f>
        <v>1</v>
      </c>
      <c r="AX34" s="231">
        <f>NCH[[#This Row],[TOTAL L-V]]+NCH[[#This Row],[TOTAL S-D]]</f>
        <v>3</v>
      </c>
      <c r="AY34" s="232" t="str">
        <f>VLOOKUP(NCH[[#This Row],[CEDULA]],METAS[],20,0)</f>
        <v>bUSCAR Y LLEVAR AL PERSONAL DE GUARDIA  DE LUNES A SABADO EN LOS AUTOBUSES Y  EN LAS CAMIONETAS, PRESTAR APOYO EN TODAS LAS OPERACIONES QUE REQUIERE LA INSTITUCION DE LUNES A DOMINGO. LAS ACTIVIDADES SON RECURRENTE</v>
      </c>
      <c r="AZ34" s="232" t="str">
        <f>VLOOKUP(NCH[[#This Row],[CEDULA]],METAS[],22,0)</f>
        <v xml:space="preserve">Guardias resagadas desde el dia 07 al 11 de abril de 2025 </v>
      </c>
    </row>
    <row r="35" spans="1:52" ht="45" x14ac:dyDescent="0.25">
      <c r="A35" s="105">
        <f>IF(NCH[[#This Row],[CEDULA]]&gt;1,0,"")</f>
        <v>0</v>
      </c>
      <c r="B35" s="280">
        <v>11994919</v>
      </c>
      <c r="C35" s="125" t="str">
        <f>VLOOKUP(NCH[[#This Row],[CEDULA]],DATOS[],2,0)</f>
        <v>DIAZ JORGE</v>
      </c>
      <c r="D35" s="108" t="s">
        <v>862</v>
      </c>
      <c r="E35" s="131" t="str">
        <f>MID(VLOOKUP(NCH[[#This Row],[CEDULA]],DATOS[],10,0),1,1)</f>
        <v>2</v>
      </c>
      <c r="F35" s="106">
        <v>1</v>
      </c>
      <c r="G35" s="379">
        <v>1</v>
      </c>
      <c r="H35" s="154">
        <f>IFERROR(IF(ISBLANK(F35),VLOOKUP(NCH[[#This Row],[CEDULA]],BIO[],3,0),VLOOKUP(NCH[[#This Row],[CEDULA]],BIO[],3,0)),"No tiene huella Biometrico")</f>
        <v>0.29689814814814813</v>
      </c>
      <c r="I35" s="228">
        <f>IFERROR(IF(ISBLANK(F35),VLOOKUP(NCH[[#This Row],[CEDULA]],BIO[],4,0),VLOOKUP(NCH[[#This Row],[CEDULA]],BIO[],4,0)),"No tiene huella Biometrico")</f>
        <v>0.52614583333333331</v>
      </c>
      <c r="J35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Cumple H</v>
      </c>
      <c r="K35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cumple H</v>
      </c>
      <c r="L35" s="106"/>
      <c r="M35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35" s="154">
        <f>IFERROR(IF(ISBLANK(L35),VLOOKUP(NCH[[#This Row],[CEDULA]],BIO[],5,0),VLOOKUP(NCH[[#This Row],[CEDULA]],BIO[],5,0)),"No tiene huella Biometrico")</f>
        <v>0.28563657407407406</v>
      </c>
      <c r="O35" s="228" t="str">
        <f>IFERROR(IF(ISBLANK(L35),VLOOKUP(NCH[[#This Row],[CEDULA]],BIO[],6,0),VLOOKUP(NCH[[#This Row],[CEDULA]],BIO[],6,0)),"No tiene huella Biometrico")</f>
        <v>No Registró</v>
      </c>
      <c r="P35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registro salida</v>
      </c>
      <c r="Q35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cumple H</v>
      </c>
      <c r="R35" s="106"/>
      <c r="S35" s="367"/>
      <c r="T35" s="154" t="str">
        <f>IFERROR(IF(ISBLANK(R35),VLOOKUP(NCH[[#This Row],[CEDULA]],BIO[],7,0),VLOOKUP(NCH[[#This Row],[CEDULA]],BIO[],7,0)),"No tiene huella Biometrico")</f>
        <v>No registró</v>
      </c>
      <c r="U35" s="228" t="str">
        <f>IFERROR(IF(ISBLANK(R35),VLOOKUP(NCH[[#This Row],[CEDULA]],BIO[],8,0),VLOOKUP(NCH[[#This Row],[CEDULA]],BIO[],8,0)),"No tiene huella Biometrico")</f>
        <v>No registró</v>
      </c>
      <c r="V35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35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35" s="106"/>
      <c r="Y35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35" s="154" t="str">
        <f>IFERROR(IF(ISBLANK(X35),VLOOKUP(NCH[[#This Row],[CEDULA]],BIO[],9,0),VLOOKUP(NCH[[#This Row],[CEDULA]],BIO[],9,0)),"No tiene huella Biometrico")</f>
        <v>No Registró</v>
      </c>
      <c r="AA35" s="228" t="str">
        <f>IFERROR(IF(ISBLANK(X35),VLOOKUP(NCH[[#This Row],[CEDULA]],BIO[],10,0),VLOOKUP(NCH[[#This Row],[CEDULA]],BIO[],10,0)),"No tiene huella Biometrico")</f>
        <v>No registró</v>
      </c>
      <c r="AB35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35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35" s="106">
        <v>1</v>
      </c>
      <c r="AE35" s="380">
        <v>1</v>
      </c>
      <c r="AF35" s="154">
        <f>IFERROR(IF(ISBLANK(NCH[G5]),VLOOKUP(NCH[[#This Row],[CEDULA]],BIO[],11,0),VLOOKUP(NCH[[#This Row],[CEDULA]],BIO[],11,0)),"No tiene huella Biometrico")</f>
        <v>0.32489583333333333</v>
      </c>
      <c r="AG35" s="228" t="str">
        <f>IFERROR(IF((NCH[G5]),VLOOKUP(NCH[[#This Row],[CEDULA]],BIO[],12,0),VLOOKUP(NCH[[#This Row],[CEDULA]],BIO[],12,0)),"No tiene huella Biometrico")</f>
        <v>No registró</v>
      </c>
      <c r="AH35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salida</v>
      </c>
      <c r="AI35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35" s="107"/>
      <c r="AK35" s="369">
        <f>IF(NCH[[#This Row],[RUTA]]="0",NCH[[#This Row],[G6]],IF(AND(NCH[[#This Row],[ENTRADA7]]&lt;&gt;"No Registró",NCH[[#This Row],[SALIDA7]]&lt;&gt;"No Registró"),NCH[[#This Row],[G6]],0))</f>
        <v>0</v>
      </c>
      <c r="AL35" s="154">
        <f>IFERROR(IF(ISBLANK(NCH[G6]),VLOOKUP(NCH[CEDULA],BIO[],13,0),VLOOKUP(NCH[CEDULA],BIO[],13,0)),"No tiene huella Biometrico")</f>
        <v>0.29494212962962962</v>
      </c>
      <c r="AM35" s="230" t="str">
        <f>IFERROR(IF((NCH[G6]),VLOOKUP(NCH[[#This Row],[CEDULA]],BIO[],14,0),VLOOKUP(NCH[[#This Row],[CEDULA]],BIO[],14,0)),"No tiene huella Biometrico")</f>
        <v>No registró</v>
      </c>
      <c r="AN35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salida</v>
      </c>
      <c r="AO35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35" s="107"/>
      <c r="AQ35" s="231">
        <f>IF(NCH[[#This Row],[RUTA]]="0",NCH[[#This Row],[G7]],IF(AND(NCH[[#This Row],[ENTRADA8]]&lt;&gt;"No Registró",NCH[[#This Row],[SALIDA8]]&lt;&gt;"No Registró"),NCH[[#This Row],[G7]],0))</f>
        <v>0</v>
      </c>
      <c r="AR35" s="160" t="str">
        <f>IFERROR(IF(ISBLANK(NCH[G7]),VLOOKUP(NCH[CEDULA],BIO[],15,0),VLOOKUP(NCH[CEDULA],BIO[],15,0)),"No tiene huella Biometrico")</f>
        <v>No registró</v>
      </c>
      <c r="AS35" s="230" t="str">
        <f>IFERROR(IF(ISBLANK(NCH[G7]),VLOOKUP(NCH[[#This Row],[CEDULA]],BIO[],16,0),VLOOKUP(NCH[[#This Row],[CEDULA]],BIO[],16,0)),"No tiene huella Biometrico")</f>
        <v>No registró</v>
      </c>
      <c r="AT35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35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35" s="105">
        <f>NCH[[#This Row],[META]]+NCH[[#This Row],[META2]]+NCH[[#This Row],[META3]]</f>
        <v>1</v>
      </c>
      <c r="AW35" s="105">
        <f>NCH[[#This Row],[META4]]+NCH[[#This Row],[META5]]+NCH[[#This Row],[META6]]+NCH[[#This Row],[META7]]</f>
        <v>1</v>
      </c>
      <c r="AX35" s="231">
        <f>NCH[[#This Row],[TOTAL L-V]]+NCH[[#This Row],[TOTAL S-D]]</f>
        <v>2</v>
      </c>
      <c r="AY35" s="232" t="str">
        <f>VLOOKUP(NCH[[#This Row],[CEDULA]],METAS[],20,0)</f>
        <v>MONTAR GUARDIASDIURNAS Y NOCTURNAS, TODO LOS DIAS EN SUS RESPECTIVOS PUESTOS Y ESTAN DISTRIBUIDOS EN 4 GRUPOS , LAS ACTIVIDADES SON RECURRENTE</v>
      </c>
      <c r="AZ35" s="232">
        <f>VLOOKUP(NCH[[#This Row],[CEDULA]],METAS[],22,0)</f>
        <v>0</v>
      </c>
    </row>
    <row r="36" spans="1:52" ht="45" x14ac:dyDescent="0.25">
      <c r="A36" s="105">
        <f>IF(NCH[[#This Row],[CEDULA]]&gt;1,0,"")</f>
        <v>0</v>
      </c>
      <c r="B36" s="295">
        <v>9062557</v>
      </c>
      <c r="C36" s="125" t="str">
        <f>VLOOKUP(NCH[[#This Row],[CEDULA]],DATOS[],2,0)</f>
        <v>GOMEZ SILFREDO</v>
      </c>
      <c r="D36" s="108" t="s">
        <v>862</v>
      </c>
      <c r="E36" s="131" t="str">
        <f>MID(VLOOKUP(NCH[[#This Row],[CEDULA]],DATOS[],10,0),1,1)</f>
        <v>1</v>
      </c>
      <c r="F36" s="106"/>
      <c r="G36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36" s="154" t="str">
        <f>IFERROR(IF(ISBLANK(F36),VLOOKUP(NCH[[#This Row],[CEDULA]],BIO[],3,0),VLOOKUP(NCH[[#This Row],[CEDULA]],BIO[],3,0)),"No tiene huella Biometrico")</f>
        <v>No registró</v>
      </c>
      <c r="I36" s="228" t="str">
        <f>IFERROR(IF(ISBLANK(F36),VLOOKUP(NCH[[#This Row],[CEDULA]],BIO[],4,0),VLOOKUP(NCH[[#This Row],[CEDULA]],BIO[],4,0)),"No tiene huella Biometrico")</f>
        <v>No registró</v>
      </c>
      <c r="J36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registro Biometrico</v>
      </c>
      <c r="K36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cumple H</v>
      </c>
      <c r="L36" s="106">
        <v>1</v>
      </c>
      <c r="M36" s="379">
        <v>1</v>
      </c>
      <c r="N36" s="154">
        <f>IFERROR(IF(ISBLANK(L36),VLOOKUP(NCH[[#This Row],[CEDULA]],BIO[],5,0),VLOOKUP(NCH[[#This Row],[CEDULA]],BIO[],5,0)),"No tiene huella Biometrico")</f>
        <v>0.27875</v>
      </c>
      <c r="O36" s="228">
        <f>IFERROR(IF(ISBLANK(L36),VLOOKUP(NCH[[#This Row],[CEDULA]],BIO[],6,0),VLOOKUP(NCH[[#This Row],[CEDULA]],BIO[],6,0)),"No tiene huella Biometrico")</f>
        <v>0.66031249999999997</v>
      </c>
      <c r="P36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Cumple Horario</v>
      </c>
      <c r="Q36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cumple H</v>
      </c>
      <c r="R36" s="106"/>
      <c r="S36" s="367"/>
      <c r="T36" s="154">
        <f>IFERROR(IF(ISBLANK(R36),VLOOKUP(NCH[[#This Row],[CEDULA]],BIO[],7,0),VLOOKUP(NCH[[#This Row],[CEDULA]],BIO[],7,0)),"No tiene huella Biometrico")</f>
        <v>0.28461805555555558</v>
      </c>
      <c r="U36" s="228" t="str">
        <f>IFERROR(IF(ISBLANK(R36),VLOOKUP(NCH[[#This Row],[CEDULA]],BIO[],8,0),VLOOKUP(NCH[[#This Row],[CEDULA]],BIO[],8,0)),"No tiene huella Biometrico")</f>
        <v>No registró</v>
      </c>
      <c r="V36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salida</v>
      </c>
      <c r="W36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36" s="106"/>
      <c r="Y36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36" s="154" t="str">
        <f>IFERROR(IF(ISBLANK(X36),VLOOKUP(NCH[[#This Row],[CEDULA]],BIO[],9,0),VLOOKUP(NCH[[#This Row],[CEDULA]],BIO[],9,0)),"No tiene huella Biometrico")</f>
        <v>No Registró</v>
      </c>
      <c r="AA36" s="228" t="str">
        <f>IFERROR(IF(ISBLANK(X36),VLOOKUP(NCH[[#This Row],[CEDULA]],BIO[],10,0),VLOOKUP(NCH[[#This Row],[CEDULA]],BIO[],10,0)),"No tiene huella Biometrico")</f>
        <v>No registró</v>
      </c>
      <c r="AB36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36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36" s="106"/>
      <c r="AE36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36" s="154" t="str">
        <f>IFERROR(IF(ISBLANK(NCH[G5]),VLOOKUP(NCH[[#This Row],[CEDULA]],BIO[],11,0),VLOOKUP(NCH[[#This Row],[CEDULA]],BIO[],11,0)),"No tiene huella Biometrico")</f>
        <v>No registró</v>
      </c>
      <c r="AG36" s="228" t="str">
        <f>IFERROR(IF((NCH[G5]),VLOOKUP(NCH[[#This Row],[CEDULA]],BIO[],12,0),VLOOKUP(NCH[[#This Row],[CEDULA]],BIO[],12,0)),"No tiene huella Biometrico")</f>
        <v>No registró</v>
      </c>
      <c r="AH36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36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36" s="107">
        <v>1</v>
      </c>
      <c r="AK36" s="369">
        <f>IF(NCH[[#This Row],[RUTA]]="0",NCH[[#This Row],[G6]],IF(AND(NCH[[#This Row],[ENTRADA7]]&lt;&gt;"No Registró",NCH[[#This Row],[SALIDA7]]&lt;&gt;"No Registró"),NCH[[#This Row],[G6]],0))</f>
        <v>1</v>
      </c>
      <c r="AL36" s="154">
        <f>IFERROR(IF(ISBLANK(NCH[G6]),VLOOKUP(NCH[CEDULA],BIO[],13,0),VLOOKUP(NCH[CEDULA],BIO[],13,0)),"No tiene huella Biometrico")</f>
        <v>0.30199074074074073</v>
      </c>
      <c r="AM36" s="230">
        <f>IFERROR(IF((NCH[G6]),VLOOKUP(NCH[[#This Row],[CEDULA]],BIO[],14,0),VLOOKUP(NCH[[#This Row],[CEDULA]],BIO[],14,0)),"No tiene huella Biometrico")</f>
        <v>0.33737268518518521</v>
      </c>
      <c r="AN36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Cumple H</v>
      </c>
      <c r="AO36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36" s="107"/>
      <c r="AQ36" s="231">
        <f>IF(NCH[[#This Row],[RUTA]]="0",NCH[[#This Row],[G7]],IF(AND(NCH[[#This Row],[ENTRADA8]]&lt;&gt;"No Registró",NCH[[#This Row],[SALIDA8]]&lt;&gt;"No Registró"),NCH[[#This Row],[G7]],0))</f>
        <v>0</v>
      </c>
      <c r="AR36" s="160">
        <f>IFERROR(IF(ISBLANK(NCH[G7]),VLOOKUP(NCH[CEDULA],BIO[],15,0),VLOOKUP(NCH[CEDULA],BIO[],15,0)),"No tiene huella Biometrico")</f>
        <v>0.28817129629629629</v>
      </c>
      <c r="AS36" s="230" t="str">
        <f>IFERROR(IF(ISBLANK(NCH[G7]),VLOOKUP(NCH[[#This Row],[CEDULA]],BIO[],16,0),VLOOKUP(NCH[[#This Row],[CEDULA]],BIO[],16,0)),"No tiene huella Biometrico")</f>
        <v>No registró</v>
      </c>
      <c r="AT36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salida</v>
      </c>
      <c r="AU36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36" s="105">
        <f>NCH[[#This Row],[META]]+NCH[[#This Row],[META2]]+NCH[[#This Row],[META3]]</f>
        <v>1</v>
      </c>
      <c r="AW36" s="105">
        <f>NCH[[#This Row],[META4]]+NCH[[#This Row],[META5]]+NCH[[#This Row],[META6]]+NCH[[#This Row],[META7]]</f>
        <v>1</v>
      </c>
      <c r="AX36" s="231">
        <f>NCH[[#This Row],[TOTAL L-V]]+NCH[[#This Row],[TOTAL S-D]]</f>
        <v>2</v>
      </c>
      <c r="AY36" s="232" t="str">
        <f>VLOOKUP(NCH[[#This Row],[CEDULA]],METAS[],20,0)</f>
        <v>MONTAR GUARDIAS DIURNAS, TODO LOS DIAS EN SUS RESPECTIVOS PUESTOS Y ESTAN DISTRIBUIDOS EN 4 GRUPOS , LAS ACTIVIDADES SON RECURRENTE</v>
      </c>
      <c r="AZ36" s="232">
        <f>VLOOKUP(NCH[[#This Row],[CEDULA]],METAS[],22,0)</f>
        <v>0</v>
      </c>
    </row>
    <row r="37" spans="1:52" ht="45" x14ac:dyDescent="0.25">
      <c r="A37" s="105">
        <f>IF(NCH[[#This Row],[CEDULA]]&gt;1,0,"")</f>
        <v>0</v>
      </c>
      <c r="B37" s="280">
        <v>4854896</v>
      </c>
      <c r="C37" s="125" t="str">
        <f>VLOOKUP(NCH[[#This Row],[CEDULA]],DATOS[],2,0)</f>
        <v>PENA ENRIQUE</v>
      </c>
      <c r="D37" s="108" t="s">
        <v>862</v>
      </c>
      <c r="E37" s="131" t="str">
        <f>MID(VLOOKUP(NCH[[#This Row],[CEDULA]],DATOS[],10,0),1,1)</f>
        <v>3</v>
      </c>
      <c r="F37" s="106"/>
      <c r="G37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37" s="154" t="str">
        <f>IFERROR(IF(ISBLANK(F37),VLOOKUP(NCH[[#This Row],[CEDULA]],BIO[],3,0),VLOOKUP(NCH[[#This Row],[CEDULA]],BIO[],3,0)),"No tiene huella Biometrico")</f>
        <v>No registró</v>
      </c>
      <c r="I37" s="228" t="str">
        <f>IFERROR(IF(ISBLANK(F37),VLOOKUP(NCH[[#This Row],[CEDULA]],BIO[],4,0),VLOOKUP(NCH[[#This Row],[CEDULA]],BIO[],4,0)),"No tiene huella Biometrico")</f>
        <v>No registró</v>
      </c>
      <c r="J37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registro Biometrico</v>
      </c>
      <c r="K37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cumple H</v>
      </c>
      <c r="L37" s="106"/>
      <c r="M37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37" s="154" t="str">
        <f>IFERROR(IF(ISBLANK(L37),VLOOKUP(NCH[[#This Row],[CEDULA]],BIO[],5,0),VLOOKUP(NCH[[#This Row],[CEDULA]],BIO[],5,0)),"No tiene huella Biometrico")</f>
        <v>No registró</v>
      </c>
      <c r="O37" s="228" t="str">
        <f>IFERROR(IF(ISBLANK(L37),VLOOKUP(NCH[[#This Row],[CEDULA]],BIO[],6,0),VLOOKUP(NCH[[#This Row],[CEDULA]],BIO[],6,0)),"No tiene huella Biometrico")</f>
        <v>No Registró</v>
      </c>
      <c r="P37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registro Biometrico</v>
      </c>
      <c r="Q37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cumple H</v>
      </c>
      <c r="R37" s="106">
        <v>1</v>
      </c>
      <c r="S37" s="379">
        <v>1</v>
      </c>
      <c r="T37" s="154">
        <f>IFERROR(IF(ISBLANK(R37),VLOOKUP(NCH[[#This Row],[CEDULA]],BIO[],7,0),VLOOKUP(NCH[[#This Row],[CEDULA]],BIO[],7,0)),"No tiene huella Biometrico")</f>
        <v>0.29689814814814813</v>
      </c>
      <c r="U37" s="228" t="str">
        <f>IFERROR(IF(ISBLANK(R37),VLOOKUP(NCH[[#This Row],[CEDULA]],BIO[],8,0),VLOOKUP(NCH[[#This Row],[CEDULA]],BIO[],8,0)),"No tiene huella Biometrico")</f>
        <v>No registró</v>
      </c>
      <c r="V37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salida</v>
      </c>
      <c r="W37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37" s="106"/>
      <c r="Y37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37" s="154">
        <f>IFERROR(IF(ISBLANK(X37),VLOOKUP(NCH[[#This Row],[CEDULA]],BIO[],9,0),VLOOKUP(NCH[[#This Row],[CEDULA]],BIO[],9,0)),"No tiene huella Biometrico")</f>
        <v>0.29982638888888891</v>
      </c>
      <c r="AA37" s="228">
        <f>IFERROR(IF(ISBLANK(X37),VLOOKUP(NCH[[#This Row],[CEDULA]],BIO[],10,0),VLOOKUP(NCH[[#This Row],[CEDULA]],BIO[],10,0)),"No tiene huella Biometrico")</f>
        <v>0.30180555555555555</v>
      </c>
      <c r="AB37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Cumple H</v>
      </c>
      <c r="AC37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realizo Metas</v>
      </c>
      <c r="AD37" s="106"/>
      <c r="AE37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37" s="154" t="str">
        <f>IFERROR(IF(ISBLANK(NCH[G5]),VLOOKUP(NCH[[#This Row],[CEDULA]],BIO[],11,0),VLOOKUP(NCH[[#This Row],[CEDULA]],BIO[],11,0)),"No tiene huella Biometrico")</f>
        <v>No registró</v>
      </c>
      <c r="AG37" s="228" t="str">
        <f>IFERROR(IF((NCH[G5]),VLOOKUP(NCH[[#This Row],[CEDULA]],BIO[],12,0),VLOOKUP(NCH[[#This Row],[CEDULA]],BIO[],12,0)),"No tiene huella Biometrico")</f>
        <v>No registró</v>
      </c>
      <c r="AH37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37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37" s="107"/>
      <c r="AK37" s="369">
        <f>IF(NCH[[#This Row],[RUTA]]="0",NCH[[#This Row],[G6]],IF(AND(NCH[[#This Row],[ENTRADA7]]&lt;&gt;"No Registró",NCH[[#This Row],[SALIDA7]]&lt;&gt;"No Registró"),NCH[[#This Row],[G6]],0))</f>
        <v>0</v>
      </c>
      <c r="AL37" s="154" t="str">
        <f>IFERROR(IF(ISBLANK(NCH[G6]),VLOOKUP(NCH[CEDULA],BIO[],13,0),VLOOKUP(NCH[CEDULA],BIO[],13,0)),"No tiene huella Biometrico")</f>
        <v>No registró</v>
      </c>
      <c r="AM37" s="230" t="str">
        <f>IFERROR(IF((NCH[G6]),VLOOKUP(NCH[[#This Row],[CEDULA]],BIO[],14,0),VLOOKUP(NCH[[#This Row],[CEDULA]],BIO[],14,0)),"No tiene huella Biometrico")</f>
        <v>No registró</v>
      </c>
      <c r="AN37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37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37" s="107">
        <v>1</v>
      </c>
      <c r="AQ37" s="382">
        <v>1</v>
      </c>
      <c r="AR37" s="160">
        <f>IFERROR(IF(ISBLANK(NCH[G7]),VLOOKUP(NCH[CEDULA],BIO[],15,0),VLOOKUP(NCH[CEDULA],BIO[],15,0)),"No tiene huella Biometrico")</f>
        <v>0.29421296296296295</v>
      </c>
      <c r="AS37" s="230" t="str">
        <f>IFERROR(IF(ISBLANK(NCH[G7]),VLOOKUP(NCH[[#This Row],[CEDULA]],BIO[],16,0),VLOOKUP(NCH[[#This Row],[CEDULA]],BIO[],16,0)),"No tiene huella Biometrico")</f>
        <v>No registró</v>
      </c>
      <c r="AT37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salida</v>
      </c>
      <c r="AU37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37" s="105">
        <f>NCH[[#This Row],[META]]+NCH[[#This Row],[META2]]+NCH[[#This Row],[META3]]</f>
        <v>1</v>
      </c>
      <c r="AW37" s="105">
        <f>NCH[[#This Row],[META4]]+NCH[[#This Row],[META5]]+NCH[[#This Row],[META6]]+NCH[[#This Row],[META7]]</f>
        <v>1</v>
      </c>
      <c r="AX37" s="231">
        <f>NCH[[#This Row],[TOTAL L-V]]+NCH[[#This Row],[TOTAL S-D]]</f>
        <v>2</v>
      </c>
      <c r="AY37" s="232" t="str">
        <f>VLOOKUP(NCH[[#This Row],[CEDULA]],METAS[],20,0)</f>
        <v>MONTAR GUARDIAS DIURNAS, TODO LOS DIAS EN SUS RESPECTIVOS PUESTOS Y ESTAN DISTRIBUIDOS EN 4 GRUPOS , LAS ACTIVIDADES SON RECURRENTE</v>
      </c>
      <c r="AZ37" s="232" t="str">
        <f>VLOOKUP(NCH[[#This Row],[CEDULA]],METAS[],22,0)</f>
        <v>el día miercoles se queda post guardia</v>
      </c>
    </row>
    <row r="38" spans="1:52" ht="75" x14ac:dyDescent="0.25">
      <c r="A38" s="105">
        <f>IF(NCH[[#This Row],[CEDULA]]&gt;1,0,"")</f>
        <v>0</v>
      </c>
      <c r="B38" s="280">
        <v>6547888</v>
      </c>
      <c r="C38" s="125" t="str">
        <f>VLOOKUP(NCH[[#This Row],[CEDULA]],DATOS[],2,0)</f>
        <v>NIETO JULIAN</v>
      </c>
      <c r="D38" s="108" t="s">
        <v>862</v>
      </c>
      <c r="E38" s="131" t="str">
        <f>MID(VLOOKUP(NCH[[#This Row],[CEDULA]],DATOS[],10,0),1,1)</f>
        <v/>
      </c>
      <c r="F38" s="106"/>
      <c r="G38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38" s="154" t="str">
        <f>IFERROR(IF(ISBLANK(F38),VLOOKUP(NCH[[#This Row],[CEDULA]],BIO[],3,0),VLOOKUP(NCH[[#This Row],[CEDULA]],BIO[],3,0)),"No tiene huella Biometrico")</f>
        <v>No registró</v>
      </c>
      <c r="I38" s="228" t="str">
        <f>IFERROR(IF(ISBLANK(F38),VLOOKUP(NCH[[#This Row],[CEDULA]],BIO[],4,0),VLOOKUP(NCH[[#This Row],[CEDULA]],BIO[],4,0)),"No tiene huella Biometrico")</f>
        <v>No registró</v>
      </c>
      <c r="J38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registro Biometrico</v>
      </c>
      <c r="K38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cumple H</v>
      </c>
      <c r="L38" s="106"/>
      <c r="M38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38" s="154" t="str">
        <f>IFERROR(IF(ISBLANK(L38),VLOOKUP(NCH[[#This Row],[CEDULA]],BIO[],5,0),VLOOKUP(NCH[[#This Row],[CEDULA]],BIO[],5,0)),"No tiene huella Biometrico")</f>
        <v>No registró</v>
      </c>
      <c r="O38" s="228" t="str">
        <f>IFERROR(IF(ISBLANK(L38),VLOOKUP(NCH[[#This Row],[CEDULA]],BIO[],6,0),VLOOKUP(NCH[[#This Row],[CEDULA]],BIO[],6,0)),"No tiene huella Biometrico")</f>
        <v>No Registró</v>
      </c>
      <c r="P38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registro Biometrico</v>
      </c>
      <c r="Q38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cumple H</v>
      </c>
      <c r="R38" s="106"/>
      <c r="S38" s="367"/>
      <c r="T38" s="154" t="str">
        <f>IFERROR(IF(ISBLANK(R38),VLOOKUP(NCH[[#This Row],[CEDULA]],BIO[],7,0),VLOOKUP(NCH[[#This Row],[CEDULA]],BIO[],7,0)),"No tiene huella Biometrico")</f>
        <v>No registró</v>
      </c>
      <c r="U38" s="228" t="str">
        <f>IFERROR(IF(ISBLANK(R38),VLOOKUP(NCH[[#This Row],[CEDULA]],BIO[],8,0),VLOOKUP(NCH[[#This Row],[CEDULA]],BIO[],8,0)),"No tiene huella Biometrico")</f>
        <v>No registró</v>
      </c>
      <c r="V38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38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38" s="106"/>
      <c r="Y38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38" s="154" t="str">
        <f>IFERROR(IF(ISBLANK(X38),VLOOKUP(NCH[[#This Row],[CEDULA]],BIO[],9,0),VLOOKUP(NCH[[#This Row],[CEDULA]],BIO[],9,0)),"No tiene huella Biometrico")</f>
        <v>No Registró</v>
      </c>
      <c r="AA38" s="228" t="str">
        <f>IFERROR(IF(ISBLANK(X38),VLOOKUP(NCH[[#This Row],[CEDULA]],BIO[],10,0),VLOOKUP(NCH[[#This Row],[CEDULA]],BIO[],10,0)),"No tiene huella Biometrico")</f>
        <v>No registró</v>
      </c>
      <c r="AB38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38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38" s="106"/>
      <c r="AE38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38" s="154" t="str">
        <f>IFERROR(IF(ISBLANK(NCH[G5]),VLOOKUP(NCH[[#This Row],[CEDULA]],BIO[],11,0),VLOOKUP(NCH[[#This Row],[CEDULA]],BIO[],11,0)),"No tiene huella Biometrico")</f>
        <v>No registró</v>
      </c>
      <c r="AG38" s="228" t="str">
        <f>IFERROR(IF((NCH[G5]),VLOOKUP(NCH[[#This Row],[CEDULA]],BIO[],12,0),VLOOKUP(NCH[[#This Row],[CEDULA]],BIO[],12,0)),"No tiene huella Biometrico")</f>
        <v>No registró</v>
      </c>
      <c r="AH38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38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38" s="107"/>
      <c r="AK38" s="369">
        <f>IF(NCH[[#This Row],[RUTA]]="0",NCH[[#This Row],[G6]],IF(AND(NCH[[#This Row],[ENTRADA7]]&lt;&gt;"No Registró",NCH[[#This Row],[SALIDA7]]&lt;&gt;"No Registró"),NCH[[#This Row],[G6]],0))</f>
        <v>0</v>
      </c>
      <c r="AL38" s="154" t="str">
        <f>IFERROR(IF(ISBLANK(NCH[G6]),VLOOKUP(NCH[CEDULA],BIO[],13,0),VLOOKUP(NCH[CEDULA],BIO[],13,0)),"No tiene huella Biometrico")</f>
        <v>No registró</v>
      </c>
      <c r="AM38" s="230" t="str">
        <f>IFERROR(IF((NCH[G6]),VLOOKUP(NCH[[#This Row],[CEDULA]],BIO[],14,0),VLOOKUP(NCH[[#This Row],[CEDULA]],BIO[],14,0)),"No tiene huella Biometrico")</f>
        <v>No registró</v>
      </c>
      <c r="AN38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38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38" s="107">
        <v>1</v>
      </c>
      <c r="AQ38" s="231">
        <f>IF(NCH[[#This Row],[RUTA]]="0",NCH[[#This Row],[G7]],IF(AND(NCH[[#This Row],[ENTRADA8]]&lt;&gt;"No Registró",NCH[[#This Row],[SALIDA8]]&lt;&gt;"No Registró"),NCH[[#This Row],[G7]],0))</f>
        <v>1</v>
      </c>
      <c r="AR38" s="160">
        <f>IFERROR(IF(ISBLANK(NCH[G7]),VLOOKUP(NCH[CEDULA],BIO[],15,0),VLOOKUP(NCH[CEDULA],BIO[],15,0)),"No tiene huella Biometrico")</f>
        <v>0.6014004629629629</v>
      </c>
      <c r="AS38" s="230">
        <f>IFERROR(IF(ISBLANK(NCH[G7]),VLOOKUP(NCH[[#This Row],[CEDULA]],BIO[],16,0),VLOOKUP(NCH[[#This Row],[CEDULA]],BIO[],16,0)),"No tiene huella Biometrico")</f>
        <v>0.78986111111111112</v>
      </c>
      <c r="AT38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Cumple H</v>
      </c>
      <c r="AU38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38" s="105">
        <f>NCH[[#This Row],[META]]+NCH[[#This Row],[META2]]+NCH[[#This Row],[META3]]</f>
        <v>0</v>
      </c>
      <c r="AW38" s="105">
        <f>NCH[[#This Row],[META4]]+NCH[[#This Row],[META5]]+NCH[[#This Row],[META6]]+NCH[[#This Row],[META7]]</f>
        <v>1</v>
      </c>
      <c r="AX38" s="231">
        <f>NCH[[#This Row],[TOTAL L-V]]+NCH[[#This Row],[TOTAL S-D]]</f>
        <v>1</v>
      </c>
      <c r="AY38" s="232" t="str">
        <f>VLOOKUP(NCH[[#This Row],[CEDULA]],METAS[],20,0)</f>
        <v>bUSCAR Y LLEVAR AL PERSONAL DE GUARDIA  DE LUNES A SABADO EN LOS AUTOBUSES Y  EN LAS CAMIONETAS, PRESTAR APOYO EN TODAS LAS OPERACIONES QUE REQUIERE LA INSTITUCION DE LUNES A DOMINGO. LAS ACTIVIDADES SON RECURRENTE</v>
      </c>
      <c r="AZ38" s="232">
        <f>VLOOKUP(NCH[[#This Row],[CEDULA]],METAS[],22,0)</f>
        <v>0</v>
      </c>
    </row>
    <row r="39" spans="1:52" ht="45" x14ac:dyDescent="0.25">
      <c r="A39" s="105">
        <f>IF(NCH[[#This Row],[CEDULA]]&gt;1,0,"")</f>
        <v>0</v>
      </c>
      <c r="B39" s="280">
        <v>24750318</v>
      </c>
      <c r="C39" s="125" t="str">
        <f>VLOOKUP(NCH[[#This Row],[CEDULA]],DATOS[],2,0)</f>
        <v>DIAZ REINALDO</v>
      </c>
      <c r="D39" s="108" t="s">
        <v>862</v>
      </c>
      <c r="E39" s="131" t="str">
        <f>MID(VLOOKUP(NCH[[#This Row],[CEDULA]],DATOS[],10,0),1,1)</f>
        <v>2</v>
      </c>
      <c r="F39" s="106"/>
      <c r="G39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39" s="154">
        <f>IFERROR(IF(ISBLANK(F39),VLOOKUP(NCH[[#This Row],[CEDULA]],BIO[],3,0),VLOOKUP(NCH[[#This Row],[CEDULA]],BIO[],3,0)),"No tiene huella Biometrico")</f>
        <v>0.28054398148148146</v>
      </c>
      <c r="I39" s="228">
        <f>IFERROR(IF(ISBLANK(F39),VLOOKUP(NCH[[#This Row],[CEDULA]],BIO[],4,0),VLOOKUP(NCH[[#This Row],[CEDULA]],BIO[],4,0)),"No tiene huella Biometrico")</f>
        <v>0.55295138888888895</v>
      </c>
      <c r="J39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39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39" s="106"/>
      <c r="M39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39" s="154">
        <f>IFERROR(IF(ISBLANK(L39),VLOOKUP(NCH[[#This Row],[CEDULA]],BIO[],5,0),VLOOKUP(NCH[[#This Row],[CEDULA]],BIO[],5,0)),"No tiene huella Biometrico")</f>
        <v>0.28699074074074077</v>
      </c>
      <c r="O39" s="228">
        <f>IFERROR(IF(ISBLANK(L39),VLOOKUP(NCH[[#This Row],[CEDULA]],BIO[],6,0),VLOOKUP(NCH[[#This Row],[CEDULA]],BIO[],6,0)),"No tiene huella Biometrico")</f>
        <v>0.55306712962962956</v>
      </c>
      <c r="P39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Cumple Horario</v>
      </c>
      <c r="Q39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39" s="106"/>
      <c r="S39" s="367"/>
      <c r="T39" s="154" t="str">
        <f>IFERROR(IF(ISBLANK(R39),VLOOKUP(NCH[[#This Row],[CEDULA]],BIO[],7,0),VLOOKUP(NCH[[#This Row],[CEDULA]],BIO[],7,0)),"No tiene huella Biometrico")</f>
        <v>No registró</v>
      </c>
      <c r="U39" s="228" t="str">
        <f>IFERROR(IF(ISBLANK(R39),VLOOKUP(NCH[[#This Row],[CEDULA]],BIO[],8,0),VLOOKUP(NCH[[#This Row],[CEDULA]],BIO[],8,0)),"No tiene huella Biometrico")</f>
        <v>No registró</v>
      </c>
      <c r="V39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39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39" s="106"/>
      <c r="Y39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39" s="154" t="str">
        <f>IFERROR(IF(ISBLANK(X39),VLOOKUP(NCH[[#This Row],[CEDULA]],BIO[],9,0),VLOOKUP(NCH[[#This Row],[CEDULA]],BIO[],9,0)),"No tiene huella Biometrico")</f>
        <v>No Registró</v>
      </c>
      <c r="AA39" s="228" t="str">
        <f>IFERROR(IF(ISBLANK(X39),VLOOKUP(NCH[[#This Row],[CEDULA]],BIO[],10,0),VLOOKUP(NCH[[#This Row],[CEDULA]],BIO[],10,0)),"No tiene huella Biometrico")</f>
        <v>No registró</v>
      </c>
      <c r="AB39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39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39" s="106"/>
      <c r="AE39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39" s="154" t="str">
        <f>IFERROR(IF(ISBLANK(NCH[G5]),VLOOKUP(NCH[[#This Row],[CEDULA]],BIO[],11,0),VLOOKUP(NCH[[#This Row],[CEDULA]],BIO[],11,0)),"No tiene huella Biometrico")</f>
        <v>No registró</v>
      </c>
      <c r="AG39" s="228" t="str">
        <f>IFERROR(IF((NCH[G5]),VLOOKUP(NCH[[#This Row],[CEDULA]],BIO[],12,0),VLOOKUP(NCH[[#This Row],[CEDULA]],BIO[],12,0)),"No tiene huella Biometrico")</f>
        <v>No registró</v>
      </c>
      <c r="AH39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39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39" s="107">
        <v>1</v>
      </c>
      <c r="AK39" s="369">
        <f>IF(NCH[[#This Row],[RUTA]]="0",NCH[[#This Row],[G6]],IF(AND(NCH[[#This Row],[ENTRADA7]]&lt;&gt;"No Registró",NCH[[#This Row],[SALIDA7]]&lt;&gt;"No Registró"),NCH[[#This Row],[G6]],0))</f>
        <v>1</v>
      </c>
      <c r="AL39" s="154">
        <f>IFERROR(IF(ISBLANK(NCH[G6]),VLOOKUP(NCH[CEDULA],BIO[],13,0),VLOOKUP(NCH[CEDULA],BIO[],13,0)),"No tiene huella Biometrico")</f>
        <v>0.34873842592592591</v>
      </c>
      <c r="AM39" s="230">
        <f>IFERROR(IF((NCH[G6]),VLOOKUP(NCH[[#This Row],[CEDULA]],BIO[],14,0),VLOOKUP(NCH[[#This Row],[CEDULA]],BIO[],14,0)),"No tiene huella Biometrico")</f>
        <v>0.55592592592592593</v>
      </c>
      <c r="AN39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Cumple H</v>
      </c>
      <c r="AO39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39" s="107"/>
      <c r="AQ39" s="231">
        <f>IF(NCH[[#This Row],[RUTA]]="0",NCH[[#This Row],[G7]],IF(AND(NCH[[#This Row],[ENTRADA8]]&lt;&gt;"No Registró",NCH[[#This Row],[SALIDA8]]&lt;&gt;"No Registró"),NCH[[#This Row],[G7]],0))</f>
        <v>0</v>
      </c>
      <c r="AR39" s="160" t="str">
        <f>IFERROR(IF(ISBLANK(NCH[G7]),VLOOKUP(NCH[CEDULA],BIO[],15,0),VLOOKUP(NCH[CEDULA],BIO[],15,0)),"No tiene huella Biometrico")</f>
        <v>No registró</v>
      </c>
      <c r="AS39" s="230" t="str">
        <f>IFERROR(IF(ISBLANK(NCH[G7]),VLOOKUP(NCH[[#This Row],[CEDULA]],BIO[],16,0),VLOOKUP(NCH[[#This Row],[CEDULA]],BIO[],16,0)),"No tiene huella Biometrico")</f>
        <v>No registró</v>
      </c>
      <c r="AT39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39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39" s="105">
        <f>NCH[[#This Row],[META]]+NCH[[#This Row],[META2]]+NCH[[#This Row],[META3]]</f>
        <v>0</v>
      </c>
      <c r="AW39" s="105">
        <f>NCH[[#This Row],[META4]]+NCH[[#This Row],[META5]]+NCH[[#This Row],[META6]]+NCH[[#This Row],[META7]]</f>
        <v>1</v>
      </c>
      <c r="AX39" s="231">
        <f>NCH[[#This Row],[TOTAL L-V]]+NCH[[#This Row],[TOTAL S-D]]</f>
        <v>1</v>
      </c>
      <c r="AY39" s="232" t="str">
        <f>VLOOKUP(NCH[[#This Row],[CEDULA]],METAS[],20,0)</f>
        <v>MONTAR GUARDIAS DIURNAS, TODO LOS DIAS EN SUS RESPECTIVOS PUESTOS Y ESTAN DISTRIBUIDOS EN 4 GRUPOS , LAS ACTIVIDADES SON RECURRENTE</v>
      </c>
      <c r="AZ39" s="232">
        <f>VLOOKUP(NCH[[#This Row],[CEDULA]],METAS[],22,0)</f>
        <v>0</v>
      </c>
    </row>
    <row r="40" spans="1:52" ht="75" x14ac:dyDescent="0.25">
      <c r="A40" s="105">
        <f>IF(NCH[[#This Row],[CEDULA]]&gt;1,0,"")</f>
        <v>0</v>
      </c>
      <c r="B40" s="280">
        <v>5605299</v>
      </c>
      <c r="C40" s="125" t="str">
        <f>VLOOKUP(NCH[[#This Row],[CEDULA]],DATOS[],2,0)</f>
        <v>MANRIQUE PABLO</v>
      </c>
      <c r="D40" s="108" t="s">
        <v>862</v>
      </c>
      <c r="E40" s="131" t="str">
        <f>MID(VLOOKUP(NCH[[#This Row],[CEDULA]],DATOS[],10,0),1,1)</f>
        <v/>
      </c>
      <c r="F40" s="106">
        <v>1</v>
      </c>
      <c r="G40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1</v>
      </c>
      <c r="H40" s="154">
        <f>IFERROR(IF(ISBLANK(F40),VLOOKUP(NCH[[#This Row],[CEDULA]],BIO[],3,0),VLOOKUP(NCH[[#This Row],[CEDULA]],BIO[],3,0)),"No tiene huella Biometrico")</f>
        <v>0.21905092592592593</v>
      </c>
      <c r="I40" s="228">
        <f>IFERROR(IF(ISBLANK(F40),VLOOKUP(NCH[[#This Row],[CEDULA]],BIO[],4,0),VLOOKUP(NCH[[#This Row],[CEDULA]],BIO[],4,0)),"No tiene huella Biometrico")</f>
        <v>0.70612268518518517</v>
      </c>
      <c r="J40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Horario Metas</v>
      </c>
      <c r="K40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Horario Metas</v>
      </c>
      <c r="L40" s="106">
        <v>1</v>
      </c>
      <c r="M40" s="379">
        <v>1</v>
      </c>
      <c r="N40" s="154">
        <f>IFERROR(IF(ISBLANK(L40),VLOOKUP(NCH[[#This Row],[CEDULA]],BIO[],5,0),VLOOKUP(NCH[[#This Row],[CEDULA]],BIO[],5,0)),"No tiene huella Biometrico")</f>
        <v>0.23332175925925927</v>
      </c>
      <c r="O40" s="228">
        <f>IFERROR(IF(ISBLANK(L40),VLOOKUP(NCH[[#This Row],[CEDULA]],BIO[],6,0),VLOOKUP(NCH[[#This Row],[CEDULA]],BIO[],6,0)),"No tiene huella Biometrico")</f>
        <v>0.56824074074074071</v>
      </c>
      <c r="P40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Cumple Horario</v>
      </c>
      <c r="Q40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cumple H</v>
      </c>
      <c r="R40" s="106"/>
      <c r="S40" s="367"/>
      <c r="T40" s="154" t="str">
        <f>IFERROR(IF(ISBLANK(R40),VLOOKUP(NCH[[#This Row],[CEDULA]],BIO[],7,0),VLOOKUP(NCH[[#This Row],[CEDULA]],BIO[],7,0)),"No tiene huella Biometrico")</f>
        <v>No registró</v>
      </c>
      <c r="U40" s="228" t="str">
        <f>IFERROR(IF(ISBLANK(R40),VLOOKUP(NCH[[#This Row],[CEDULA]],BIO[],8,0),VLOOKUP(NCH[[#This Row],[CEDULA]],BIO[],8,0)),"No tiene huella Biometrico")</f>
        <v>No registró</v>
      </c>
      <c r="V40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40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40" s="106"/>
      <c r="Y40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40" s="154" t="str">
        <f>IFERROR(IF(ISBLANK(X40),VLOOKUP(NCH[[#This Row],[CEDULA]],BIO[],9,0),VLOOKUP(NCH[[#This Row],[CEDULA]],BIO[],9,0)),"No tiene huella Biometrico")</f>
        <v>No Registró</v>
      </c>
      <c r="AA40" s="228" t="str">
        <f>IFERROR(IF(ISBLANK(X40),VLOOKUP(NCH[[#This Row],[CEDULA]],BIO[],10,0),VLOOKUP(NCH[[#This Row],[CEDULA]],BIO[],10,0)),"No tiene huella Biometrico")</f>
        <v>No registró</v>
      </c>
      <c r="AB40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40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40" s="106"/>
      <c r="AE40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40" s="154" t="str">
        <f>IFERROR(IF(ISBLANK(NCH[G5]),VLOOKUP(NCH[[#This Row],[CEDULA]],BIO[],11,0),VLOOKUP(NCH[[#This Row],[CEDULA]],BIO[],11,0)),"No tiene huella Biometrico")</f>
        <v>No registró</v>
      </c>
      <c r="AG40" s="228" t="str">
        <f>IFERROR(IF((NCH[G5]),VLOOKUP(NCH[[#This Row],[CEDULA]],BIO[],12,0),VLOOKUP(NCH[[#This Row],[CEDULA]],BIO[],12,0)),"No tiene huella Biometrico")</f>
        <v>No registró</v>
      </c>
      <c r="AH40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40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40" s="107"/>
      <c r="AK40" s="369">
        <f>IF(NCH[[#This Row],[RUTA]]="0",NCH[[#This Row],[G6]],IF(AND(NCH[[#This Row],[ENTRADA7]]&lt;&gt;"No Registró",NCH[[#This Row],[SALIDA7]]&lt;&gt;"No Registró"),NCH[[#This Row],[G6]],0))</f>
        <v>0</v>
      </c>
      <c r="AL40" s="154" t="str">
        <f>IFERROR(IF(ISBLANK(NCH[G6]),VLOOKUP(NCH[CEDULA],BIO[],13,0),VLOOKUP(NCH[CEDULA],BIO[],13,0)),"No tiene huella Biometrico")</f>
        <v>No registró</v>
      </c>
      <c r="AM40" s="230" t="str">
        <f>IFERROR(IF((NCH[G6]),VLOOKUP(NCH[[#This Row],[CEDULA]],BIO[],14,0),VLOOKUP(NCH[[#This Row],[CEDULA]],BIO[],14,0)),"No tiene huella Biometrico")</f>
        <v>No registró</v>
      </c>
      <c r="AN40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40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40" s="107"/>
      <c r="AQ40" s="231">
        <f>IF(NCH[[#This Row],[RUTA]]="0",NCH[[#This Row],[G7]],IF(AND(NCH[[#This Row],[ENTRADA8]]&lt;&gt;"No Registró",NCH[[#This Row],[SALIDA8]]&lt;&gt;"No Registró"),NCH[[#This Row],[G7]],0))</f>
        <v>0</v>
      </c>
      <c r="AR40" s="160" t="str">
        <f>IFERROR(IF(ISBLANK(NCH[G7]),VLOOKUP(NCH[CEDULA],BIO[],15,0),VLOOKUP(NCH[CEDULA],BIO[],15,0)),"No tiene huella Biometrico")</f>
        <v>No registró</v>
      </c>
      <c r="AS40" s="230" t="str">
        <f>IFERROR(IF(ISBLANK(NCH[G7]),VLOOKUP(NCH[[#This Row],[CEDULA]],BIO[],16,0),VLOOKUP(NCH[[#This Row],[CEDULA]],BIO[],16,0)),"No tiene huella Biometrico")</f>
        <v>No registró</v>
      </c>
      <c r="AT40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40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40" s="105">
        <f>NCH[[#This Row],[META]]+NCH[[#This Row],[META2]]+NCH[[#This Row],[META3]]</f>
        <v>2</v>
      </c>
      <c r="AW40" s="105">
        <f>NCH[[#This Row],[META4]]+NCH[[#This Row],[META5]]+NCH[[#This Row],[META6]]+NCH[[#This Row],[META7]]</f>
        <v>0</v>
      </c>
      <c r="AX40" s="231">
        <f>NCH[[#This Row],[TOTAL L-V]]+NCH[[#This Row],[TOTAL S-D]]</f>
        <v>2</v>
      </c>
      <c r="AY40" s="232" t="str">
        <f>VLOOKUP(NCH[[#This Row],[CEDULA]],METAS[],20,0)</f>
        <v>bUSCAR Y LLEVAR AL PERSONAL DE GUARDIA  DE LUNES A SABADO EN LOS AUTOBUSES Y  EN LAS CAMIONETAS, PRESTAR APOYO EN TODAS LAS OPERACIONES QUE REQUIERE LA INSTITUCION DE LUNES A DOMINGO. LAS ACTIVIDADES SON RECURRENTE</v>
      </c>
      <c r="AZ40" s="232">
        <f>VLOOKUP(NCH[[#This Row],[CEDULA]],METAS[],22,0)</f>
        <v>0</v>
      </c>
    </row>
    <row r="41" spans="1:52" ht="75" x14ac:dyDescent="0.25">
      <c r="A41" s="105">
        <f>IF(NCH[[#This Row],[CEDULA]]&gt;1,0,"")</f>
        <v>0</v>
      </c>
      <c r="B41" s="280">
        <v>11944937</v>
      </c>
      <c r="C41" s="125" t="str">
        <f>VLOOKUP(NCH[[#This Row],[CEDULA]],DATOS[],2,0)</f>
        <v>TORREALBA NAUDYS</v>
      </c>
      <c r="D41" s="108" t="s">
        <v>862</v>
      </c>
      <c r="E41" s="131" t="str">
        <f>MID(VLOOKUP(NCH[[#This Row],[CEDULA]],DATOS[],10,0),1,1)</f>
        <v>1</v>
      </c>
      <c r="F41" s="106">
        <v>1</v>
      </c>
      <c r="G41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1</v>
      </c>
      <c r="H41" s="154">
        <f>IFERROR(IF(ISBLANK(F41),VLOOKUP(NCH[[#This Row],[CEDULA]],BIO[],3,0),VLOOKUP(NCH[[#This Row],[CEDULA]],BIO[],3,0)),"No tiene huella Biometrico")</f>
        <v>0.21895833333333334</v>
      </c>
      <c r="I41" s="228">
        <f>IFERROR(IF(ISBLANK(F41),VLOOKUP(NCH[[#This Row],[CEDULA]],BIO[],4,0),VLOOKUP(NCH[[#This Row],[CEDULA]],BIO[],4,0)),"No tiene huella Biometrico")</f>
        <v>0.76950231481481479</v>
      </c>
      <c r="J41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Horario Metas</v>
      </c>
      <c r="K41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Horario Metas</v>
      </c>
      <c r="L41" s="106">
        <v>1</v>
      </c>
      <c r="M41" s="379">
        <v>1</v>
      </c>
      <c r="N41" s="154">
        <f>IFERROR(IF(ISBLANK(L41),VLOOKUP(NCH[[#This Row],[CEDULA]],BIO[],5,0),VLOOKUP(NCH[[#This Row],[CEDULA]],BIO[],5,0)),"No tiene huella Biometrico")</f>
        <v>0.23333333333333331</v>
      </c>
      <c r="O41" s="228">
        <f>IFERROR(IF(ISBLANK(L41),VLOOKUP(NCH[[#This Row],[CEDULA]],BIO[],6,0),VLOOKUP(NCH[[#This Row],[CEDULA]],BIO[],6,0)),"No tiene huella Biometrico")</f>
        <v>0.63422453703703707</v>
      </c>
      <c r="P41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Cumple Horario</v>
      </c>
      <c r="Q41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cumple H</v>
      </c>
      <c r="R41" s="106"/>
      <c r="S41" s="367"/>
      <c r="T41" s="154" t="str">
        <f>IFERROR(IF(ISBLANK(R41),VLOOKUP(NCH[[#This Row],[CEDULA]],BIO[],7,0),VLOOKUP(NCH[[#This Row],[CEDULA]],BIO[],7,0)),"No tiene huella Biometrico")</f>
        <v>No registró</v>
      </c>
      <c r="U41" s="228" t="str">
        <f>IFERROR(IF(ISBLANK(R41),VLOOKUP(NCH[[#This Row],[CEDULA]],BIO[],8,0),VLOOKUP(NCH[[#This Row],[CEDULA]],BIO[],8,0)),"No tiene huella Biometrico")</f>
        <v>No registró</v>
      </c>
      <c r="V41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41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41" s="106"/>
      <c r="Y41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41" s="154" t="str">
        <f>IFERROR(IF(ISBLANK(X41),VLOOKUP(NCH[[#This Row],[CEDULA]],BIO[],9,0),VLOOKUP(NCH[[#This Row],[CEDULA]],BIO[],9,0)),"No tiene huella Biometrico")</f>
        <v>No Registró</v>
      </c>
      <c r="AA41" s="228" t="str">
        <f>IFERROR(IF(ISBLANK(X41),VLOOKUP(NCH[[#This Row],[CEDULA]],BIO[],10,0),VLOOKUP(NCH[[#This Row],[CEDULA]],BIO[],10,0)),"No tiene huella Biometrico")</f>
        <v>No registró</v>
      </c>
      <c r="AB41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41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41" s="106"/>
      <c r="AE41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41" s="154" t="str">
        <f>IFERROR(IF(ISBLANK(NCH[G5]),VLOOKUP(NCH[[#This Row],[CEDULA]],BIO[],11,0),VLOOKUP(NCH[[#This Row],[CEDULA]],BIO[],11,0)),"No tiene huella Biometrico")</f>
        <v>No registró</v>
      </c>
      <c r="AG41" s="228" t="str">
        <f>IFERROR(IF((NCH[G5]),VLOOKUP(NCH[[#This Row],[CEDULA]],BIO[],12,0),VLOOKUP(NCH[[#This Row],[CEDULA]],BIO[],12,0)),"No tiene huella Biometrico")</f>
        <v>No registró</v>
      </c>
      <c r="AH41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41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41" s="107"/>
      <c r="AK41" s="369">
        <f>IF(NCH[[#This Row],[RUTA]]="0",NCH[[#This Row],[G6]],IF(AND(NCH[[#This Row],[ENTRADA7]]&lt;&gt;"No Registró",NCH[[#This Row],[SALIDA7]]&lt;&gt;"No Registró"),NCH[[#This Row],[G6]],0))</f>
        <v>0</v>
      </c>
      <c r="AL41" s="154" t="str">
        <f>IFERROR(IF(ISBLANK(NCH[G6]),VLOOKUP(NCH[CEDULA],BIO[],13,0),VLOOKUP(NCH[CEDULA],BIO[],13,0)),"No tiene huella Biometrico")</f>
        <v>No registró</v>
      </c>
      <c r="AM41" s="230" t="str">
        <f>IFERROR(IF((NCH[G6]),VLOOKUP(NCH[[#This Row],[CEDULA]],BIO[],14,0),VLOOKUP(NCH[[#This Row],[CEDULA]],BIO[],14,0)),"No tiene huella Biometrico")</f>
        <v>No registró</v>
      </c>
      <c r="AN41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41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41" s="107"/>
      <c r="AQ41" s="231">
        <f>IF(NCH[[#This Row],[RUTA]]="0",NCH[[#This Row],[G7]],IF(AND(NCH[[#This Row],[ENTRADA8]]&lt;&gt;"No Registró",NCH[[#This Row],[SALIDA8]]&lt;&gt;"No Registró"),NCH[[#This Row],[G7]],0))</f>
        <v>0</v>
      </c>
      <c r="AR41" s="160" t="str">
        <f>IFERROR(IF(ISBLANK(NCH[G7]),VLOOKUP(NCH[CEDULA],BIO[],15,0),VLOOKUP(NCH[CEDULA],BIO[],15,0)),"No tiene huella Biometrico")</f>
        <v>No registró</v>
      </c>
      <c r="AS41" s="230" t="str">
        <f>IFERROR(IF(ISBLANK(NCH[G7]),VLOOKUP(NCH[[#This Row],[CEDULA]],BIO[],16,0),VLOOKUP(NCH[[#This Row],[CEDULA]],BIO[],16,0)),"No tiene huella Biometrico")</f>
        <v>No registró</v>
      </c>
      <c r="AT41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41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41" s="105">
        <f>NCH[[#This Row],[META]]+NCH[[#This Row],[META2]]+NCH[[#This Row],[META3]]</f>
        <v>2</v>
      </c>
      <c r="AW41" s="105">
        <f>NCH[[#This Row],[META4]]+NCH[[#This Row],[META5]]+NCH[[#This Row],[META6]]+NCH[[#This Row],[META7]]</f>
        <v>0</v>
      </c>
      <c r="AX41" s="231">
        <f>NCH[[#This Row],[TOTAL L-V]]+NCH[[#This Row],[TOTAL S-D]]</f>
        <v>2</v>
      </c>
      <c r="AY41" s="232" t="str">
        <f>VLOOKUP(NCH[[#This Row],[CEDULA]],METAS[],20,0)</f>
        <v>bUSCAR Y LLEVAR AL PERSONAL DE GUARDIA  DE LUNES A SABADO EN LOS AUTOBUSES Y  EN LAS CAMIONETAS, PRESTAR APOYO EN TODAS LAS OPERACIONES QUE REQUIERE LA INSTITUCION DE LUNES A DOMINGO. LAS ACTIVIDADES SON RECURRENTE</v>
      </c>
      <c r="AZ41" s="232">
        <f>VLOOKUP(NCH[[#This Row],[CEDULA]],METAS[],22,0)</f>
        <v>0</v>
      </c>
    </row>
    <row r="42" spans="1:52" ht="75" x14ac:dyDescent="0.25">
      <c r="A42" s="105">
        <f>IF(NCH[[#This Row],[CEDULA]]&gt;1,0,"")</f>
        <v>0</v>
      </c>
      <c r="B42" s="280">
        <v>16452265</v>
      </c>
      <c r="C42" s="125" t="str">
        <f>VLOOKUP(NCH[[#This Row],[CEDULA]],DATOS[],2,0)</f>
        <v>RIVERO YANNY</v>
      </c>
      <c r="D42" s="108" t="s">
        <v>862</v>
      </c>
      <c r="E42" s="131" t="str">
        <f>MID(VLOOKUP(NCH[[#This Row],[CEDULA]],DATOS[],10,0),1,1)</f>
        <v/>
      </c>
      <c r="F42" s="106"/>
      <c r="G42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42" s="154" t="str">
        <f>IFERROR(IF(ISBLANK(F42),VLOOKUP(NCH[[#This Row],[CEDULA]],BIO[],3,0),VLOOKUP(NCH[[#This Row],[CEDULA]],BIO[],3,0)),"No tiene huella Biometrico")</f>
        <v>No registró</v>
      </c>
      <c r="I42" s="228" t="str">
        <f>IFERROR(IF(ISBLANK(F42),VLOOKUP(NCH[[#This Row],[CEDULA]],BIO[],4,0),VLOOKUP(NCH[[#This Row],[CEDULA]],BIO[],4,0)),"No tiene huella Biometrico")</f>
        <v>No registró</v>
      </c>
      <c r="J42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registro Biometrico</v>
      </c>
      <c r="K42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cumple H</v>
      </c>
      <c r="L42" s="106"/>
      <c r="M42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42" s="154" t="str">
        <f>IFERROR(IF(ISBLANK(L42),VLOOKUP(NCH[[#This Row],[CEDULA]],BIO[],5,0),VLOOKUP(NCH[[#This Row],[CEDULA]],BIO[],5,0)),"No tiene huella Biometrico")</f>
        <v>No registró</v>
      </c>
      <c r="O42" s="228" t="str">
        <f>IFERROR(IF(ISBLANK(L42),VLOOKUP(NCH[[#This Row],[CEDULA]],BIO[],6,0),VLOOKUP(NCH[[#This Row],[CEDULA]],BIO[],6,0)),"No tiene huella Biometrico")</f>
        <v>No Registró</v>
      </c>
      <c r="P42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registro Biometrico</v>
      </c>
      <c r="Q42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cumple H</v>
      </c>
      <c r="R42" s="106"/>
      <c r="S42" s="367"/>
      <c r="T42" s="154" t="str">
        <f>IFERROR(IF(ISBLANK(R42),VLOOKUP(NCH[[#This Row],[CEDULA]],BIO[],7,0),VLOOKUP(NCH[[#This Row],[CEDULA]],BIO[],7,0)),"No tiene huella Biometrico")</f>
        <v>No registró</v>
      </c>
      <c r="U42" s="228" t="str">
        <f>IFERROR(IF(ISBLANK(R42),VLOOKUP(NCH[[#This Row],[CEDULA]],BIO[],8,0),VLOOKUP(NCH[[#This Row],[CEDULA]],BIO[],8,0)),"No tiene huella Biometrico")</f>
        <v>No registró</v>
      </c>
      <c r="V42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42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42" s="106"/>
      <c r="Y42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42" s="154" t="str">
        <f>IFERROR(IF(ISBLANK(X42),VLOOKUP(NCH[[#This Row],[CEDULA]],BIO[],9,0),VLOOKUP(NCH[[#This Row],[CEDULA]],BIO[],9,0)),"No tiene huella Biometrico")</f>
        <v>No Registró</v>
      </c>
      <c r="AA42" s="228" t="str">
        <f>IFERROR(IF(ISBLANK(X42),VLOOKUP(NCH[[#This Row],[CEDULA]],BIO[],10,0),VLOOKUP(NCH[[#This Row],[CEDULA]],BIO[],10,0)),"No tiene huella Biometrico")</f>
        <v>No registró</v>
      </c>
      <c r="AB42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42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42" s="106"/>
      <c r="AE42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42" s="154" t="str">
        <f>IFERROR(IF(ISBLANK(NCH[G5]),VLOOKUP(NCH[[#This Row],[CEDULA]],BIO[],11,0),VLOOKUP(NCH[[#This Row],[CEDULA]],BIO[],11,0)),"No tiene huella Biometrico")</f>
        <v>No registró</v>
      </c>
      <c r="AG42" s="228" t="str">
        <f>IFERROR(IF((NCH[G5]),VLOOKUP(NCH[[#This Row],[CEDULA]],BIO[],12,0),VLOOKUP(NCH[[#This Row],[CEDULA]],BIO[],12,0)),"No tiene huella Biometrico")</f>
        <v>No registró</v>
      </c>
      <c r="AH42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42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42" s="107"/>
      <c r="AK42" s="369">
        <f>IF(NCH[[#This Row],[RUTA]]="0",NCH[[#This Row],[G6]],IF(AND(NCH[[#This Row],[ENTRADA7]]&lt;&gt;"No Registró",NCH[[#This Row],[SALIDA7]]&lt;&gt;"No Registró"),NCH[[#This Row],[G6]],0))</f>
        <v>0</v>
      </c>
      <c r="AL42" s="154" t="str">
        <f>IFERROR(IF(ISBLANK(NCH[G6]),VLOOKUP(NCH[CEDULA],BIO[],13,0),VLOOKUP(NCH[CEDULA],BIO[],13,0)),"No tiene huella Biometrico")</f>
        <v>No registró</v>
      </c>
      <c r="AM42" s="230" t="str">
        <f>IFERROR(IF((NCH[G6]),VLOOKUP(NCH[[#This Row],[CEDULA]],BIO[],14,0),VLOOKUP(NCH[[#This Row],[CEDULA]],BIO[],14,0)),"No tiene huella Biometrico")</f>
        <v>No registró</v>
      </c>
      <c r="AN42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42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42" s="107">
        <v>1</v>
      </c>
      <c r="AQ42" s="231">
        <f>IF(NCH[[#This Row],[RUTA]]="0",NCH[[#This Row],[G7]],IF(AND(NCH[[#This Row],[ENTRADA8]]&lt;&gt;"No Registró",NCH[[#This Row],[SALIDA8]]&lt;&gt;"No Registró"),NCH[[#This Row],[G7]],0))</f>
        <v>1</v>
      </c>
      <c r="AR42" s="160">
        <f>IFERROR(IF(ISBLANK(NCH[G7]),VLOOKUP(NCH[CEDULA],BIO[],15,0),VLOOKUP(NCH[CEDULA],BIO[],15,0)),"No tiene huella Biometrico")</f>
        <v>0.37877314814814816</v>
      </c>
      <c r="AS42" s="230">
        <f>IFERROR(IF(ISBLANK(NCH[G7]),VLOOKUP(NCH[[#This Row],[CEDULA]],BIO[],16,0),VLOOKUP(NCH[[#This Row],[CEDULA]],BIO[],16,0)),"No tiene huella Biometrico")</f>
        <v>0.87055555555555564</v>
      </c>
      <c r="AT42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Cumple H</v>
      </c>
      <c r="AU42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42" s="105">
        <f>NCH[[#This Row],[META]]+NCH[[#This Row],[META2]]+NCH[[#This Row],[META3]]</f>
        <v>0</v>
      </c>
      <c r="AW42" s="105">
        <f>NCH[[#This Row],[META4]]+NCH[[#This Row],[META5]]+NCH[[#This Row],[META6]]+NCH[[#This Row],[META7]]</f>
        <v>1</v>
      </c>
      <c r="AX42" s="231">
        <f>NCH[[#This Row],[TOTAL L-V]]+NCH[[#This Row],[TOTAL S-D]]</f>
        <v>1</v>
      </c>
      <c r="AY42" s="232" t="str">
        <f>VLOOKUP(NCH[[#This Row],[CEDULA]],METAS[],20,0)</f>
        <v>bUSCAR Y LLEVAR AL PERSONAL DE GUARDIA  DE LUNES A SABADO EN LOS AUTOBUSES Y  EN LAS CAMIONETAS, PRESTAR APOYO EN TODAS LAS OPERACIONES QUE REQUIERE LA INSTITUCION DE LUNES A DOMINGO. LAS ACTIVIDADES SON RECURRENTE</v>
      </c>
      <c r="AZ42" s="232">
        <f>VLOOKUP(NCH[[#This Row],[CEDULA]],METAS[],22,0)</f>
        <v>0</v>
      </c>
    </row>
    <row r="43" spans="1:52" ht="45" x14ac:dyDescent="0.25">
      <c r="A43" s="105">
        <f>IF(NCH[[#This Row],[CEDULA]]&gt;1,0,"")</f>
        <v>0</v>
      </c>
      <c r="B43" s="280">
        <v>13537176</v>
      </c>
      <c r="C43" s="125" t="str">
        <f>VLOOKUP(NCH[[#This Row],[CEDULA]],DATOS[],2,0)</f>
        <v>SERRANO GIORGI</v>
      </c>
      <c r="D43" s="108" t="s">
        <v>862</v>
      </c>
      <c r="E43" s="131" t="str">
        <f>MID(VLOOKUP(NCH[[#This Row],[CEDULA]],DATOS[],10,0),1,1)</f>
        <v>4</v>
      </c>
      <c r="F43" s="106"/>
      <c r="G43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43" s="154">
        <f>IFERROR(IF(ISBLANK(F43),VLOOKUP(NCH[[#This Row],[CEDULA]],BIO[],3,0),VLOOKUP(NCH[[#This Row],[CEDULA]],BIO[],3,0)),"No tiene huella Biometrico")</f>
        <v>0.32180555555555557</v>
      </c>
      <c r="I43" s="228" t="str">
        <f>IFERROR(IF(ISBLANK(F43),VLOOKUP(NCH[[#This Row],[CEDULA]],BIO[],4,0),VLOOKUP(NCH[[#This Row],[CEDULA]],BIO[],4,0)),"No tiene huella Biometrico")</f>
        <v>No registró</v>
      </c>
      <c r="J43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registro salida</v>
      </c>
      <c r="K43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cumple H</v>
      </c>
      <c r="L43" s="106"/>
      <c r="M43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43" s="154" t="str">
        <f>IFERROR(IF(ISBLANK(L43),VLOOKUP(NCH[[#This Row],[CEDULA]],BIO[],5,0),VLOOKUP(NCH[[#This Row],[CEDULA]],BIO[],5,0)),"No tiene huella Biometrico")</f>
        <v>No registró</v>
      </c>
      <c r="O43" s="228" t="str">
        <f>IFERROR(IF(ISBLANK(L43),VLOOKUP(NCH[[#This Row],[CEDULA]],BIO[],6,0),VLOOKUP(NCH[[#This Row],[CEDULA]],BIO[],6,0)),"No tiene huella Biometrico")</f>
        <v>No Registró</v>
      </c>
      <c r="P43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registro Biometrico</v>
      </c>
      <c r="Q43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cumple H</v>
      </c>
      <c r="R43" s="106"/>
      <c r="S43" s="367"/>
      <c r="T43" s="154" t="str">
        <f>IFERROR(IF(ISBLANK(R43),VLOOKUP(NCH[[#This Row],[CEDULA]],BIO[],7,0),VLOOKUP(NCH[[#This Row],[CEDULA]],BIO[],7,0)),"No tiene huella Biometrico")</f>
        <v>No registró</v>
      </c>
      <c r="U43" s="228" t="str">
        <f>IFERROR(IF(ISBLANK(R43),VLOOKUP(NCH[[#This Row],[CEDULA]],BIO[],8,0),VLOOKUP(NCH[[#This Row],[CEDULA]],BIO[],8,0)),"No tiene huella Biometrico")</f>
        <v>No registró</v>
      </c>
      <c r="V43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43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43" s="106">
        <v>1</v>
      </c>
      <c r="Y43" s="380">
        <v>1</v>
      </c>
      <c r="Z43" s="154" t="str">
        <f>IFERROR(IF(ISBLANK(X43),VLOOKUP(NCH[[#This Row],[CEDULA]],BIO[],9,0),VLOOKUP(NCH[[#This Row],[CEDULA]],BIO[],9,0)),"No tiene huella Biometrico")</f>
        <v>No Registró</v>
      </c>
      <c r="AA43" s="228">
        <f>IFERROR(IF(ISBLANK(X43),VLOOKUP(NCH[[#This Row],[CEDULA]],BIO[],10,0),VLOOKUP(NCH[[#This Row],[CEDULA]],BIO[],10,0)),"No tiene huella Biometrico")</f>
        <v>0.57991898148148147</v>
      </c>
      <c r="AB43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entrada</v>
      </c>
      <c r="AC43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43" s="106"/>
      <c r="AE43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43" s="154">
        <f>IFERROR(IF(ISBLANK(NCH[G5]),VLOOKUP(NCH[[#This Row],[CEDULA]],BIO[],11,0),VLOOKUP(NCH[[#This Row],[CEDULA]],BIO[],11,0)),"No tiene huella Biometrico")</f>
        <v>0.23979166666666665</v>
      </c>
      <c r="AG43" s="228" t="str">
        <f>IFERROR(IF((NCH[G5]),VLOOKUP(NCH[[#This Row],[CEDULA]],BIO[],12,0),VLOOKUP(NCH[[#This Row],[CEDULA]],BIO[],12,0)),"No tiene huella Biometrico")</f>
        <v>No registró</v>
      </c>
      <c r="AH43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salida</v>
      </c>
      <c r="AI43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43" s="107"/>
      <c r="AK43" s="369">
        <f>IF(NCH[[#This Row],[RUTA]]="0",NCH[[#This Row],[G6]],IF(AND(NCH[[#This Row],[ENTRADA7]]&lt;&gt;"No Registró",NCH[[#This Row],[SALIDA7]]&lt;&gt;"No Registró"),NCH[[#This Row],[G6]],0))</f>
        <v>0</v>
      </c>
      <c r="AL43" s="154" t="str">
        <f>IFERROR(IF(ISBLANK(NCH[G6]),VLOOKUP(NCH[CEDULA],BIO[],13,0),VLOOKUP(NCH[CEDULA],BIO[],13,0)),"No tiene huella Biometrico")</f>
        <v>No registró</v>
      </c>
      <c r="AM43" s="230" t="str">
        <f>IFERROR(IF((NCH[G6]),VLOOKUP(NCH[[#This Row],[CEDULA]],BIO[],14,0),VLOOKUP(NCH[[#This Row],[CEDULA]],BIO[],14,0)),"No tiene huella Biometrico")</f>
        <v>No registró</v>
      </c>
      <c r="AN43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43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43" s="107"/>
      <c r="AQ43" s="231">
        <f>IF(NCH[[#This Row],[RUTA]]="0",NCH[[#This Row],[G7]],IF(AND(NCH[[#This Row],[ENTRADA8]]&lt;&gt;"No Registró",NCH[[#This Row],[SALIDA8]]&lt;&gt;"No Registró"),NCH[[#This Row],[G7]],0))</f>
        <v>0</v>
      </c>
      <c r="AR43" s="160" t="str">
        <f>IFERROR(IF(ISBLANK(NCH[G7]),VLOOKUP(NCH[CEDULA],BIO[],15,0),VLOOKUP(NCH[CEDULA],BIO[],15,0)),"No tiene huella Biometrico")</f>
        <v>No registró</v>
      </c>
      <c r="AS43" s="230" t="str">
        <f>IFERROR(IF(ISBLANK(NCH[G7]),VLOOKUP(NCH[[#This Row],[CEDULA]],BIO[],16,0),VLOOKUP(NCH[[#This Row],[CEDULA]],BIO[],16,0)),"No tiene huella Biometrico")</f>
        <v>No registró</v>
      </c>
      <c r="AT43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43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43" s="105">
        <f>NCH[[#This Row],[META]]+NCH[[#This Row],[META2]]+NCH[[#This Row],[META3]]</f>
        <v>0</v>
      </c>
      <c r="AW43" s="105">
        <f>NCH[[#This Row],[META4]]+NCH[[#This Row],[META5]]+NCH[[#This Row],[META6]]+NCH[[#This Row],[META7]]</f>
        <v>1</v>
      </c>
      <c r="AX43" s="231">
        <f>NCH[[#This Row],[TOTAL L-V]]+NCH[[#This Row],[TOTAL S-D]]</f>
        <v>1</v>
      </c>
      <c r="AY43" s="232" t="str">
        <f>VLOOKUP(NCH[[#This Row],[CEDULA]],METAS[],20,0)</f>
        <v>MONTAR GUARDIASDIURNAS Y NOCTURNAS, TODO LOS DIAS EN SUS RESPECTIVOS PUESTOS Y ESTAN DISTRIBUIDOS EN 4 GRUPOS , LAS ACTIVIDADES SON RECURRENTE</v>
      </c>
      <c r="AZ43" s="232">
        <f>VLOOKUP(NCH[[#This Row],[CEDULA]],METAS[],22,0)</f>
        <v>0</v>
      </c>
    </row>
    <row r="44" spans="1:52" ht="30" x14ac:dyDescent="0.25">
      <c r="A44" s="105">
        <f>IF(NCH[[#This Row],[CEDULA]]&gt;1,0,"")</f>
        <v>0</v>
      </c>
      <c r="B44" s="280">
        <v>7710715</v>
      </c>
      <c r="C44" s="125" t="str">
        <f>VLOOKUP(NCH[[#This Row],[CEDULA]],DATOS[],2,0)</f>
        <v>FAJARDO LUIS</v>
      </c>
      <c r="D44" s="108" t="s">
        <v>862</v>
      </c>
      <c r="E44" s="131" t="str">
        <f>MID(VLOOKUP(NCH[[#This Row],[CEDULA]],DATOS[],10,0),1,1)</f>
        <v/>
      </c>
      <c r="F44" s="106">
        <v>1</v>
      </c>
      <c r="G44" s="379">
        <v>1</v>
      </c>
      <c r="H44" s="154">
        <f>IFERROR(IF(ISBLANK(F44),VLOOKUP(NCH[[#This Row],[CEDULA]],BIO[],3,0),VLOOKUP(NCH[[#This Row],[CEDULA]],BIO[],3,0)),"No tiene huella Biometrico")</f>
        <v>0.29121527777777778</v>
      </c>
      <c r="I44" s="228">
        <f>IFERROR(IF(ISBLANK(F44),VLOOKUP(NCH[[#This Row],[CEDULA]],BIO[],4,0),VLOOKUP(NCH[[#This Row],[CEDULA]],BIO[],4,0)),"No tiene huella Biometrico")</f>
        <v>0.64850694444444446</v>
      </c>
      <c r="J44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44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cumple H</v>
      </c>
      <c r="L44" s="106"/>
      <c r="M44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44" s="154">
        <f>IFERROR(IF(ISBLANK(L44),VLOOKUP(NCH[[#This Row],[CEDULA]],BIO[],5,0),VLOOKUP(NCH[[#This Row],[CEDULA]],BIO[],5,0)),"No tiene huella Biometrico")</f>
        <v>0.28917824074074078</v>
      </c>
      <c r="O44" s="228">
        <f>IFERROR(IF(ISBLANK(L44),VLOOKUP(NCH[[#This Row],[CEDULA]],BIO[],6,0),VLOOKUP(NCH[[#This Row],[CEDULA]],BIO[],6,0)),"No tiene huella Biometrico")</f>
        <v>0.29108796296296297</v>
      </c>
      <c r="P44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44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44" s="106"/>
      <c r="S44" s="367"/>
      <c r="T44" s="154" t="str">
        <f>IFERROR(IF(ISBLANK(R44),VLOOKUP(NCH[[#This Row],[CEDULA]],BIO[],7,0),VLOOKUP(NCH[[#This Row],[CEDULA]],BIO[],7,0)),"No tiene huella Biometrico")</f>
        <v>No registró</v>
      </c>
      <c r="U44" s="228" t="str">
        <f>IFERROR(IF(ISBLANK(R44),VLOOKUP(NCH[[#This Row],[CEDULA]],BIO[],8,0),VLOOKUP(NCH[[#This Row],[CEDULA]],BIO[],8,0)),"No tiene huella Biometrico")</f>
        <v>No registró</v>
      </c>
      <c r="V44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44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44" s="106"/>
      <c r="Y44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44" s="154" t="str">
        <f>IFERROR(IF(ISBLANK(X44),VLOOKUP(NCH[[#This Row],[CEDULA]],BIO[],9,0),VLOOKUP(NCH[[#This Row],[CEDULA]],BIO[],9,0)),"No tiene huella Biometrico")</f>
        <v>No Registró</v>
      </c>
      <c r="AA44" s="228" t="str">
        <f>IFERROR(IF(ISBLANK(X44),VLOOKUP(NCH[[#This Row],[CEDULA]],BIO[],10,0),VLOOKUP(NCH[[#This Row],[CEDULA]],BIO[],10,0)),"No tiene huella Biometrico")</f>
        <v>No registró</v>
      </c>
      <c r="AB44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44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44" s="106">
        <v>1</v>
      </c>
      <c r="AE44" s="380">
        <v>1</v>
      </c>
      <c r="AF44" s="154" t="str">
        <f>IFERROR(IF(ISBLANK(NCH[G5]),VLOOKUP(NCH[[#This Row],[CEDULA]],BIO[],11,0),VLOOKUP(NCH[[#This Row],[CEDULA]],BIO[],11,0)),"No tiene huella Biometrico")</f>
        <v>No registró</v>
      </c>
      <c r="AG44" s="228" t="str">
        <f>IFERROR(IF((NCH[G5]),VLOOKUP(NCH[[#This Row],[CEDULA]],BIO[],12,0),VLOOKUP(NCH[[#This Row],[CEDULA]],BIO[],12,0)),"No tiene huella Biometrico")</f>
        <v>No registró</v>
      </c>
      <c r="AH44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44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44" s="107"/>
      <c r="AK44" s="369">
        <f>IF(NCH[[#This Row],[RUTA]]="0",NCH[[#This Row],[G6]],IF(AND(NCH[[#This Row],[ENTRADA7]]&lt;&gt;"No Registró",NCH[[#This Row],[SALIDA7]]&lt;&gt;"No Registró"),NCH[[#This Row],[G6]],0))</f>
        <v>0</v>
      </c>
      <c r="AL44" s="154" t="str">
        <f>IFERROR(IF(ISBLANK(NCH[G6]),VLOOKUP(NCH[CEDULA],BIO[],13,0),VLOOKUP(NCH[CEDULA],BIO[],13,0)),"No tiene huella Biometrico")</f>
        <v>No registró</v>
      </c>
      <c r="AM44" s="230" t="str">
        <f>IFERROR(IF((NCH[G6]),VLOOKUP(NCH[[#This Row],[CEDULA]],BIO[],14,0),VLOOKUP(NCH[[#This Row],[CEDULA]],BIO[],14,0)),"No tiene huella Biometrico")</f>
        <v>No registró</v>
      </c>
      <c r="AN44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44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44" s="107"/>
      <c r="AQ44" s="231">
        <f>IF(NCH[[#This Row],[RUTA]]="0",NCH[[#This Row],[G7]],IF(AND(NCH[[#This Row],[ENTRADA8]]&lt;&gt;"No Registró",NCH[[#This Row],[SALIDA8]]&lt;&gt;"No Registró"),NCH[[#This Row],[G7]],0))</f>
        <v>0</v>
      </c>
      <c r="AR44" s="160" t="str">
        <f>IFERROR(IF(ISBLANK(NCH[G7]),VLOOKUP(NCH[CEDULA],BIO[],15,0),VLOOKUP(NCH[CEDULA],BIO[],15,0)),"No tiene huella Biometrico")</f>
        <v>No registró</v>
      </c>
      <c r="AS44" s="230" t="str">
        <f>IFERROR(IF(ISBLANK(NCH[G7]),VLOOKUP(NCH[[#This Row],[CEDULA]],BIO[],16,0),VLOOKUP(NCH[[#This Row],[CEDULA]],BIO[],16,0)),"No tiene huella Biometrico")</f>
        <v>No registró</v>
      </c>
      <c r="AT44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44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44" s="105">
        <f>NCH[[#This Row],[META]]+NCH[[#This Row],[META2]]+NCH[[#This Row],[META3]]</f>
        <v>1</v>
      </c>
      <c r="AW44" s="105">
        <f>NCH[[#This Row],[META4]]+NCH[[#This Row],[META5]]+NCH[[#This Row],[META6]]+NCH[[#This Row],[META7]]</f>
        <v>1</v>
      </c>
      <c r="AX44" s="231">
        <f>NCH[[#This Row],[TOTAL L-V]]+NCH[[#This Row],[TOTAL S-D]]</f>
        <v>2</v>
      </c>
      <c r="AY44" s="232">
        <f>VLOOKUP(NCH[[#This Row],[CEDULA]],METAS[],20,0)</f>
        <v>0</v>
      </c>
      <c r="AZ44" s="232">
        <f>VLOOKUP(NCH[[#This Row],[CEDULA]],METAS[],22,0)</f>
        <v>0</v>
      </c>
    </row>
    <row r="45" spans="1:52" ht="45" x14ac:dyDescent="0.25">
      <c r="A45" s="105">
        <f>IF(NCH[[#This Row],[CEDULA]]&gt;1,0,"")</f>
        <v>0</v>
      </c>
      <c r="B45" s="280">
        <v>17587487</v>
      </c>
      <c r="C45" s="125" t="str">
        <f>VLOOKUP(NCH[[#This Row],[CEDULA]],DATOS[],2,0)</f>
        <v>CARDOZA JORGE</v>
      </c>
      <c r="D45" s="108" t="s">
        <v>862</v>
      </c>
      <c r="E45" s="131" t="str">
        <f>MID(VLOOKUP(NCH[[#This Row],[CEDULA]],DATOS[],10,0),1,1)</f>
        <v>1</v>
      </c>
      <c r="F45" s="106"/>
      <c r="G45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45" s="154">
        <f>IFERROR(IF(ISBLANK(F45),VLOOKUP(NCH[[#This Row],[CEDULA]],BIO[],3,0),VLOOKUP(NCH[[#This Row],[CEDULA]],BIO[],3,0)),"No tiene huella Biometrico")</f>
        <v>0.28409722222222222</v>
      </c>
      <c r="I45" s="228">
        <f>IFERROR(IF(ISBLANK(F45),VLOOKUP(NCH[[#This Row],[CEDULA]],BIO[],4,0),VLOOKUP(NCH[[#This Row],[CEDULA]],BIO[],4,0)),"No tiene huella Biometrico")</f>
        <v>0.55666666666666664</v>
      </c>
      <c r="J45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45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45" s="106">
        <v>1</v>
      </c>
      <c r="M45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1</v>
      </c>
      <c r="N45" s="154">
        <f>IFERROR(IF(ISBLANK(L45),VLOOKUP(NCH[[#This Row],[CEDULA]],BIO[],5,0),VLOOKUP(NCH[[#This Row],[CEDULA]],BIO[],5,0)),"No tiene huella Biometrico")</f>
        <v>0.28358796296296296</v>
      </c>
      <c r="O45" s="228">
        <f>IFERROR(IF(ISBLANK(L45),VLOOKUP(NCH[[#This Row],[CEDULA]],BIO[],6,0),VLOOKUP(NCH[[#This Row],[CEDULA]],BIO[],6,0)),"No tiene huella Biometrico")</f>
        <v>0.68952546296296291</v>
      </c>
      <c r="P45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Horario Metas</v>
      </c>
      <c r="Q45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Horario Metas</v>
      </c>
      <c r="R45" s="106"/>
      <c r="S45" s="367"/>
      <c r="T45" s="154" t="str">
        <f>IFERROR(IF(ISBLANK(R45),VLOOKUP(NCH[[#This Row],[CEDULA]],BIO[],7,0),VLOOKUP(NCH[[#This Row],[CEDULA]],BIO[],7,0)),"No tiene huella Biometrico")</f>
        <v>No registró</v>
      </c>
      <c r="U45" s="228" t="str">
        <f>IFERROR(IF(ISBLANK(R45),VLOOKUP(NCH[[#This Row],[CEDULA]],BIO[],8,0),VLOOKUP(NCH[[#This Row],[CEDULA]],BIO[],8,0)),"No tiene huella Biometrico")</f>
        <v>No registró</v>
      </c>
      <c r="V45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45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45" s="106"/>
      <c r="Y45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45" s="154" t="str">
        <f>IFERROR(IF(ISBLANK(X45),VLOOKUP(NCH[[#This Row],[CEDULA]],BIO[],9,0),VLOOKUP(NCH[[#This Row],[CEDULA]],BIO[],9,0)),"No tiene huella Biometrico")</f>
        <v>No Registró</v>
      </c>
      <c r="AA45" s="228" t="str">
        <f>IFERROR(IF(ISBLANK(X45),VLOOKUP(NCH[[#This Row],[CEDULA]],BIO[],10,0),VLOOKUP(NCH[[#This Row],[CEDULA]],BIO[],10,0)),"No tiene huella Biometrico")</f>
        <v>No registró</v>
      </c>
      <c r="AB45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45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45" s="106"/>
      <c r="AE45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45" s="154" t="str">
        <f>IFERROR(IF(ISBLANK(NCH[G5]),VLOOKUP(NCH[[#This Row],[CEDULA]],BIO[],11,0),VLOOKUP(NCH[[#This Row],[CEDULA]],BIO[],11,0)),"No tiene huella Biometrico")</f>
        <v>No registró</v>
      </c>
      <c r="AG45" s="228" t="str">
        <f>IFERROR(IF((NCH[G5]),VLOOKUP(NCH[[#This Row],[CEDULA]],BIO[],12,0),VLOOKUP(NCH[[#This Row],[CEDULA]],BIO[],12,0)),"No tiene huella Biometrico")</f>
        <v>No registró</v>
      </c>
      <c r="AH45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45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45" s="107"/>
      <c r="AK45" s="369">
        <f>IF(NCH[[#This Row],[RUTA]]="0",NCH[[#This Row],[G6]],IF(AND(NCH[[#This Row],[ENTRADA7]]&lt;&gt;"No Registró",NCH[[#This Row],[SALIDA7]]&lt;&gt;"No Registró"),NCH[[#This Row],[G6]],0))</f>
        <v>0</v>
      </c>
      <c r="AL45" s="154" t="str">
        <f>IFERROR(IF(ISBLANK(NCH[G6]),VLOOKUP(NCH[CEDULA],BIO[],13,0),VLOOKUP(NCH[CEDULA],BIO[],13,0)),"No tiene huella Biometrico")</f>
        <v>No registró</v>
      </c>
      <c r="AM45" s="230" t="str">
        <f>IFERROR(IF((NCH[G6]),VLOOKUP(NCH[[#This Row],[CEDULA]],BIO[],14,0),VLOOKUP(NCH[[#This Row],[CEDULA]],BIO[],14,0)),"No tiene huella Biometrico")</f>
        <v>No registró</v>
      </c>
      <c r="AN45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45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45" s="107"/>
      <c r="AQ45" s="231">
        <f>IF(NCH[[#This Row],[RUTA]]="0",NCH[[#This Row],[G7]],IF(AND(NCH[[#This Row],[ENTRADA8]]&lt;&gt;"No Registró",NCH[[#This Row],[SALIDA8]]&lt;&gt;"No Registró"),NCH[[#This Row],[G7]],0))</f>
        <v>0</v>
      </c>
      <c r="AR45" s="160" t="str">
        <f>IFERROR(IF(ISBLANK(NCH[G7]),VLOOKUP(NCH[CEDULA],BIO[],15,0),VLOOKUP(NCH[CEDULA],BIO[],15,0)),"No tiene huella Biometrico")</f>
        <v>No registró</v>
      </c>
      <c r="AS45" s="230" t="str">
        <f>IFERROR(IF(ISBLANK(NCH[G7]),VLOOKUP(NCH[[#This Row],[CEDULA]],BIO[],16,0),VLOOKUP(NCH[[#This Row],[CEDULA]],BIO[],16,0)),"No tiene huella Biometrico")</f>
        <v>No registró</v>
      </c>
      <c r="AT45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45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45" s="105">
        <f>NCH[[#This Row],[META]]+NCH[[#This Row],[META2]]+NCH[[#This Row],[META3]]</f>
        <v>1</v>
      </c>
      <c r="AW45" s="105">
        <f>NCH[[#This Row],[META4]]+NCH[[#This Row],[META5]]+NCH[[#This Row],[META6]]+NCH[[#This Row],[META7]]</f>
        <v>0</v>
      </c>
      <c r="AX45" s="231">
        <f>NCH[[#This Row],[TOTAL L-V]]+NCH[[#This Row],[TOTAL S-D]]</f>
        <v>1</v>
      </c>
      <c r="AY45" s="232" t="str">
        <f>VLOOKUP(NCH[[#This Row],[CEDULA]],METAS[],20,0)</f>
        <v>MONTAR GUARDIASDIURNAS Y NOCTURNAS, TODO LOS DIAS EN SUS RESPECTIVOS PUESTOS Y ESTAN DISTRIBUIDOS EN 4 GRUPOS , LAS ACTIVIDADES SON RECURRENTE</v>
      </c>
      <c r="AZ45" s="232">
        <f>VLOOKUP(NCH[[#This Row],[CEDULA]],METAS[],22,0)</f>
        <v>0</v>
      </c>
    </row>
    <row r="46" spans="1:52" ht="30" x14ac:dyDescent="0.25">
      <c r="A46" s="105">
        <f>IF(NCH[[#This Row],[CEDULA]]&gt;1,0,"")</f>
        <v>0</v>
      </c>
      <c r="B46" s="280">
        <v>3524735</v>
      </c>
      <c r="C46" s="125" t="str">
        <f>VLOOKUP(NCH[[#This Row],[CEDULA]],DATOS[],2,0)</f>
        <v>BASTIDAS JOSE</v>
      </c>
      <c r="D46" s="108" t="s">
        <v>862</v>
      </c>
      <c r="E46" s="131" t="str">
        <f>MID(VLOOKUP(NCH[[#This Row],[CEDULA]],DATOS[],10,0),1,1)</f>
        <v/>
      </c>
      <c r="F46" s="106">
        <v>1</v>
      </c>
      <c r="G46" s="379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46" s="154">
        <f>IFERROR(IF(ISBLANK(F46),VLOOKUP(NCH[[#This Row],[CEDULA]],BIO[],3,0),VLOOKUP(NCH[[#This Row],[CEDULA]],BIO[],3,0)),"No tiene huella Biometrico")</f>
        <v>0.28262731481481479</v>
      </c>
      <c r="I46" s="228">
        <f>IFERROR(IF(ISBLANK(F46),VLOOKUP(NCH[[#This Row],[CEDULA]],BIO[],4,0),VLOOKUP(NCH[[#This Row],[CEDULA]],BIO[],4,0)),"No tiene huella Biometrico")</f>
        <v>0.55399305555555556</v>
      </c>
      <c r="J46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46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cumple H</v>
      </c>
      <c r="L46" s="106">
        <v>1</v>
      </c>
      <c r="M46" s="379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46" s="154" t="str">
        <f>IFERROR(IF(ISBLANK(L46),VLOOKUP(NCH[[#This Row],[CEDULA]],BIO[],5,0),VLOOKUP(NCH[[#This Row],[CEDULA]],BIO[],5,0)),"No tiene huella Biometrico")</f>
        <v>No registró</v>
      </c>
      <c r="O46" s="228" t="str">
        <f>IFERROR(IF(ISBLANK(L46),VLOOKUP(NCH[[#This Row],[CEDULA]],BIO[],6,0),VLOOKUP(NCH[[#This Row],[CEDULA]],BIO[],6,0)),"No tiene huella Biometrico")</f>
        <v>No Registró</v>
      </c>
      <c r="P46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registro Biometrico</v>
      </c>
      <c r="Q46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cumple H</v>
      </c>
      <c r="R46" s="106"/>
      <c r="S46" s="367"/>
      <c r="T46" s="154" t="str">
        <f>IFERROR(IF(ISBLANK(R46),VLOOKUP(NCH[[#This Row],[CEDULA]],BIO[],7,0),VLOOKUP(NCH[[#This Row],[CEDULA]],BIO[],7,0)),"No tiene huella Biometrico")</f>
        <v>No registró</v>
      </c>
      <c r="U46" s="228" t="str">
        <f>IFERROR(IF(ISBLANK(R46),VLOOKUP(NCH[[#This Row],[CEDULA]],BIO[],8,0),VLOOKUP(NCH[[#This Row],[CEDULA]],BIO[],8,0)),"No tiene huella Biometrico")</f>
        <v>No registró</v>
      </c>
      <c r="V46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46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46" s="106"/>
      <c r="Y46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46" s="154" t="str">
        <f>IFERROR(IF(ISBLANK(X46),VLOOKUP(NCH[[#This Row],[CEDULA]],BIO[],9,0),VLOOKUP(NCH[[#This Row],[CEDULA]],BIO[],9,0)),"No tiene huella Biometrico")</f>
        <v>No Registró</v>
      </c>
      <c r="AA46" s="228" t="str">
        <f>IFERROR(IF(ISBLANK(X46),VLOOKUP(NCH[[#This Row],[CEDULA]],BIO[],10,0),VLOOKUP(NCH[[#This Row],[CEDULA]],BIO[],10,0)),"No tiene huella Biometrico")</f>
        <v>No registró</v>
      </c>
      <c r="AB46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46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46" s="106">
        <v>1</v>
      </c>
      <c r="AE46" s="380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46" s="154" t="str">
        <f>IFERROR(IF(ISBLANK(NCH[G5]),VLOOKUP(NCH[[#This Row],[CEDULA]],BIO[],11,0),VLOOKUP(NCH[[#This Row],[CEDULA]],BIO[],11,0)),"No tiene huella Biometrico")</f>
        <v>No registró</v>
      </c>
      <c r="AG46" s="228" t="str">
        <f>IFERROR(IF((NCH[G5]),VLOOKUP(NCH[[#This Row],[CEDULA]],BIO[],12,0),VLOOKUP(NCH[[#This Row],[CEDULA]],BIO[],12,0)),"No tiene huella Biometrico")</f>
        <v>No registró</v>
      </c>
      <c r="AH46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46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46" s="107"/>
      <c r="AK46" s="369">
        <f>IF(NCH[[#This Row],[RUTA]]="0",NCH[[#This Row],[G6]],IF(AND(NCH[[#This Row],[ENTRADA7]]&lt;&gt;"No Registró",NCH[[#This Row],[SALIDA7]]&lt;&gt;"No Registró"),NCH[[#This Row],[G6]],0))</f>
        <v>0</v>
      </c>
      <c r="AL46" s="154" t="str">
        <f>IFERROR(IF(ISBLANK(NCH[G6]),VLOOKUP(NCH[CEDULA],BIO[],13,0),VLOOKUP(NCH[CEDULA],BIO[],13,0)),"No tiene huella Biometrico")</f>
        <v>No registró</v>
      </c>
      <c r="AM46" s="230" t="str">
        <f>IFERROR(IF((NCH[G6]),VLOOKUP(NCH[[#This Row],[CEDULA]],BIO[],14,0),VLOOKUP(NCH[[#This Row],[CEDULA]],BIO[],14,0)),"No tiene huella Biometrico")</f>
        <v>No registró</v>
      </c>
      <c r="AN46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46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46" s="107"/>
      <c r="AQ46" s="231">
        <f>IF(NCH[[#This Row],[RUTA]]="0",NCH[[#This Row],[G7]],IF(AND(NCH[[#This Row],[ENTRADA8]]&lt;&gt;"No Registró",NCH[[#This Row],[SALIDA8]]&lt;&gt;"No Registró"),NCH[[#This Row],[G7]],0))</f>
        <v>0</v>
      </c>
      <c r="AR46" s="160" t="str">
        <f>IFERROR(IF(ISBLANK(NCH[G7]),VLOOKUP(NCH[CEDULA],BIO[],15,0),VLOOKUP(NCH[CEDULA],BIO[],15,0)),"No tiene huella Biometrico")</f>
        <v>No registró</v>
      </c>
      <c r="AS46" s="230" t="str">
        <f>IFERROR(IF(ISBLANK(NCH[G7]),VLOOKUP(NCH[[#This Row],[CEDULA]],BIO[],16,0),VLOOKUP(NCH[[#This Row],[CEDULA]],BIO[],16,0)),"No tiene huella Biometrico")</f>
        <v>No registró</v>
      </c>
      <c r="AT46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46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46" s="105">
        <f>NCH[[#This Row],[META]]+NCH[[#This Row],[META2]]+NCH[[#This Row],[META3]]</f>
        <v>0</v>
      </c>
      <c r="AW46" s="105">
        <f>NCH[[#This Row],[META4]]+NCH[[#This Row],[META5]]+NCH[[#This Row],[META6]]+NCH[[#This Row],[META7]]</f>
        <v>0</v>
      </c>
      <c r="AX46" s="231">
        <f>NCH[[#This Row],[TOTAL L-V]]+NCH[[#This Row],[TOTAL S-D]]</f>
        <v>0</v>
      </c>
      <c r="AY46" s="232">
        <f>VLOOKUP(NCH[[#This Row],[CEDULA]],METAS[],20,0)</f>
        <v>0</v>
      </c>
      <c r="AZ46" s="232">
        <f>VLOOKUP(NCH[[#This Row],[CEDULA]],METAS[],22,0)</f>
        <v>0</v>
      </c>
    </row>
    <row r="47" spans="1:52" ht="75" x14ac:dyDescent="0.25">
      <c r="A47" s="105">
        <f>IF(NCH[[#This Row],[CEDULA]]&gt;1,0,"")</f>
        <v>0</v>
      </c>
      <c r="B47" s="280">
        <v>6276576</v>
      </c>
      <c r="C47" s="125" t="str">
        <f>VLOOKUP(NCH[[#This Row],[CEDULA]],DATOS[],2,0)</f>
        <v>GUERRERO FRANKLIN</v>
      </c>
      <c r="D47" s="108" t="s">
        <v>862</v>
      </c>
      <c r="E47" s="131" t="str">
        <f>MID(VLOOKUP(NCH[[#This Row],[CEDULA]],DATOS[],10,0),1,1)</f>
        <v/>
      </c>
      <c r="F47" s="106"/>
      <c r="G47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47" s="154" t="str">
        <f>IFERROR(IF(ISBLANK(F47),VLOOKUP(NCH[[#This Row],[CEDULA]],BIO[],3,0),VLOOKUP(NCH[[#This Row],[CEDULA]],BIO[],3,0)),"No tiene huella Biometrico")</f>
        <v>No registró</v>
      </c>
      <c r="I47" s="228" t="str">
        <f>IFERROR(IF(ISBLANK(F47),VLOOKUP(NCH[[#This Row],[CEDULA]],BIO[],4,0),VLOOKUP(NCH[[#This Row],[CEDULA]],BIO[],4,0)),"No tiene huella Biometrico")</f>
        <v>No registró</v>
      </c>
      <c r="J47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registro Biometrico</v>
      </c>
      <c r="K47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cumple H</v>
      </c>
      <c r="L47" s="106"/>
      <c r="M47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47" s="154" t="str">
        <f>IFERROR(IF(ISBLANK(L47),VLOOKUP(NCH[[#This Row],[CEDULA]],BIO[],5,0),VLOOKUP(NCH[[#This Row],[CEDULA]],BIO[],5,0)),"No tiene huella Biometrico")</f>
        <v>No registró</v>
      </c>
      <c r="O47" s="228" t="str">
        <f>IFERROR(IF(ISBLANK(L47),VLOOKUP(NCH[[#This Row],[CEDULA]],BIO[],6,0),VLOOKUP(NCH[[#This Row],[CEDULA]],BIO[],6,0)),"No tiene huella Biometrico")</f>
        <v>No Registró</v>
      </c>
      <c r="P47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registro Biometrico</v>
      </c>
      <c r="Q47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cumple H</v>
      </c>
      <c r="R47" s="106"/>
      <c r="S47" s="367"/>
      <c r="T47" s="154" t="str">
        <f>IFERROR(IF(ISBLANK(R47),VLOOKUP(NCH[[#This Row],[CEDULA]],BIO[],7,0),VLOOKUP(NCH[[#This Row],[CEDULA]],BIO[],7,0)),"No tiene huella Biometrico")</f>
        <v>No registró</v>
      </c>
      <c r="U47" s="228" t="str">
        <f>IFERROR(IF(ISBLANK(R47),VLOOKUP(NCH[[#This Row],[CEDULA]],BIO[],8,0),VLOOKUP(NCH[[#This Row],[CEDULA]],BIO[],8,0)),"No tiene huella Biometrico")</f>
        <v>No registró</v>
      </c>
      <c r="V47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47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47" s="106"/>
      <c r="Y47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47" s="154" t="str">
        <f>IFERROR(IF(ISBLANK(X47),VLOOKUP(NCH[[#This Row],[CEDULA]],BIO[],9,0),VLOOKUP(NCH[[#This Row],[CEDULA]],BIO[],9,0)),"No tiene huella Biometrico")</f>
        <v>No Registró</v>
      </c>
      <c r="AA47" s="228" t="str">
        <f>IFERROR(IF(ISBLANK(X47),VLOOKUP(NCH[[#This Row],[CEDULA]],BIO[],10,0),VLOOKUP(NCH[[#This Row],[CEDULA]],BIO[],10,0)),"No tiene huella Biometrico")</f>
        <v>No registró</v>
      </c>
      <c r="AB47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47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47" s="106"/>
      <c r="AE47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47" s="154" t="str">
        <f>IFERROR(IF(ISBLANK(NCH[G5]),VLOOKUP(NCH[[#This Row],[CEDULA]],BIO[],11,0),VLOOKUP(NCH[[#This Row],[CEDULA]],BIO[],11,0)),"No tiene huella Biometrico")</f>
        <v>No registró</v>
      </c>
      <c r="AG47" s="228" t="str">
        <f>IFERROR(IF((NCH[G5]),VLOOKUP(NCH[[#This Row],[CEDULA]],BIO[],12,0),VLOOKUP(NCH[[#This Row],[CEDULA]],BIO[],12,0)),"No tiene huella Biometrico")</f>
        <v>No registró</v>
      </c>
      <c r="AH47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47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47" s="107"/>
      <c r="AK47" s="369">
        <f>IF(NCH[[#This Row],[RUTA]]="0",NCH[[#This Row],[G6]],IF(AND(NCH[[#This Row],[ENTRADA7]]&lt;&gt;"No Registró",NCH[[#This Row],[SALIDA7]]&lt;&gt;"No Registró"),NCH[[#This Row],[G6]],0))</f>
        <v>0</v>
      </c>
      <c r="AL47" s="154" t="str">
        <f>IFERROR(IF(ISBLANK(NCH[G6]),VLOOKUP(NCH[CEDULA],BIO[],13,0),VLOOKUP(NCH[CEDULA],BIO[],13,0)),"No tiene huella Biometrico")</f>
        <v>No registró</v>
      </c>
      <c r="AM47" s="230" t="str">
        <f>IFERROR(IF((NCH[G6]),VLOOKUP(NCH[[#This Row],[CEDULA]],BIO[],14,0),VLOOKUP(NCH[[#This Row],[CEDULA]],BIO[],14,0)),"No tiene huella Biometrico")</f>
        <v>No registró</v>
      </c>
      <c r="AN47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47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47" s="107">
        <v>1</v>
      </c>
      <c r="AQ47" s="231">
        <f>IF(NCH[[#This Row],[RUTA]]="0",NCH[[#This Row],[G7]],IF(AND(NCH[[#This Row],[ENTRADA8]]&lt;&gt;"No Registró",NCH[[#This Row],[SALIDA8]]&lt;&gt;"No Registró"),NCH[[#This Row],[G7]],0))</f>
        <v>1</v>
      </c>
      <c r="AR47" s="160">
        <f>IFERROR(IF(ISBLANK(NCH[G7]),VLOOKUP(NCH[CEDULA],BIO[],15,0),VLOOKUP(NCH[CEDULA],BIO[],15,0)),"No tiene huella Biometrico")</f>
        <v>0.7453819444444445</v>
      </c>
      <c r="AS47" s="230">
        <f>IFERROR(IF(ISBLANK(NCH[G7]),VLOOKUP(NCH[[#This Row],[CEDULA]],BIO[],16,0),VLOOKUP(NCH[[#This Row],[CEDULA]],BIO[],16,0)),"No tiene huella Biometrico")</f>
        <v>0.74958333333333327</v>
      </c>
      <c r="AT47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Cumple H</v>
      </c>
      <c r="AU47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47" s="105">
        <f>NCH[[#This Row],[META]]+NCH[[#This Row],[META2]]+NCH[[#This Row],[META3]]</f>
        <v>0</v>
      </c>
      <c r="AW47" s="105">
        <f>NCH[[#This Row],[META4]]+NCH[[#This Row],[META5]]+NCH[[#This Row],[META6]]+NCH[[#This Row],[META7]]</f>
        <v>1</v>
      </c>
      <c r="AX47" s="231">
        <f>NCH[[#This Row],[TOTAL L-V]]+NCH[[#This Row],[TOTAL S-D]]</f>
        <v>1</v>
      </c>
      <c r="AY47" s="232" t="str">
        <f>VLOOKUP(NCH[[#This Row],[CEDULA]],METAS[],20,0)</f>
        <v>BUSCAR Y LLEVAR AL PERSONAL DE GUARDIA  DE LUNES A SABADO EN LOS AUTOBUSES Y  EN LAS CAMIONETAS, PRESTAR APOYO EN TODAS LAS OPERACIONES QUE REQUIERE LA INSTITUCION DE LUNES A DOMINGO. LAS ACTIVIDADES SON RECURRENTE</v>
      </c>
      <c r="AZ47" s="232">
        <f>VLOOKUP(NCH[[#This Row],[CEDULA]],METAS[],22,0)</f>
        <v>0</v>
      </c>
    </row>
    <row r="48" spans="1:52" ht="45" x14ac:dyDescent="0.25">
      <c r="A48" s="105">
        <f>IF(NCH[[#This Row],[CEDULA]]&gt;1,0,"")</f>
        <v>0</v>
      </c>
      <c r="B48" s="280">
        <v>6290210</v>
      </c>
      <c r="C48" s="125" t="str">
        <f>VLOOKUP(NCH[[#This Row],[CEDULA]],DATOS[],2,0)</f>
        <v>MORENO JULIO</v>
      </c>
      <c r="D48" s="108" t="s">
        <v>862</v>
      </c>
      <c r="E48" s="131" t="str">
        <f>MID(VLOOKUP(NCH[[#This Row],[CEDULA]],DATOS[],10,0),1,1)</f>
        <v>0</v>
      </c>
      <c r="F48" s="106">
        <v>1</v>
      </c>
      <c r="G48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1</v>
      </c>
      <c r="H48" s="154">
        <f>IFERROR(IF(ISBLANK(F48),VLOOKUP(NCH[[#This Row],[CEDULA]],BIO[],3,0),VLOOKUP(NCH[[#This Row],[CEDULA]],BIO[],3,0)),"No tiene huella Biometrico")</f>
        <v>0.28150462962962963</v>
      </c>
      <c r="I48" s="228">
        <f>IFERROR(IF(ISBLANK(F48),VLOOKUP(NCH[[#This Row],[CEDULA]],BIO[],4,0),VLOOKUP(NCH[[#This Row],[CEDULA]],BIO[],4,0)),"No tiene huella Biometrico")</f>
        <v>0.72994212962962957</v>
      </c>
      <c r="J48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Horario Metas</v>
      </c>
      <c r="K48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Horario Metas</v>
      </c>
      <c r="L48" s="106">
        <v>1</v>
      </c>
      <c r="M48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1</v>
      </c>
      <c r="N48" s="154">
        <f>IFERROR(IF(ISBLANK(L48),VLOOKUP(NCH[[#This Row],[CEDULA]],BIO[],5,0),VLOOKUP(NCH[[#This Row],[CEDULA]],BIO[],5,0)),"No tiene huella Biometrico")</f>
        <v>0.28270833333333334</v>
      </c>
      <c r="O48" s="228">
        <f>IFERROR(IF(ISBLANK(L48),VLOOKUP(NCH[[#This Row],[CEDULA]],BIO[],6,0),VLOOKUP(NCH[[#This Row],[CEDULA]],BIO[],6,0)),"No tiene huella Biometrico")</f>
        <v>0.69070601851851843</v>
      </c>
      <c r="P48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Horario Metas</v>
      </c>
      <c r="Q48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Horario Metas</v>
      </c>
      <c r="R48" s="106"/>
      <c r="S48" s="367"/>
      <c r="T48" s="154" t="str">
        <f>IFERROR(IF(ISBLANK(R48),VLOOKUP(NCH[[#This Row],[CEDULA]],BIO[],7,0),VLOOKUP(NCH[[#This Row],[CEDULA]],BIO[],7,0)),"No tiene huella Biometrico")</f>
        <v>No registró</v>
      </c>
      <c r="U48" s="228" t="str">
        <f>IFERROR(IF(ISBLANK(R48),VLOOKUP(NCH[[#This Row],[CEDULA]],BIO[],8,0),VLOOKUP(NCH[[#This Row],[CEDULA]],BIO[],8,0)),"No tiene huella Biometrico")</f>
        <v>No registró</v>
      </c>
      <c r="V48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48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48" s="106"/>
      <c r="Y48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48" s="154" t="str">
        <f>IFERROR(IF(ISBLANK(X48),VLOOKUP(NCH[[#This Row],[CEDULA]],BIO[],9,0),VLOOKUP(NCH[[#This Row],[CEDULA]],BIO[],9,0)),"No tiene huella Biometrico")</f>
        <v>No Registró</v>
      </c>
      <c r="AA48" s="228" t="str">
        <f>IFERROR(IF(ISBLANK(X48),VLOOKUP(NCH[[#This Row],[CEDULA]],BIO[],10,0),VLOOKUP(NCH[[#This Row],[CEDULA]],BIO[],10,0)),"No tiene huella Biometrico")</f>
        <v>No registró</v>
      </c>
      <c r="AB48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48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48" s="106">
        <v>1</v>
      </c>
      <c r="AE48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1</v>
      </c>
      <c r="AF48" s="154">
        <f>IFERROR(IF(ISBLANK(NCH[G5]),VLOOKUP(NCH[[#This Row],[CEDULA]],BIO[],11,0),VLOOKUP(NCH[[#This Row],[CEDULA]],BIO[],11,0)),"No tiene huella Biometrico")</f>
        <v>0.40252314814814816</v>
      </c>
      <c r="AG48" s="228">
        <f>IFERROR(IF((NCH[G5]),VLOOKUP(NCH[[#This Row],[CEDULA]],BIO[],12,0),VLOOKUP(NCH[[#This Row],[CEDULA]],BIO[],12,0)),"No tiene huella Biometrico")</f>
        <v>0.71065972222222218</v>
      </c>
      <c r="AH48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Cumple H</v>
      </c>
      <c r="AI48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48" s="107"/>
      <c r="AK48" s="369">
        <f>IF(NCH[[#This Row],[RUTA]]="0",NCH[[#This Row],[G6]],IF(AND(NCH[[#This Row],[ENTRADA7]]&lt;&gt;"No Registró",NCH[[#This Row],[SALIDA7]]&lt;&gt;"No Registró"),NCH[[#This Row],[G6]],0))</f>
        <v>0</v>
      </c>
      <c r="AL48" s="154" t="str">
        <f>IFERROR(IF(ISBLANK(NCH[G6]),VLOOKUP(NCH[CEDULA],BIO[],13,0),VLOOKUP(NCH[CEDULA],BIO[],13,0)),"No tiene huella Biometrico")</f>
        <v>No registró</v>
      </c>
      <c r="AM48" s="230" t="str">
        <f>IFERROR(IF((NCH[G6]),VLOOKUP(NCH[[#This Row],[CEDULA]],BIO[],14,0),VLOOKUP(NCH[[#This Row],[CEDULA]],BIO[],14,0)),"No tiene huella Biometrico")</f>
        <v>No registró</v>
      </c>
      <c r="AN48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48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48" s="107"/>
      <c r="AQ48" s="231">
        <f>IF(NCH[[#This Row],[RUTA]]="0",NCH[[#This Row],[G7]],IF(AND(NCH[[#This Row],[ENTRADA8]]&lt;&gt;"No Registró",NCH[[#This Row],[SALIDA8]]&lt;&gt;"No Registró"),NCH[[#This Row],[G7]],0))</f>
        <v>0</v>
      </c>
      <c r="AR48" s="160" t="str">
        <f>IFERROR(IF(ISBLANK(NCH[G7]),VLOOKUP(NCH[CEDULA],BIO[],15,0),VLOOKUP(NCH[CEDULA],BIO[],15,0)),"No tiene huella Biometrico")</f>
        <v>No registró</v>
      </c>
      <c r="AS48" s="230" t="str">
        <f>IFERROR(IF(ISBLANK(NCH[G7]),VLOOKUP(NCH[[#This Row],[CEDULA]],BIO[],16,0),VLOOKUP(NCH[[#This Row],[CEDULA]],BIO[],16,0)),"No tiene huella Biometrico")</f>
        <v>No registró</v>
      </c>
      <c r="AT48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48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48" s="105">
        <f>NCH[[#This Row],[META]]+NCH[[#This Row],[META2]]+NCH[[#This Row],[META3]]</f>
        <v>2</v>
      </c>
      <c r="AW48" s="105">
        <f>NCH[[#This Row],[META4]]+NCH[[#This Row],[META5]]+NCH[[#This Row],[META6]]+NCH[[#This Row],[META7]]</f>
        <v>1</v>
      </c>
      <c r="AX48" s="231">
        <f>NCH[[#This Row],[TOTAL L-V]]+NCH[[#This Row],[TOTAL S-D]]</f>
        <v>3</v>
      </c>
      <c r="AY48" s="232" t="str">
        <f>VLOOKUP(NCH[[#This Row],[CEDULA]],METAS[],20,0)</f>
        <v xml:space="preserve">COORDINAR Y SUPERVISAR EL PERSONAL DE SEGURIDAD Y TRANSPORTE Y VELAR QUE TODOS LOS PROCESOS SE DESARROLLEN DE MANERA CORRECTA.                                                                                                                                 </v>
      </c>
      <c r="AZ48" s="232">
        <f>VLOOKUP(NCH[[#This Row],[CEDULA]],METAS[],22,0)</f>
        <v>0</v>
      </c>
    </row>
    <row r="49" spans="1:52" ht="60" x14ac:dyDescent="0.25">
      <c r="A49" s="105">
        <f>IF(NCH[[#This Row],[CEDULA]]&gt;1,0,"")</f>
        <v>0</v>
      </c>
      <c r="B49" s="280">
        <v>13786283</v>
      </c>
      <c r="C49" s="125" t="str">
        <f>VLOOKUP(NCH[[#This Row],[CEDULA]],DATOS[],2,0)</f>
        <v>CARUCI WILMER</v>
      </c>
      <c r="D49" s="108" t="s">
        <v>862</v>
      </c>
      <c r="E49" s="131" t="str">
        <f>MID(VLOOKUP(NCH[[#This Row],[CEDULA]],DATOS[],10,0),1,1)</f>
        <v>3</v>
      </c>
      <c r="F49" s="106">
        <v>1</v>
      </c>
      <c r="G49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1</v>
      </c>
      <c r="H49" s="154">
        <f>IFERROR(IF(ISBLANK(F49),VLOOKUP(NCH[[#This Row],[CEDULA]],BIO[],3,0),VLOOKUP(NCH[[#This Row],[CEDULA]],BIO[],3,0)),"No tiene huella Biometrico")</f>
        <v>0.28435185185185186</v>
      </c>
      <c r="I49" s="228">
        <f>IFERROR(IF(ISBLANK(F49),VLOOKUP(NCH[[#This Row],[CEDULA]],BIO[],4,0),VLOOKUP(NCH[[#This Row],[CEDULA]],BIO[],4,0)),"No tiene huella Biometrico")</f>
        <v>0.69148148148148147</v>
      </c>
      <c r="J49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Horario Metas</v>
      </c>
      <c r="K49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Horario Metas</v>
      </c>
      <c r="L49" s="106">
        <v>1</v>
      </c>
      <c r="M49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1</v>
      </c>
      <c r="N49" s="154">
        <f>IFERROR(IF(ISBLANK(L49),VLOOKUP(NCH[[#This Row],[CEDULA]],BIO[],5,0),VLOOKUP(NCH[[#This Row],[CEDULA]],BIO[],5,0)),"No tiene huella Biometrico")</f>
        <v>0.28464120370370372</v>
      </c>
      <c r="O49" s="228">
        <f>IFERROR(IF(ISBLANK(L49),VLOOKUP(NCH[[#This Row],[CEDULA]],BIO[],6,0),VLOOKUP(NCH[[#This Row],[CEDULA]],BIO[],6,0)),"No tiene huella Biometrico")</f>
        <v>0.6893055555555555</v>
      </c>
      <c r="P49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Horario Metas</v>
      </c>
      <c r="Q49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Horario Metas</v>
      </c>
      <c r="R49" s="106"/>
      <c r="S49" s="367"/>
      <c r="T49" s="154" t="str">
        <f>IFERROR(IF(ISBLANK(R49),VLOOKUP(NCH[[#This Row],[CEDULA]],BIO[],7,0),VLOOKUP(NCH[[#This Row],[CEDULA]],BIO[],7,0)),"No tiene huella Biometrico")</f>
        <v>No registró</v>
      </c>
      <c r="U49" s="228" t="str">
        <f>IFERROR(IF(ISBLANK(R49),VLOOKUP(NCH[[#This Row],[CEDULA]],BIO[],8,0),VLOOKUP(NCH[[#This Row],[CEDULA]],BIO[],8,0)),"No tiene huella Biometrico")</f>
        <v>No registró</v>
      </c>
      <c r="V49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49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49" s="106">
        <v>1</v>
      </c>
      <c r="Y49" s="380">
        <v>1</v>
      </c>
      <c r="Z49" s="154">
        <f>IFERROR(IF(ISBLANK(X49),VLOOKUP(NCH[[#This Row],[CEDULA]],BIO[],9,0),VLOOKUP(NCH[[#This Row],[CEDULA]],BIO[],9,0)),"No tiene huella Biometrico")</f>
        <v>0.33594907407407404</v>
      </c>
      <c r="AA49" s="228">
        <f>IFERROR(IF(ISBLANK(X49),VLOOKUP(NCH[[#This Row],[CEDULA]],BIO[],10,0),VLOOKUP(NCH[[#This Row],[CEDULA]],BIO[],10,0)),"No tiene huella Biometrico")</f>
        <v>0.75548611111111119</v>
      </c>
      <c r="AB49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Cumple H</v>
      </c>
      <c r="AC49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49" s="106"/>
      <c r="AE49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49" s="154" t="str">
        <f>IFERROR(IF(ISBLANK(NCH[G5]),VLOOKUP(NCH[[#This Row],[CEDULA]],BIO[],11,0),VLOOKUP(NCH[[#This Row],[CEDULA]],BIO[],11,0)),"No tiene huella Biometrico")</f>
        <v>No registró</v>
      </c>
      <c r="AG49" s="228" t="str">
        <f>IFERROR(IF((NCH[G5]),VLOOKUP(NCH[[#This Row],[CEDULA]],BIO[],12,0),VLOOKUP(NCH[[#This Row],[CEDULA]],BIO[],12,0)),"No tiene huella Biometrico")</f>
        <v>No registró</v>
      </c>
      <c r="AH49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49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49" s="107"/>
      <c r="AK49" s="369">
        <f>IF(NCH[[#This Row],[RUTA]]="0",NCH[[#This Row],[G6]],IF(AND(NCH[[#This Row],[ENTRADA7]]&lt;&gt;"No Registró",NCH[[#This Row],[SALIDA7]]&lt;&gt;"No Registró"),NCH[[#This Row],[G6]],0))</f>
        <v>0</v>
      </c>
      <c r="AL49" s="154" t="str">
        <f>IFERROR(IF(ISBLANK(NCH[G6]),VLOOKUP(NCH[CEDULA],BIO[],13,0),VLOOKUP(NCH[CEDULA],BIO[],13,0)),"No tiene huella Biometrico")</f>
        <v>No registró</v>
      </c>
      <c r="AM49" s="230" t="str">
        <f>IFERROR(IF((NCH[G6]),VLOOKUP(NCH[[#This Row],[CEDULA]],BIO[],14,0),VLOOKUP(NCH[[#This Row],[CEDULA]],BIO[],14,0)),"No tiene huella Biometrico")</f>
        <v>No registró</v>
      </c>
      <c r="AN49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49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49" s="107">
        <v>1</v>
      </c>
      <c r="AQ49" s="231">
        <f>IF(NCH[[#This Row],[RUTA]]="0",NCH[[#This Row],[G7]],IF(AND(NCH[[#This Row],[ENTRADA8]]&lt;&gt;"No Registró",NCH[[#This Row],[SALIDA8]]&lt;&gt;"No Registró"),NCH[[#This Row],[G7]],0))</f>
        <v>1</v>
      </c>
      <c r="AR49" s="160">
        <f>IFERROR(IF(ISBLANK(NCH[G7]),VLOOKUP(NCH[CEDULA],BIO[],15,0),VLOOKUP(NCH[CEDULA],BIO[],15,0)),"No tiene huella Biometrico")</f>
        <v>0.37815972222222222</v>
      </c>
      <c r="AS49" s="230">
        <f>IFERROR(IF(ISBLANK(NCH[G7]),VLOOKUP(NCH[[#This Row],[CEDULA]],BIO[],16,0),VLOOKUP(NCH[[#This Row],[CEDULA]],BIO[],16,0)),"No tiene huella Biometrico")</f>
        <v>0.65258101851851846</v>
      </c>
      <c r="AT49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Cumple H</v>
      </c>
      <c r="AU49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49" s="105">
        <f>NCH[[#This Row],[META]]+NCH[[#This Row],[META2]]+NCH[[#This Row],[META3]]</f>
        <v>2</v>
      </c>
      <c r="AW49" s="105">
        <f>NCH[[#This Row],[META4]]+NCH[[#This Row],[META5]]+NCH[[#This Row],[META6]]+NCH[[#This Row],[META7]]</f>
        <v>2</v>
      </c>
      <c r="AX49" s="231">
        <f>NCH[[#This Row],[TOTAL L-V]]+NCH[[#This Row],[TOTAL S-D]]</f>
        <v>4</v>
      </c>
      <c r="AY49" s="232" t="str">
        <f>VLOOKUP(NCH[[#This Row],[CEDULA]],METAS[],20,0)</f>
        <v xml:space="preserve">MONITOREO DE LAS AREAS ; VELAR  POR EL BUEN FUNCIONAMIENTO DEL SISTEMA DE LAS CAMARAS;  COORDINAR Y CHEQUEAR LA INSTALACION DE LAS CAMARAS , . </v>
      </c>
      <c r="AZ49" s="232">
        <f>VLOOKUP(NCH[[#This Row],[CEDULA]],METAS[],22,0)</f>
        <v>0</v>
      </c>
    </row>
    <row r="50" spans="1:52" ht="45" x14ac:dyDescent="0.25">
      <c r="A50" s="105">
        <f>IF(NCH[[#This Row],[CEDULA]]&gt;1,0,"")</f>
        <v>0</v>
      </c>
      <c r="B50" s="280">
        <v>7092124</v>
      </c>
      <c r="C50" s="125" t="str">
        <f>VLOOKUP(NCH[[#This Row],[CEDULA]],DATOS[],2,0)</f>
        <v>OROPEZA EUCLIDES</v>
      </c>
      <c r="D50" s="108" t="s">
        <v>862</v>
      </c>
      <c r="E50" s="131" t="str">
        <f>MID(VLOOKUP(NCH[[#This Row],[CEDULA]],DATOS[],10,0),1,1)</f>
        <v>4</v>
      </c>
      <c r="F50" s="106">
        <v>1</v>
      </c>
      <c r="G50" s="379">
        <v>1</v>
      </c>
      <c r="H50" s="154">
        <f>IFERROR(IF(ISBLANK(F50),VLOOKUP(NCH[[#This Row],[CEDULA]],BIO[],3,0),VLOOKUP(NCH[[#This Row],[CEDULA]],BIO[],3,0)),"No tiene huella Biometrico")</f>
        <v>0.30986111111111109</v>
      </c>
      <c r="I50" s="228">
        <f>IFERROR(IF(ISBLANK(F50),VLOOKUP(NCH[[#This Row],[CEDULA]],BIO[],4,0),VLOOKUP(NCH[[#This Row],[CEDULA]],BIO[],4,0)),"No tiene huella Biometrico")</f>
        <v>0.69339120370370377</v>
      </c>
      <c r="J50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Cumple H</v>
      </c>
      <c r="K50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cumple H</v>
      </c>
      <c r="L50" s="106">
        <v>1</v>
      </c>
      <c r="M50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1</v>
      </c>
      <c r="N50" s="154">
        <f>IFERROR(IF(ISBLANK(L50),VLOOKUP(NCH[[#This Row],[CEDULA]],BIO[],5,0),VLOOKUP(NCH[[#This Row],[CEDULA]],BIO[],5,0)),"No tiene huella Biometrico")</f>
        <v>0.3382060185185185</v>
      </c>
      <c r="O50" s="228">
        <f>IFERROR(IF(ISBLANK(L50),VLOOKUP(NCH[[#This Row],[CEDULA]],BIO[],6,0),VLOOKUP(NCH[[#This Row],[CEDULA]],BIO[],6,0)),"No tiene huella Biometrico")</f>
        <v>0.6887847222222222</v>
      </c>
      <c r="P50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50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cumple H</v>
      </c>
      <c r="R50" s="106">
        <v>1</v>
      </c>
      <c r="S50" s="379">
        <v>1</v>
      </c>
      <c r="T50" s="154">
        <f>IFERROR(IF(ISBLANK(R50),VLOOKUP(NCH[[#This Row],[CEDULA]],BIO[],7,0),VLOOKUP(NCH[[#This Row],[CEDULA]],BIO[],7,0)),"No tiene huella Biometrico")</f>
        <v>0.30166666666666669</v>
      </c>
      <c r="U50" s="228">
        <f>IFERROR(IF(ISBLANK(R50),VLOOKUP(NCH[[#This Row],[CEDULA]],BIO[],8,0),VLOOKUP(NCH[[#This Row],[CEDULA]],BIO[],8,0)),"No tiene huella Biometrico")</f>
        <v>0.60611111111111116</v>
      </c>
      <c r="V50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Cumple Horario</v>
      </c>
      <c r="W50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50" s="106"/>
      <c r="Y50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50" s="154" t="str">
        <f>IFERROR(IF(ISBLANK(X50),VLOOKUP(NCH[[#This Row],[CEDULA]],BIO[],9,0),VLOOKUP(NCH[[#This Row],[CEDULA]],BIO[],9,0)),"No tiene huella Biometrico")</f>
        <v>No Registró</v>
      </c>
      <c r="AA50" s="228" t="str">
        <f>IFERROR(IF(ISBLANK(X50),VLOOKUP(NCH[[#This Row],[CEDULA]],BIO[],10,0),VLOOKUP(NCH[[#This Row],[CEDULA]],BIO[],10,0)),"No tiene huella Biometrico")</f>
        <v>No registró</v>
      </c>
      <c r="AB50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50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50" s="106">
        <v>1</v>
      </c>
      <c r="AE50" s="380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50" s="154" t="str">
        <f>IFERROR(IF(ISBLANK(NCH[G5]),VLOOKUP(NCH[[#This Row],[CEDULA]],BIO[],11,0),VLOOKUP(NCH[[#This Row],[CEDULA]],BIO[],11,0)),"No tiene huella Biometrico")</f>
        <v>No registró</v>
      </c>
      <c r="AG50" s="228" t="str">
        <f>IFERROR(IF((NCH[G5]),VLOOKUP(NCH[[#This Row],[CEDULA]],BIO[],12,0),VLOOKUP(NCH[[#This Row],[CEDULA]],BIO[],12,0)),"No tiene huella Biometrico")</f>
        <v>No registró</v>
      </c>
      <c r="AH50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50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50" s="107">
        <v>1</v>
      </c>
      <c r="AK50" s="369">
        <f>IF(NCH[[#This Row],[RUTA]]="0",NCH[[#This Row],[G6]],IF(AND(NCH[[#This Row],[ENTRADA7]]&lt;&gt;"No Registró",NCH[[#This Row],[SALIDA7]]&lt;&gt;"No Registró"),NCH[[#This Row],[G6]],0))</f>
        <v>1</v>
      </c>
      <c r="AL50" s="154">
        <f>IFERROR(IF(ISBLANK(NCH[G6]),VLOOKUP(NCH[CEDULA],BIO[],13,0),VLOOKUP(NCH[CEDULA],BIO[],13,0)),"No tiene huella Biometrico")</f>
        <v>0.30974537037037037</v>
      </c>
      <c r="AM50" s="230">
        <f>IFERROR(IF((NCH[G6]),VLOOKUP(NCH[[#This Row],[CEDULA]],BIO[],14,0),VLOOKUP(NCH[[#This Row],[CEDULA]],BIO[],14,0)),"No tiene huella Biometrico")</f>
        <v>0.55523148148148149</v>
      </c>
      <c r="AN50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Cumple H</v>
      </c>
      <c r="AO50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50" s="107"/>
      <c r="AQ50" s="231">
        <f>IF(NCH[[#This Row],[RUTA]]="0",NCH[[#This Row],[G7]],IF(AND(NCH[[#This Row],[ENTRADA8]]&lt;&gt;"No Registró",NCH[[#This Row],[SALIDA8]]&lt;&gt;"No Registró"),NCH[[#This Row],[G7]],0))</f>
        <v>0</v>
      </c>
      <c r="AR50" s="160" t="str">
        <f>IFERROR(IF(ISBLANK(NCH[G7]),VLOOKUP(NCH[CEDULA],BIO[],15,0),VLOOKUP(NCH[CEDULA],BIO[],15,0)),"No tiene huella Biometrico")</f>
        <v>No registró</v>
      </c>
      <c r="AS50" s="230" t="str">
        <f>IFERROR(IF(ISBLANK(NCH[G7]),VLOOKUP(NCH[[#This Row],[CEDULA]],BIO[],16,0),VLOOKUP(NCH[[#This Row],[CEDULA]],BIO[],16,0)),"No tiene huella Biometrico")</f>
        <v>No registró</v>
      </c>
      <c r="AT50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50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50" s="105">
        <f>NCH[[#This Row],[META]]+NCH[[#This Row],[META2]]+NCH[[#This Row],[META3]]</f>
        <v>3</v>
      </c>
      <c r="AW50" s="105">
        <f>NCH[[#This Row],[META4]]+NCH[[#This Row],[META5]]+NCH[[#This Row],[META6]]+NCH[[#This Row],[META7]]</f>
        <v>1</v>
      </c>
      <c r="AX50" s="231">
        <f>NCH[[#This Row],[TOTAL L-V]]+NCH[[#This Row],[TOTAL S-D]]</f>
        <v>4</v>
      </c>
      <c r="AY50" s="232" t="str">
        <f>VLOOKUP(NCH[[#This Row],[CEDULA]],METAS[],20,0)</f>
        <v>SUPERVISAR, PERSONAL DE VIGILANCIA, QUE TODOS ESTEN EN SUS RESPECTIVOS PUESTOS DE TRABAJO REALIZAR RECORRIDOS CONSTANTES.</v>
      </c>
      <c r="AZ50" s="232">
        <f>VLOOKUP(NCH[[#This Row],[CEDULA]],METAS[],22,0)</f>
        <v>0</v>
      </c>
    </row>
    <row r="51" spans="1:52" ht="45" x14ac:dyDescent="0.25">
      <c r="A51" s="105">
        <f>IF(NCH[[#This Row],[CEDULA]]&gt;1,0,"")</f>
        <v>0</v>
      </c>
      <c r="B51" s="280">
        <v>6857823</v>
      </c>
      <c r="C51" s="125" t="str">
        <f>VLOOKUP(NCH[[#This Row],[CEDULA]],DATOS[],2,0)</f>
        <v>GODOY RAFAEL</v>
      </c>
      <c r="D51" s="108" t="s">
        <v>862</v>
      </c>
      <c r="E51" s="131" t="str">
        <f>MID(VLOOKUP(NCH[[#This Row],[CEDULA]],DATOS[],10,0),1,1)</f>
        <v>1</v>
      </c>
      <c r="F51" s="106">
        <v>1</v>
      </c>
      <c r="G51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1</v>
      </c>
      <c r="H51" s="154">
        <f>IFERROR(IF(ISBLANK(F51),VLOOKUP(NCH[[#This Row],[CEDULA]],BIO[],3,0),VLOOKUP(NCH[[#This Row],[CEDULA]],BIO[],3,0)),"No tiene huella Biometrico")</f>
        <v>0.27810185185185182</v>
      </c>
      <c r="I51" s="228">
        <f>IFERROR(IF(ISBLANK(F51),VLOOKUP(NCH[[#This Row],[CEDULA]],BIO[],4,0),VLOOKUP(NCH[[#This Row],[CEDULA]],BIO[],4,0)),"No tiene huella Biometrico")</f>
        <v>0.70292824074074067</v>
      </c>
      <c r="J51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Horario Metas</v>
      </c>
      <c r="K51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Horario Metas</v>
      </c>
      <c r="L51" s="106">
        <v>1</v>
      </c>
      <c r="M51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1</v>
      </c>
      <c r="N51" s="154">
        <f>IFERROR(IF(ISBLANK(L51),VLOOKUP(NCH[[#This Row],[CEDULA]],BIO[],5,0),VLOOKUP(NCH[[#This Row],[CEDULA]],BIO[],5,0)),"No tiene huella Biometrico")</f>
        <v>0.278287037037037</v>
      </c>
      <c r="O51" s="228">
        <f>IFERROR(IF(ISBLANK(L51),VLOOKUP(NCH[[#This Row],[CEDULA]],BIO[],6,0),VLOOKUP(NCH[[#This Row],[CEDULA]],BIO[],6,0)),"No tiene huella Biometrico")</f>
        <v>0.77935185185185185</v>
      </c>
      <c r="P51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Horario Metas</v>
      </c>
      <c r="Q51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Horario Metas</v>
      </c>
      <c r="R51" s="106"/>
      <c r="S51" s="367"/>
      <c r="T51" s="154" t="str">
        <f>IFERROR(IF(ISBLANK(R51),VLOOKUP(NCH[[#This Row],[CEDULA]],BIO[],7,0),VLOOKUP(NCH[[#This Row],[CEDULA]],BIO[],7,0)),"No tiene huella Biometrico")</f>
        <v>No registró</v>
      </c>
      <c r="U51" s="228" t="str">
        <f>IFERROR(IF(ISBLANK(R51),VLOOKUP(NCH[[#This Row],[CEDULA]],BIO[],8,0),VLOOKUP(NCH[[#This Row],[CEDULA]],BIO[],8,0)),"No tiene huella Biometrico")</f>
        <v>No registró</v>
      </c>
      <c r="V51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51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51" s="106"/>
      <c r="Y51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51" s="154" t="str">
        <f>IFERROR(IF(ISBLANK(X51),VLOOKUP(NCH[[#This Row],[CEDULA]],BIO[],9,0),VLOOKUP(NCH[[#This Row],[CEDULA]],BIO[],9,0)),"No tiene huella Biometrico")</f>
        <v>No Registró</v>
      </c>
      <c r="AA51" s="228" t="str">
        <f>IFERROR(IF(ISBLANK(X51),VLOOKUP(NCH[[#This Row],[CEDULA]],BIO[],10,0),VLOOKUP(NCH[[#This Row],[CEDULA]],BIO[],10,0)),"No tiene huella Biometrico")</f>
        <v>No registró</v>
      </c>
      <c r="AB51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51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51" s="106"/>
      <c r="AE51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51" s="154" t="str">
        <f>IFERROR(IF(ISBLANK(NCH[G5]),VLOOKUP(NCH[[#This Row],[CEDULA]],BIO[],11,0),VLOOKUP(NCH[[#This Row],[CEDULA]],BIO[],11,0)),"No tiene huella Biometrico")</f>
        <v>No registró</v>
      </c>
      <c r="AG51" s="228" t="str">
        <f>IFERROR(IF((NCH[G5]),VLOOKUP(NCH[[#This Row],[CEDULA]],BIO[],12,0),VLOOKUP(NCH[[#This Row],[CEDULA]],BIO[],12,0)),"No tiene huella Biometrico")</f>
        <v>No registró</v>
      </c>
      <c r="AH51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51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51" s="107"/>
      <c r="AK51" s="369">
        <f>IF(NCH[[#This Row],[RUTA]]="0",NCH[[#This Row],[G6]],IF(AND(NCH[[#This Row],[ENTRADA7]]&lt;&gt;"No Registró",NCH[[#This Row],[SALIDA7]]&lt;&gt;"No Registró"),NCH[[#This Row],[G6]],0))</f>
        <v>0</v>
      </c>
      <c r="AL51" s="154" t="str">
        <f>IFERROR(IF(ISBLANK(NCH[G6]),VLOOKUP(NCH[CEDULA],BIO[],13,0),VLOOKUP(NCH[CEDULA],BIO[],13,0)),"No tiene huella Biometrico")</f>
        <v>No registró</v>
      </c>
      <c r="AM51" s="230" t="str">
        <f>IFERROR(IF((NCH[G6]),VLOOKUP(NCH[[#This Row],[CEDULA]],BIO[],14,0),VLOOKUP(NCH[[#This Row],[CEDULA]],BIO[],14,0)),"No tiene huella Biometrico")</f>
        <v>No registró</v>
      </c>
      <c r="AN51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51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51" s="107"/>
      <c r="AQ51" s="231">
        <f>IF(NCH[[#This Row],[RUTA]]="0",NCH[[#This Row],[G7]],IF(AND(NCH[[#This Row],[ENTRADA8]]&lt;&gt;"No Registró",NCH[[#This Row],[SALIDA8]]&lt;&gt;"No Registró"),NCH[[#This Row],[G7]],0))</f>
        <v>0</v>
      </c>
      <c r="AR51" s="160" t="str">
        <f>IFERROR(IF(ISBLANK(NCH[G7]),VLOOKUP(NCH[CEDULA],BIO[],15,0),VLOOKUP(NCH[CEDULA],BIO[],15,0)),"No tiene huella Biometrico")</f>
        <v>No registró</v>
      </c>
      <c r="AS51" s="230" t="str">
        <f>IFERROR(IF(ISBLANK(NCH[G7]),VLOOKUP(NCH[[#This Row],[CEDULA]],BIO[],16,0),VLOOKUP(NCH[[#This Row],[CEDULA]],BIO[],16,0)),"No tiene huella Biometrico")</f>
        <v>No registró</v>
      </c>
      <c r="AT51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51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51" s="105">
        <f>NCH[[#This Row],[META]]+NCH[[#This Row],[META2]]+NCH[[#This Row],[META3]]</f>
        <v>2</v>
      </c>
      <c r="AW51" s="105">
        <f>NCH[[#This Row],[META4]]+NCH[[#This Row],[META5]]+NCH[[#This Row],[META6]]+NCH[[#This Row],[META7]]</f>
        <v>0</v>
      </c>
      <c r="AX51" s="231">
        <f>NCH[[#This Row],[TOTAL L-V]]+NCH[[#This Row],[TOTAL S-D]]</f>
        <v>2</v>
      </c>
      <c r="AY51" s="232" t="str">
        <f>VLOOKUP(NCH[[#This Row],[CEDULA]],METAS[],20,0)</f>
        <v>SUPERVISAR LOS CONDUCTORES Y VELAR QUE LOS VEHICULOS ESTEN EN BUEN FUNCIONAMIENTO, LAS ACTIVIDADES SON RECURRENTES</v>
      </c>
      <c r="AZ51" s="232">
        <f>VLOOKUP(NCH[[#This Row],[CEDULA]],METAS[],22,0)</f>
        <v>0</v>
      </c>
    </row>
    <row r="52" spans="1:52" ht="45" x14ac:dyDescent="0.25">
      <c r="A52" s="105">
        <f>IF(NCH[[#This Row],[CEDULA]]&gt;1,0,"")</f>
        <v>0</v>
      </c>
      <c r="B52" s="280">
        <v>8643689</v>
      </c>
      <c r="C52" s="125" t="str">
        <f>VLOOKUP(NCH[[#This Row],[CEDULA]],DATOS[],2,0)</f>
        <v>BASTARDO COSME</v>
      </c>
      <c r="D52" s="108" t="s">
        <v>862</v>
      </c>
      <c r="E52" s="131" t="str">
        <f>MID(VLOOKUP(NCH[[#This Row],[CEDULA]],DATOS[],10,0),1,1)</f>
        <v>1</v>
      </c>
      <c r="F52" s="106"/>
      <c r="G52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52" s="154" t="str">
        <f>IFERROR(IF(ISBLANK(F52),VLOOKUP(NCH[[#This Row],[CEDULA]],BIO[],3,0),VLOOKUP(NCH[[#This Row],[CEDULA]],BIO[],3,0)),"No tiene huella Biometrico")</f>
        <v>No registró</v>
      </c>
      <c r="I52" s="228" t="str">
        <f>IFERROR(IF(ISBLANK(F52),VLOOKUP(NCH[[#This Row],[CEDULA]],BIO[],4,0),VLOOKUP(NCH[[#This Row],[CEDULA]],BIO[],4,0)),"No tiene huella Biometrico")</f>
        <v>No registró</v>
      </c>
      <c r="J52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registro Biometrico</v>
      </c>
      <c r="K52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cumple H</v>
      </c>
      <c r="L52" s="106">
        <v>1</v>
      </c>
      <c r="M52" s="379">
        <v>1</v>
      </c>
      <c r="N52" s="154">
        <f>IFERROR(IF(ISBLANK(L52),VLOOKUP(NCH[[#This Row],[CEDULA]],BIO[],5,0),VLOOKUP(NCH[[#This Row],[CEDULA]],BIO[],5,0)),"No tiene huella Biometrico")</f>
        <v>0.21954861111111112</v>
      </c>
      <c r="O52" s="228" t="str">
        <f>IFERROR(IF(ISBLANK(L52),VLOOKUP(NCH[[#This Row],[CEDULA]],BIO[],6,0),VLOOKUP(NCH[[#This Row],[CEDULA]],BIO[],6,0)),"No tiene huella Biometrico")</f>
        <v>No Registró</v>
      </c>
      <c r="P52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registro salida</v>
      </c>
      <c r="Q52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cumple H</v>
      </c>
      <c r="R52" s="106"/>
      <c r="S52" s="367"/>
      <c r="T52" s="154">
        <f>IFERROR(IF(ISBLANK(R52),VLOOKUP(NCH[[#This Row],[CEDULA]],BIO[],7,0),VLOOKUP(NCH[[#This Row],[CEDULA]],BIO[],7,0)),"No tiene huella Biometrico")</f>
        <v>0.28247685185185184</v>
      </c>
      <c r="U52" s="228">
        <f>IFERROR(IF(ISBLANK(R52),VLOOKUP(NCH[[#This Row],[CEDULA]],BIO[],8,0),VLOOKUP(NCH[[#This Row],[CEDULA]],BIO[],8,0)),"No tiene huella Biometrico")</f>
        <v>0.28400462962962963</v>
      </c>
      <c r="V52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Cumple H</v>
      </c>
      <c r="W52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realizo Metas</v>
      </c>
      <c r="X52" s="106"/>
      <c r="Y52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52" s="154" t="str">
        <f>IFERROR(IF(ISBLANK(X52),VLOOKUP(NCH[[#This Row],[CEDULA]],BIO[],9,0),VLOOKUP(NCH[[#This Row],[CEDULA]],BIO[],9,0)),"No tiene huella Biometrico")</f>
        <v>No Registró</v>
      </c>
      <c r="AA52" s="228" t="str">
        <f>IFERROR(IF(ISBLANK(X52),VLOOKUP(NCH[[#This Row],[CEDULA]],BIO[],10,0),VLOOKUP(NCH[[#This Row],[CEDULA]],BIO[],10,0)),"No tiene huella Biometrico")</f>
        <v>No registró</v>
      </c>
      <c r="AB52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52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52" s="106"/>
      <c r="AE52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52" s="154" t="str">
        <f>IFERROR(IF(ISBLANK(NCH[G5]),VLOOKUP(NCH[[#This Row],[CEDULA]],BIO[],11,0),VLOOKUP(NCH[[#This Row],[CEDULA]],BIO[],11,0)),"No tiene huella Biometrico")</f>
        <v>No registró</v>
      </c>
      <c r="AG52" s="228" t="str">
        <f>IFERROR(IF((NCH[G5]),VLOOKUP(NCH[[#This Row],[CEDULA]],BIO[],12,0),VLOOKUP(NCH[[#This Row],[CEDULA]],BIO[],12,0)),"No tiene huella Biometrico")</f>
        <v>No registró</v>
      </c>
      <c r="AH52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52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52" s="107">
        <v>1</v>
      </c>
      <c r="AK52" s="381">
        <v>1</v>
      </c>
      <c r="AL52" s="154">
        <f>IFERROR(IF(ISBLANK(NCH[G6]),VLOOKUP(NCH[CEDULA],BIO[],13,0),VLOOKUP(NCH[CEDULA],BIO[],13,0)),"No tiene huella Biometrico")</f>
        <v>0.29671296296296296</v>
      </c>
      <c r="AM52" s="230" t="str">
        <f>IFERROR(IF((NCH[G6]),VLOOKUP(NCH[[#This Row],[CEDULA]],BIO[],14,0),VLOOKUP(NCH[[#This Row],[CEDULA]],BIO[],14,0)),"No tiene huella Biometrico")</f>
        <v>No registró</v>
      </c>
      <c r="AN52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salida</v>
      </c>
      <c r="AO52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52" s="107"/>
      <c r="AQ52" s="231">
        <f>IF(NCH[[#This Row],[RUTA]]="0",NCH[[#This Row],[G7]],IF(AND(NCH[[#This Row],[ENTRADA8]]&lt;&gt;"No Registró",NCH[[#This Row],[SALIDA8]]&lt;&gt;"No Registró"),NCH[[#This Row],[G7]],0))</f>
        <v>0</v>
      </c>
      <c r="AR52" s="160">
        <f>IFERROR(IF(ISBLANK(NCH[G7]),VLOOKUP(NCH[CEDULA],BIO[],15,0),VLOOKUP(NCH[CEDULA],BIO[],15,0)),"No tiene huella Biometrico")</f>
        <v>0.2878472222222222</v>
      </c>
      <c r="AS52" s="230" t="str">
        <f>IFERROR(IF(ISBLANK(NCH[G7]),VLOOKUP(NCH[[#This Row],[CEDULA]],BIO[],16,0),VLOOKUP(NCH[[#This Row],[CEDULA]],BIO[],16,0)),"No tiene huella Biometrico")</f>
        <v>No registró</v>
      </c>
      <c r="AT52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salida</v>
      </c>
      <c r="AU52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52" s="105">
        <f>NCH[[#This Row],[META]]+NCH[[#This Row],[META2]]+NCH[[#This Row],[META3]]</f>
        <v>1</v>
      </c>
      <c r="AW52" s="105">
        <f>NCH[[#This Row],[META4]]+NCH[[#This Row],[META5]]+NCH[[#This Row],[META6]]+NCH[[#This Row],[META7]]</f>
        <v>1</v>
      </c>
      <c r="AX52" s="231">
        <f>NCH[[#This Row],[TOTAL L-V]]+NCH[[#This Row],[TOTAL S-D]]</f>
        <v>2</v>
      </c>
      <c r="AY52" s="232" t="str">
        <f>VLOOKUP(NCH[[#This Row],[CEDULA]],METAS[],20,0)</f>
        <v>MONTAR GUARDIASDIURNAS Y NOCTURNAS, TODO LOS DIAS EN SUS RESPECTIVOS PUESTOS Y ESTAN DISTRIBUIDOS EN 4 GRUPOS , LAS ACTIVIDADES SON RECURRENTE</v>
      </c>
      <c r="AZ52" s="232">
        <f>VLOOKUP(NCH[[#This Row],[CEDULA]],METAS[],22,0)</f>
        <v>0</v>
      </c>
    </row>
    <row r="53" spans="1:52" ht="45" x14ac:dyDescent="0.25">
      <c r="A53" s="105">
        <f>IF(NCH[[#This Row],[CEDULA]]&gt;1,0,"")</f>
        <v>0</v>
      </c>
      <c r="B53" s="280">
        <v>6826775</v>
      </c>
      <c r="C53" s="125" t="str">
        <f>VLOOKUP(NCH[[#This Row],[CEDULA]],DATOS[],2,0)</f>
        <v>GONZALEZ CARLOS</v>
      </c>
      <c r="D53" s="108" t="s">
        <v>862</v>
      </c>
      <c r="E53" s="131" t="str">
        <f>MID(VLOOKUP(NCH[[#This Row],[CEDULA]],DATOS[],10,0),1,1)</f>
        <v/>
      </c>
      <c r="F53" s="106"/>
      <c r="G53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53" s="154" t="str">
        <f>IFERROR(IF(ISBLANK(F53),VLOOKUP(NCH[[#This Row],[CEDULA]],BIO[],3,0),VLOOKUP(NCH[[#This Row],[CEDULA]],BIO[],3,0)),"No tiene huella Biometrico")</f>
        <v>No registró</v>
      </c>
      <c r="I53" s="228" t="str">
        <f>IFERROR(IF(ISBLANK(F53),VLOOKUP(NCH[[#This Row],[CEDULA]],BIO[],4,0),VLOOKUP(NCH[[#This Row],[CEDULA]],BIO[],4,0)),"No tiene huella Biometrico")</f>
        <v>No registró</v>
      </c>
      <c r="J53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registro Biometrico</v>
      </c>
      <c r="K53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cumple H</v>
      </c>
      <c r="L53" s="106">
        <v>1</v>
      </c>
      <c r="M53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1</v>
      </c>
      <c r="N53" s="154">
        <f>IFERROR(IF(ISBLANK(L53),VLOOKUP(NCH[[#This Row],[CEDULA]],BIO[],5,0),VLOOKUP(NCH[[#This Row],[CEDULA]],BIO[],5,0)),"No tiene huella Biometrico")</f>
        <v>0.26011574074074073</v>
      </c>
      <c r="O53" s="228">
        <f>IFERROR(IF(ISBLANK(L53),VLOOKUP(NCH[[#This Row],[CEDULA]],BIO[],6,0),VLOOKUP(NCH[[#This Row],[CEDULA]],BIO[],6,0)),"No tiene huella Biometrico")</f>
        <v>0.94569444444444439</v>
      </c>
      <c r="P53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Horario Metas</v>
      </c>
      <c r="Q53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Horario Metas</v>
      </c>
      <c r="R53" s="106"/>
      <c r="S53" s="367"/>
      <c r="T53" s="154">
        <f>IFERROR(IF(ISBLANK(R53),VLOOKUP(NCH[[#This Row],[CEDULA]],BIO[],7,0),VLOOKUP(NCH[[#This Row],[CEDULA]],BIO[],7,0)),"No tiene huella Biometrico")</f>
        <v>1.1655092592592594E-2</v>
      </c>
      <c r="U53" s="228">
        <f>IFERROR(IF(ISBLANK(R53),VLOOKUP(NCH[[#This Row],[CEDULA]],BIO[],8,0),VLOOKUP(NCH[[#This Row],[CEDULA]],BIO[],8,0)),"No tiene huella Biometrico")</f>
        <v>0.27732638888888889</v>
      </c>
      <c r="V53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Cumple H</v>
      </c>
      <c r="W53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realizo Metas</v>
      </c>
      <c r="X53" s="106"/>
      <c r="Y53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53" s="154" t="str">
        <f>IFERROR(IF(ISBLANK(X53),VLOOKUP(NCH[[#This Row],[CEDULA]],BIO[],9,0),VLOOKUP(NCH[[#This Row],[CEDULA]],BIO[],9,0)),"No tiene huella Biometrico")</f>
        <v>No Registró</v>
      </c>
      <c r="AA53" s="228" t="str">
        <f>IFERROR(IF(ISBLANK(X53),VLOOKUP(NCH[[#This Row],[CEDULA]],BIO[],10,0),VLOOKUP(NCH[[#This Row],[CEDULA]],BIO[],10,0)),"No tiene huella Biometrico")</f>
        <v>No registró</v>
      </c>
      <c r="AB53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53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53" s="106"/>
      <c r="AE53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53" s="154" t="str">
        <f>IFERROR(IF(ISBLANK(NCH[G5]),VLOOKUP(NCH[[#This Row],[CEDULA]],BIO[],11,0),VLOOKUP(NCH[[#This Row],[CEDULA]],BIO[],11,0)),"No tiene huella Biometrico")</f>
        <v>No registró</v>
      </c>
      <c r="AG53" s="228" t="str">
        <f>IFERROR(IF((NCH[G5]),VLOOKUP(NCH[[#This Row],[CEDULA]],BIO[],12,0),VLOOKUP(NCH[[#This Row],[CEDULA]],BIO[],12,0)),"No tiene huella Biometrico")</f>
        <v>No registró</v>
      </c>
      <c r="AH53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53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53" s="107">
        <v>1</v>
      </c>
      <c r="AK53" s="369">
        <f>IF(NCH[[#This Row],[RUTA]]="0",NCH[[#This Row],[G6]],IF(AND(NCH[[#This Row],[ENTRADA7]]&lt;&gt;"No Registró",NCH[[#This Row],[SALIDA7]]&lt;&gt;"No Registró"),NCH[[#This Row],[G6]],0))</f>
        <v>1</v>
      </c>
      <c r="AL53" s="154">
        <f>IFERROR(IF(ISBLANK(NCH[G6]),VLOOKUP(NCH[CEDULA],BIO[],13,0),VLOOKUP(NCH[CEDULA],BIO[],13,0)),"No tiene huella Biometrico")</f>
        <v>0.28050925925925924</v>
      </c>
      <c r="AM53" s="230">
        <f>IFERROR(IF((NCH[G6]),VLOOKUP(NCH[[#This Row],[CEDULA]],BIO[],14,0),VLOOKUP(NCH[[#This Row],[CEDULA]],BIO[],14,0)),"No tiene huella Biometrico")</f>
        <v>0.96991898148148159</v>
      </c>
      <c r="AN53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Horario Metas</v>
      </c>
      <c r="AO53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Horario Metas</v>
      </c>
      <c r="AP53" s="107"/>
      <c r="AQ53" s="231">
        <f>IF(NCH[[#This Row],[RUTA]]="0",NCH[[#This Row],[G7]],IF(AND(NCH[[#This Row],[ENTRADA8]]&lt;&gt;"No Registró",NCH[[#This Row],[SALIDA8]]&lt;&gt;"No Registró"),NCH[[#This Row],[G7]],0))</f>
        <v>0</v>
      </c>
      <c r="AR53" s="160">
        <f>IFERROR(IF(ISBLANK(NCH[G7]),VLOOKUP(NCH[CEDULA],BIO[],15,0),VLOOKUP(NCH[CEDULA],BIO[],15,0)),"No tiene huella Biometrico")</f>
        <v>1.1574074074074073E-3</v>
      </c>
      <c r="AS53" s="230">
        <f>IFERROR(IF(ISBLANK(NCH[G7]),VLOOKUP(NCH[[#This Row],[CEDULA]],BIO[],16,0),VLOOKUP(NCH[[#This Row],[CEDULA]],BIO[],16,0)),"No tiene huella Biometrico")</f>
        <v>0.28854166666666664</v>
      </c>
      <c r="AT53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Cumple H</v>
      </c>
      <c r="AU53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realizo Metas</v>
      </c>
      <c r="AV53" s="105">
        <f>NCH[[#This Row],[META]]+NCH[[#This Row],[META2]]+NCH[[#This Row],[META3]]</f>
        <v>1</v>
      </c>
      <c r="AW53" s="105">
        <f>NCH[[#This Row],[META4]]+NCH[[#This Row],[META5]]+NCH[[#This Row],[META6]]+NCH[[#This Row],[META7]]</f>
        <v>1</v>
      </c>
      <c r="AX53" s="231">
        <f>NCH[[#This Row],[TOTAL L-V]]+NCH[[#This Row],[TOTAL S-D]]</f>
        <v>2</v>
      </c>
      <c r="AY53" s="232" t="str">
        <f>VLOOKUP(NCH[[#This Row],[CEDULA]],METAS[],20,0)</f>
        <v>MONTAR GUARDIASDIURNAS Y NOCTURNAS, TODO LOS DIAS EN SUS RESPECTIVOS PUESTOS Y ESTAN DISTRIBUIDOS EN 4 GRUPOS , LAS ACTIVIDADES SON RECURRENTE</v>
      </c>
      <c r="AZ53" s="232">
        <f>VLOOKUP(NCH[[#This Row],[CEDULA]],METAS[],22,0)</f>
        <v>0</v>
      </c>
    </row>
    <row r="54" spans="1:52" ht="45" x14ac:dyDescent="0.25">
      <c r="A54" s="105">
        <f>IF(NCH[[#This Row],[CEDULA]]&gt;1,0,"")</f>
        <v>0</v>
      </c>
      <c r="B54" s="280">
        <v>15574216</v>
      </c>
      <c r="C54" s="125" t="str">
        <f>VLOOKUP(NCH[[#This Row],[CEDULA]],DATOS[],2,0)</f>
        <v>TERAN LUIS</v>
      </c>
      <c r="D54" s="108" t="s">
        <v>862</v>
      </c>
      <c r="E54" s="131" t="str">
        <f>MID(VLOOKUP(NCH[[#This Row],[CEDULA]],DATOS[],10,0),1,1)</f>
        <v>1</v>
      </c>
      <c r="F54" s="106"/>
      <c r="G54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54" s="154" t="str">
        <f>IFERROR(IF(ISBLANK(F54),VLOOKUP(NCH[[#This Row],[CEDULA]],BIO[],3,0),VLOOKUP(NCH[[#This Row],[CEDULA]],BIO[],3,0)),"No tiene huella Biometrico")</f>
        <v>No registró</v>
      </c>
      <c r="I54" s="228" t="str">
        <f>IFERROR(IF(ISBLANK(F54),VLOOKUP(NCH[[#This Row],[CEDULA]],BIO[],4,0),VLOOKUP(NCH[[#This Row],[CEDULA]],BIO[],4,0)),"No tiene huella Biometrico")</f>
        <v>No registró</v>
      </c>
      <c r="J54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registro Biometrico</v>
      </c>
      <c r="K54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cumple H</v>
      </c>
      <c r="L54" s="106"/>
      <c r="M54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54" s="154">
        <f>IFERROR(IF(ISBLANK(L54),VLOOKUP(NCH[[#This Row],[CEDULA]],BIO[],5,0),VLOOKUP(NCH[[#This Row],[CEDULA]],BIO[],5,0)),"No tiene huella Biometrico")</f>
        <v>0.39188657407407407</v>
      </c>
      <c r="O54" s="228">
        <f>IFERROR(IF(ISBLANK(L54),VLOOKUP(NCH[[#This Row],[CEDULA]],BIO[],6,0),VLOOKUP(NCH[[#This Row],[CEDULA]],BIO[],6,0)),"No tiene huella Biometrico")</f>
        <v>0.39262731481481478</v>
      </c>
      <c r="P54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54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54" s="106">
        <v>1</v>
      </c>
      <c r="S54" s="379">
        <v>1</v>
      </c>
      <c r="T54" s="154">
        <f>IFERROR(IF(ISBLANK(R54),VLOOKUP(NCH[[#This Row],[CEDULA]],BIO[],7,0),VLOOKUP(NCH[[#This Row],[CEDULA]],BIO[],7,0)),"No tiene huella Biometrico")</f>
        <v>0.28211805555555552</v>
      </c>
      <c r="U54" s="228" t="str">
        <f>IFERROR(IF(ISBLANK(R54),VLOOKUP(NCH[[#This Row],[CEDULA]],BIO[],8,0),VLOOKUP(NCH[[#This Row],[CEDULA]],BIO[],8,0)),"No tiene huella Biometrico")</f>
        <v>No registró</v>
      </c>
      <c r="V54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salida</v>
      </c>
      <c r="W54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54" s="106"/>
      <c r="Y54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54" s="154">
        <f>IFERROR(IF(ISBLANK(X54),VLOOKUP(NCH[[#This Row],[CEDULA]],BIO[],9,0),VLOOKUP(NCH[[#This Row],[CEDULA]],BIO[],9,0)),"No tiene huella Biometrico")</f>
        <v>0.29846064814814816</v>
      </c>
      <c r="AA54" s="228" t="str">
        <f>IFERROR(IF(ISBLANK(X54),VLOOKUP(NCH[[#This Row],[CEDULA]],BIO[],10,0),VLOOKUP(NCH[[#This Row],[CEDULA]],BIO[],10,0)),"No tiene huella Biometrico")</f>
        <v>No registró</v>
      </c>
      <c r="AB54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salida</v>
      </c>
      <c r="AC54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54" s="106"/>
      <c r="AE54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54" s="154" t="str">
        <f>IFERROR(IF(ISBLANK(NCH[G5]),VLOOKUP(NCH[[#This Row],[CEDULA]],BIO[],11,0),VLOOKUP(NCH[[#This Row],[CEDULA]],BIO[],11,0)),"No tiene huella Biometrico")</f>
        <v>No registró</v>
      </c>
      <c r="AG54" s="228" t="str">
        <f>IFERROR(IF((NCH[G5]),VLOOKUP(NCH[[#This Row],[CEDULA]],BIO[],12,0),VLOOKUP(NCH[[#This Row],[CEDULA]],BIO[],12,0)),"No tiene huella Biometrico")</f>
        <v>No registró</v>
      </c>
      <c r="AH54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54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54" s="107"/>
      <c r="AK54" s="369">
        <f>IF(NCH[[#This Row],[RUTA]]="0",NCH[[#This Row],[G6]],IF(AND(NCH[[#This Row],[ENTRADA7]]&lt;&gt;"No Registró",NCH[[#This Row],[SALIDA7]]&lt;&gt;"No Registró"),NCH[[#This Row],[G6]],0))</f>
        <v>0</v>
      </c>
      <c r="AL54" s="154" t="str">
        <f>IFERROR(IF(ISBLANK(NCH[G6]),VLOOKUP(NCH[CEDULA],BIO[],13,0),VLOOKUP(NCH[CEDULA],BIO[],13,0)),"No tiene huella Biometrico")</f>
        <v>No registró</v>
      </c>
      <c r="AM54" s="230" t="str">
        <f>IFERROR(IF((NCH[G6]),VLOOKUP(NCH[[#This Row],[CEDULA]],BIO[],14,0),VLOOKUP(NCH[[#This Row],[CEDULA]],BIO[],14,0)),"No tiene huella Biometrico")</f>
        <v>No registró</v>
      </c>
      <c r="AN54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54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54" s="107">
        <v>1</v>
      </c>
      <c r="AQ54" s="382">
        <v>1</v>
      </c>
      <c r="AR54" s="160">
        <f>IFERROR(IF(ISBLANK(NCH[G7]),VLOOKUP(NCH[CEDULA],BIO[],15,0),VLOOKUP(NCH[CEDULA],BIO[],15,0)),"No tiene huella Biometrico")</f>
        <v>0.28739583333333335</v>
      </c>
      <c r="AS54" s="230" t="str">
        <f>IFERROR(IF(ISBLANK(NCH[G7]),VLOOKUP(NCH[[#This Row],[CEDULA]],BIO[],16,0),VLOOKUP(NCH[[#This Row],[CEDULA]],BIO[],16,0)),"No tiene huella Biometrico")</f>
        <v>No registró</v>
      </c>
      <c r="AT54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salida</v>
      </c>
      <c r="AU54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54" s="105">
        <f>NCH[[#This Row],[META]]+NCH[[#This Row],[META2]]+NCH[[#This Row],[META3]]</f>
        <v>1</v>
      </c>
      <c r="AW54" s="105">
        <f>NCH[[#This Row],[META4]]+NCH[[#This Row],[META5]]+NCH[[#This Row],[META6]]+NCH[[#This Row],[META7]]</f>
        <v>1</v>
      </c>
      <c r="AX54" s="231">
        <f>NCH[[#This Row],[TOTAL L-V]]+NCH[[#This Row],[TOTAL S-D]]</f>
        <v>2</v>
      </c>
      <c r="AY54" s="232" t="str">
        <f>VLOOKUP(NCH[[#This Row],[CEDULA]],METAS[],20,0)</f>
        <v>MONTAR GUARDIASDIURNAS Y NOCTURNAS, TODO LOS DIAS EN SUS RESPECTIVOS PUESTOS Y ESTAN DISTRIBUIDOS EN 4 GRUPOS , LAS ACTIVIDADES SON RECURRENTE</v>
      </c>
      <c r="AZ54" s="232">
        <f>VLOOKUP(NCH[[#This Row],[CEDULA]],METAS[],22,0)</f>
        <v>0</v>
      </c>
    </row>
    <row r="55" spans="1:52" ht="45" x14ac:dyDescent="0.25">
      <c r="A55" s="105">
        <f>IF(NCH[[#This Row],[CEDULA]]&gt;1,0,"")</f>
        <v>0</v>
      </c>
      <c r="B55" s="280">
        <v>6852779</v>
      </c>
      <c r="C55" s="125" t="str">
        <f>VLOOKUP(NCH[[#This Row],[CEDULA]],DATOS[],2,0)</f>
        <v>HERNANDEZ CARLOS</v>
      </c>
      <c r="D55" s="108" t="s">
        <v>862</v>
      </c>
      <c r="E55" s="131" t="str">
        <f>MID(VLOOKUP(NCH[[#This Row],[CEDULA]],DATOS[],10,0),1,1)</f>
        <v/>
      </c>
      <c r="F55" s="106"/>
      <c r="G55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55" s="154">
        <f>IFERROR(IF(ISBLANK(F55),VLOOKUP(NCH[[#This Row],[CEDULA]],BIO[],3,0),VLOOKUP(NCH[[#This Row],[CEDULA]],BIO[],3,0)),"No tiene huella Biometrico")</f>
        <v>0.30266203703703703</v>
      </c>
      <c r="I55" s="228">
        <f>IFERROR(IF(ISBLANK(F55),VLOOKUP(NCH[[#This Row],[CEDULA]],BIO[],4,0),VLOOKUP(NCH[[#This Row],[CEDULA]],BIO[],4,0)),"No tiene huella Biometrico")</f>
        <v>0.36469907407407409</v>
      </c>
      <c r="J55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Cumple H</v>
      </c>
      <c r="K55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55" s="106"/>
      <c r="M55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55" s="154" t="str">
        <f>IFERROR(IF(ISBLANK(L55),VLOOKUP(NCH[[#This Row],[CEDULA]],BIO[],5,0),VLOOKUP(NCH[[#This Row],[CEDULA]],BIO[],5,0)),"No tiene huella Biometrico")</f>
        <v>No registró</v>
      </c>
      <c r="O55" s="228" t="str">
        <f>IFERROR(IF(ISBLANK(L55),VLOOKUP(NCH[[#This Row],[CEDULA]],BIO[],6,0),VLOOKUP(NCH[[#This Row],[CEDULA]],BIO[],6,0)),"No tiene huella Biometrico")</f>
        <v>No Registró</v>
      </c>
      <c r="P55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registro Biometrico</v>
      </c>
      <c r="Q55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cumple H</v>
      </c>
      <c r="R55" s="106"/>
      <c r="S55" s="367"/>
      <c r="T55" s="154" t="str">
        <f>IFERROR(IF(ISBLANK(R55),VLOOKUP(NCH[[#This Row],[CEDULA]],BIO[],7,0),VLOOKUP(NCH[[#This Row],[CEDULA]],BIO[],7,0)),"No tiene huella Biometrico")</f>
        <v>No registró</v>
      </c>
      <c r="U55" s="228" t="str">
        <f>IFERROR(IF(ISBLANK(R55),VLOOKUP(NCH[[#This Row],[CEDULA]],BIO[],8,0),VLOOKUP(NCH[[#This Row],[CEDULA]],BIO[],8,0)),"No tiene huella Biometrico")</f>
        <v>No registró</v>
      </c>
      <c r="V55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55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55" s="106">
        <v>1</v>
      </c>
      <c r="Y55" s="380">
        <v>1</v>
      </c>
      <c r="Z55" s="154">
        <f>IFERROR(IF(ISBLANK(X55),VLOOKUP(NCH[[#This Row],[CEDULA]],BIO[],9,0),VLOOKUP(NCH[[#This Row],[CEDULA]],BIO[],9,0)),"No tiene huella Biometrico")</f>
        <v>0.26269675925925923</v>
      </c>
      <c r="AA55" s="228" t="str">
        <f>IFERROR(IF(ISBLANK(X55),VLOOKUP(NCH[[#This Row],[CEDULA]],BIO[],10,0),VLOOKUP(NCH[[#This Row],[CEDULA]],BIO[],10,0)),"No tiene huella Biometrico")</f>
        <v>No registró</v>
      </c>
      <c r="AB55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salida</v>
      </c>
      <c r="AC55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55" s="106"/>
      <c r="AE55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55" s="154">
        <f>IFERROR(IF(ISBLANK(NCH[G5]),VLOOKUP(NCH[[#This Row],[CEDULA]],BIO[],11,0),VLOOKUP(NCH[[#This Row],[CEDULA]],BIO[],11,0)),"No tiene huella Biometrico")</f>
        <v>0.33659722222222221</v>
      </c>
      <c r="AG55" s="228" t="str">
        <f>IFERROR(IF((NCH[G5]),VLOOKUP(NCH[[#This Row],[CEDULA]],BIO[],12,0),VLOOKUP(NCH[[#This Row],[CEDULA]],BIO[],12,0)),"No tiene huella Biometrico")</f>
        <v>No registró</v>
      </c>
      <c r="AH55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salida</v>
      </c>
      <c r="AI55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55" s="107"/>
      <c r="AK55" s="369">
        <f>IF(NCH[[#This Row],[RUTA]]="0",NCH[[#This Row],[G6]],IF(AND(NCH[[#This Row],[ENTRADA7]]&lt;&gt;"No Registró",NCH[[#This Row],[SALIDA7]]&lt;&gt;"No Registró"),NCH[[#This Row],[G6]],0))</f>
        <v>0</v>
      </c>
      <c r="AL55" s="154" t="str">
        <f>IFERROR(IF(ISBLANK(NCH[G6]),VLOOKUP(NCH[CEDULA],BIO[],13,0),VLOOKUP(NCH[CEDULA],BIO[],13,0)),"No tiene huella Biometrico")</f>
        <v>No registró</v>
      </c>
      <c r="AM55" s="230" t="str">
        <f>IFERROR(IF((NCH[G6]),VLOOKUP(NCH[[#This Row],[CEDULA]],BIO[],14,0),VLOOKUP(NCH[[#This Row],[CEDULA]],BIO[],14,0)),"No tiene huella Biometrico")</f>
        <v>No registró</v>
      </c>
      <c r="AN55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55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55" s="107"/>
      <c r="AQ55" s="231">
        <f>IF(NCH[[#This Row],[RUTA]]="0",NCH[[#This Row],[G7]],IF(AND(NCH[[#This Row],[ENTRADA8]]&lt;&gt;"No Registró",NCH[[#This Row],[SALIDA8]]&lt;&gt;"No Registró"),NCH[[#This Row],[G7]],0))</f>
        <v>0</v>
      </c>
      <c r="AR55" s="160" t="str">
        <f>IFERROR(IF(ISBLANK(NCH[G7]),VLOOKUP(NCH[CEDULA],BIO[],15,0),VLOOKUP(NCH[CEDULA],BIO[],15,0)),"No tiene huella Biometrico")</f>
        <v>No registró</v>
      </c>
      <c r="AS55" s="230" t="str">
        <f>IFERROR(IF(ISBLANK(NCH[G7]),VLOOKUP(NCH[[#This Row],[CEDULA]],BIO[],16,0),VLOOKUP(NCH[[#This Row],[CEDULA]],BIO[],16,0)),"No tiene huella Biometrico")</f>
        <v>No registró</v>
      </c>
      <c r="AT55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55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55" s="105">
        <f>NCH[[#This Row],[META]]+NCH[[#This Row],[META2]]+NCH[[#This Row],[META3]]</f>
        <v>0</v>
      </c>
      <c r="AW55" s="105">
        <f>NCH[[#This Row],[META4]]+NCH[[#This Row],[META5]]+NCH[[#This Row],[META6]]+NCH[[#This Row],[META7]]</f>
        <v>1</v>
      </c>
      <c r="AX55" s="231">
        <f>NCH[[#This Row],[TOTAL L-V]]+NCH[[#This Row],[TOTAL S-D]]</f>
        <v>1</v>
      </c>
      <c r="AY55" s="232" t="str">
        <f>VLOOKUP(NCH[[#This Row],[CEDULA]],METAS[],20,0)</f>
        <v>MONTAR GUARDIASDIURNAS Y NOCTURNAS, TODO LOS DIAS EN SUS RESPECTIVOS PUESTOS Y ESTAN DISTRIBUIDOS EN 4 GRUPOS , LAS ACTIVIDADES SON RECURRENTE</v>
      </c>
      <c r="AZ55" s="232">
        <f>VLOOKUP(NCH[[#This Row],[CEDULA]],METAS[],22,0)</f>
        <v>0</v>
      </c>
    </row>
    <row r="56" spans="1:52" ht="30" x14ac:dyDescent="0.25">
      <c r="A56" s="105">
        <f>IF(NCH[[#This Row],[CEDULA]]&gt;1,0,"")</f>
        <v>0</v>
      </c>
      <c r="B56" s="280">
        <v>6853103</v>
      </c>
      <c r="C56" s="125" t="str">
        <f>VLOOKUP(NCH[[#This Row],[CEDULA]],DATOS[],2,0)</f>
        <v>PEREIRA RAMON</v>
      </c>
      <c r="D56" s="108" t="s">
        <v>862</v>
      </c>
      <c r="E56" s="131" t="str">
        <f>MID(VLOOKUP(NCH[[#This Row],[CEDULA]],DATOS[],10,0),1,1)</f>
        <v>1</v>
      </c>
      <c r="F56" s="106">
        <v>1</v>
      </c>
      <c r="G56" s="379">
        <v>1</v>
      </c>
      <c r="H56" s="154">
        <f>IFERROR(IF(ISBLANK(F56),VLOOKUP(NCH[[#This Row],[CEDULA]],BIO[],3,0),VLOOKUP(NCH[[#This Row],[CEDULA]],BIO[],3,0)),"No tiene huella Biometrico")</f>
        <v>0.2842824074074074</v>
      </c>
      <c r="I56" s="228">
        <f>IFERROR(IF(ISBLANK(F56),VLOOKUP(NCH[[#This Row],[CEDULA]],BIO[],4,0),VLOOKUP(NCH[[#This Row],[CEDULA]],BIO[],4,0)),"No tiene huella Biometrico")</f>
        <v>0.63380787037037034</v>
      </c>
      <c r="J56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56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cumple H</v>
      </c>
      <c r="L56" s="106">
        <v>1</v>
      </c>
      <c r="M56" s="379">
        <v>1</v>
      </c>
      <c r="N56" s="154">
        <f>IFERROR(IF(ISBLANK(L56),VLOOKUP(NCH[[#This Row],[CEDULA]],BIO[],5,0),VLOOKUP(NCH[[#This Row],[CEDULA]],BIO[],5,0)),"No tiene huella Biometrico")</f>
        <v>0.27949074074074076</v>
      </c>
      <c r="O56" s="228">
        <f>IFERROR(IF(ISBLANK(L56),VLOOKUP(NCH[[#This Row],[CEDULA]],BIO[],6,0),VLOOKUP(NCH[[#This Row],[CEDULA]],BIO[],6,0)),"No tiene huella Biometrico")</f>
        <v>0.40440972222222221</v>
      </c>
      <c r="P56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56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cumple H</v>
      </c>
      <c r="R56" s="106">
        <v>1</v>
      </c>
      <c r="S56" s="379">
        <v>1</v>
      </c>
      <c r="T56" s="154">
        <f>IFERROR(IF(ISBLANK(R56),VLOOKUP(NCH[[#This Row],[CEDULA]],BIO[],7,0),VLOOKUP(NCH[[#This Row],[CEDULA]],BIO[],7,0)),"No tiene huella Biometrico")</f>
        <v>0.40622685185185187</v>
      </c>
      <c r="U56" s="228">
        <f>IFERROR(IF(ISBLANK(R56),VLOOKUP(NCH[[#This Row],[CEDULA]],BIO[],8,0),VLOOKUP(NCH[[#This Row],[CEDULA]],BIO[],8,0)),"No tiene huella Biometrico")</f>
        <v>0.88043981481481481</v>
      </c>
      <c r="V56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Cumple H</v>
      </c>
      <c r="W56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56" s="106"/>
      <c r="Y56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56" s="154" t="str">
        <f>IFERROR(IF(ISBLANK(X56),VLOOKUP(NCH[[#This Row],[CEDULA]],BIO[],9,0),VLOOKUP(NCH[[#This Row],[CEDULA]],BIO[],9,0)),"No tiene huella Biometrico")</f>
        <v>No Registró</v>
      </c>
      <c r="AA56" s="228" t="str">
        <f>IFERROR(IF(ISBLANK(X56),VLOOKUP(NCH[[#This Row],[CEDULA]],BIO[],10,0),VLOOKUP(NCH[[#This Row],[CEDULA]],BIO[],10,0)),"No tiene huella Biometrico")</f>
        <v>No registró</v>
      </c>
      <c r="AB56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56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56" s="106">
        <v>1</v>
      </c>
      <c r="AE56" s="368">
        <v>1</v>
      </c>
      <c r="AF56" s="154">
        <f>IFERROR(IF(ISBLANK(NCH[G5]),VLOOKUP(NCH[[#This Row],[CEDULA]],BIO[],11,0),VLOOKUP(NCH[[#This Row],[CEDULA]],BIO[],11,0)),"No tiene huella Biometrico")</f>
        <v>0.29828703703703702</v>
      </c>
      <c r="AG56" s="228">
        <f>IFERROR(IF((NCH[G5]),VLOOKUP(NCH[[#This Row],[CEDULA]],BIO[],12,0),VLOOKUP(NCH[[#This Row],[CEDULA]],BIO[],12,0)),"No tiene huella Biometrico")</f>
        <v>0.35380787037037037</v>
      </c>
      <c r="AH56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Cumple H</v>
      </c>
      <c r="AI56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56" s="107"/>
      <c r="AK56" s="369">
        <f>IF(NCH[[#This Row],[RUTA]]="0",NCH[[#This Row],[G6]],IF(AND(NCH[[#This Row],[ENTRADA7]]&lt;&gt;"No Registró",NCH[[#This Row],[SALIDA7]]&lt;&gt;"No Registró"),NCH[[#This Row],[G6]],0))</f>
        <v>0</v>
      </c>
      <c r="AL56" s="154">
        <f>IFERROR(IF(ISBLANK(NCH[G6]),VLOOKUP(NCH[CEDULA],BIO[],13,0),VLOOKUP(NCH[CEDULA],BIO[],13,0)),"No tiene huella Biometrico")</f>
        <v>0.29149305555555555</v>
      </c>
      <c r="AM56" s="230">
        <f>IFERROR(IF((NCH[G6]),VLOOKUP(NCH[[#This Row],[CEDULA]],BIO[],14,0),VLOOKUP(NCH[[#This Row],[CEDULA]],BIO[],14,0)),"No tiene huella Biometrico")</f>
        <v>0.29184027777777777</v>
      </c>
      <c r="AN56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Cumple H</v>
      </c>
      <c r="AO56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realizo Metas</v>
      </c>
      <c r="AP56" s="107"/>
      <c r="AQ56" s="231">
        <f>IF(NCH[[#This Row],[RUTA]]="0",NCH[[#This Row],[G7]],IF(AND(NCH[[#This Row],[ENTRADA8]]&lt;&gt;"No Registró",NCH[[#This Row],[SALIDA8]]&lt;&gt;"No Registró"),NCH[[#This Row],[G7]],0))</f>
        <v>0</v>
      </c>
      <c r="AR56" s="160" t="str">
        <f>IFERROR(IF(ISBLANK(NCH[G7]),VLOOKUP(NCH[CEDULA],BIO[],15,0),VLOOKUP(NCH[CEDULA],BIO[],15,0)),"No tiene huella Biometrico")</f>
        <v>No registró</v>
      </c>
      <c r="AS56" s="230" t="str">
        <f>IFERROR(IF(ISBLANK(NCH[G7]),VLOOKUP(NCH[[#This Row],[CEDULA]],BIO[],16,0),VLOOKUP(NCH[[#This Row],[CEDULA]],BIO[],16,0)),"No tiene huella Biometrico")</f>
        <v>No registró</v>
      </c>
      <c r="AT56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56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56" s="105">
        <f>NCH[[#This Row],[META]]+NCH[[#This Row],[META2]]+NCH[[#This Row],[META3]]</f>
        <v>3</v>
      </c>
      <c r="AW56" s="105">
        <f>NCH[[#This Row],[META4]]+NCH[[#This Row],[META5]]+NCH[[#This Row],[META6]]+NCH[[#This Row],[META7]]</f>
        <v>1</v>
      </c>
      <c r="AX56" s="231">
        <f>NCH[[#This Row],[TOTAL L-V]]+NCH[[#This Row],[TOTAL S-D]]</f>
        <v>4</v>
      </c>
      <c r="AY56" s="232">
        <f>VLOOKUP(NCH[[#This Row],[CEDULA]],METAS[],20,0)</f>
        <v>0</v>
      </c>
      <c r="AZ56" s="232">
        <f>VLOOKUP(NCH[[#This Row],[CEDULA]],METAS[],22,0)</f>
        <v>0</v>
      </c>
    </row>
    <row r="57" spans="1:52" ht="30" x14ac:dyDescent="0.25">
      <c r="A57" s="105">
        <f>IF(NCH[[#This Row],[CEDULA]]&gt;1,0,"")</f>
        <v>0</v>
      </c>
      <c r="B57" s="280">
        <v>10793044</v>
      </c>
      <c r="C57" s="125" t="str">
        <f>VLOOKUP(NCH[[#This Row],[CEDULA]],DATOS[],2,0)</f>
        <v>ORTEGA FREDDY</v>
      </c>
      <c r="D57" s="108" t="s">
        <v>862</v>
      </c>
      <c r="E57" s="131" t="str">
        <f>MID(VLOOKUP(NCH[[#This Row],[CEDULA]],DATOS[],10,0),1,1)</f>
        <v/>
      </c>
      <c r="F57" s="106">
        <v>1</v>
      </c>
      <c r="G57" s="379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57" s="154">
        <f>IFERROR(IF(ISBLANK(F57),VLOOKUP(NCH[[#This Row],[CEDULA]],BIO[],3,0),VLOOKUP(NCH[[#This Row],[CEDULA]],BIO[],3,0)),"No tiene huella Biometrico")</f>
        <v>0.23984953703703704</v>
      </c>
      <c r="I57" s="228">
        <f>IFERROR(IF(ISBLANK(F57),VLOOKUP(NCH[[#This Row],[CEDULA]],BIO[],4,0),VLOOKUP(NCH[[#This Row],[CEDULA]],BIO[],4,0)),"No tiene huella Biometrico")</f>
        <v>0.56032407407407414</v>
      </c>
      <c r="J57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57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cumple H</v>
      </c>
      <c r="L57" s="106">
        <v>1</v>
      </c>
      <c r="M57" s="379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57" s="154">
        <f>IFERROR(IF(ISBLANK(L57),VLOOKUP(NCH[[#This Row],[CEDULA]],BIO[],5,0),VLOOKUP(NCH[[#This Row],[CEDULA]],BIO[],5,0)),"No tiene huella Biometrico")</f>
        <v>0.28140046296296295</v>
      </c>
      <c r="O57" s="228">
        <f>IFERROR(IF(ISBLANK(L57),VLOOKUP(NCH[[#This Row],[CEDULA]],BIO[],6,0),VLOOKUP(NCH[[#This Row],[CEDULA]],BIO[],6,0)),"No tiene huella Biometrico")</f>
        <v>0.55153935185185188</v>
      </c>
      <c r="P57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57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cumple H</v>
      </c>
      <c r="R57" s="106"/>
      <c r="S57" s="367"/>
      <c r="T57" s="154" t="str">
        <f>IFERROR(IF(ISBLANK(R57),VLOOKUP(NCH[[#This Row],[CEDULA]],BIO[],7,0),VLOOKUP(NCH[[#This Row],[CEDULA]],BIO[],7,0)),"No tiene huella Biometrico")</f>
        <v>No registró</v>
      </c>
      <c r="U57" s="228" t="str">
        <f>IFERROR(IF(ISBLANK(R57),VLOOKUP(NCH[[#This Row],[CEDULA]],BIO[],8,0),VLOOKUP(NCH[[#This Row],[CEDULA]],BIO[],8,0)),"No tiene huella Biometrico")</f>
        <v>No registró</v>
      </c>
      <c r="V57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57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57" s="106"/>
      <c r="Y57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57" s="154" t="str">
        <f>IFERROR(IF(ISBLANK(X57),VLOOKUP(NCH[[#This Row],[CEDULA]],BIO[],9,0),VLOOKUP(NCH[[#This Row],[CEDULA]],BIO[],9,0)),"No tiene huella Biometrico")</f>
        <v>No Registró</v>
      </c>
      <c r="AA57" s="228" t="str">
        <f>IFERROR(IF(ISBLANK(X57),VLOOKUP(NCH[[#This Row],[CEDULA]],BIO[],10,0),VLOOKUP(NCH[[#This Row],[CEDULA]],BIO[],10,0)),"No tiene huella Biometrico")</f>
        <v>No registró</v>
      </c>
      <c r="AB57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57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57" s="106"/>
      <c r="AE57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57" s="154" t="str">
        <f>IFERROR(IF(ISBLANK(NCH[G5]),VLOOKUP(NCH[[#This Row],[CEDULA]],BIO[],11,0),VLOOKUP(NCH[[#This Row],[CEDULA]],BIO[],11,0)),"No tiene huella Biometrico")</f>
        <v>No registró</v>
      </c>
      <c r="AG57" s="228" t="str">
        <f>IFERROR(IF((NCH[G5]),VLOOKUP(NCH[[#This Row],[CEDULA]],BIO[],12,0),VLOOKUP(NCH[[#This Row],[CEDULA]],BIO[],12,0)),"No tiene huella Biometrico")</f>
        <v>No registró</v>
      </c>
      <c r="AH57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57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57" s="107"/>
      <c r="AK57" s="369">
        <f>IF(NCH[[#This Row],[RUTA]]="0",NCH[[#This Row],[G6]],IF(AND(NCH[[#This Row],[ENTRADA7]]&lt;&gt;"No Registró",NCH[[#This Row],[SALIDA7]]&lt;&gt;"No Registró"),NCH[[#This Row],[G6]],0))</f>
        <v>0</v>
      </c>
      <c r="AL57" s="154" t="str">
        <f>IFERROR(IF(ISBLANK(NCH[G6]),VLOOKUP(NCH[CEDULA],BIO[],13,0),VLOOKUP(NCH[CEDULA],BIO[],13,0)),"No tiene huella Biometrico")</f>
        <v>No registró</v>
      </c>
      <c r="AM57" s="230" t="str">
        <f>IFERROR(IF((NCH[G6]),VLOOKUP(NCH[[#This Row],[CEDULA]],BIO[],14,0),VLOOKUP(NCH[[#This Row],[CEDULA]],BIO[],14,0)),"No tiene huella Biometrico")</f>
        <v>No registró</v>
      </c>
      <c r="AN57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57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57" s="107"/>
      <c r="AQ57" s="231">
        <f>IF(NCH[[#This Row],[RUTA]]="0",NCH[[#This Row],[G7]],IF(AND(NCH[[#This Row],[ENTRADA8]]&lt;&gt;"No Registró",NCH[[#This Row],[SALIDA8]]&lt;&gt;"No Registró"),NCH[[#This Row],[G7]],0))</f>
        <v>0</v>
      </c>
      <c r="AR57" s="160" t="str">
        <f>IFERROR(IF(ISBLANK(NCH[G7]),VLOOKUP(NCH[CEDULA],BIO[],15,0),VLOOKUP(NCH[CEDULA],BIO[],15,0)),"No tiene huella Biometrico")</f>
        <v>No registró</v>
      </c>
      <c r="AS57" s="230" t="str">
        <f>IFERROR(IF(ISBLANK(NCH[G7]),VLOOKUP(NCH[[#This Row],[CEDULA]],BIO[],16,0),VLOOKUP(NCH[[#This Row],[CEDULA]],BIO[],16,0)),"No tiene huella Biometrico")</f>
        <v>No registró</v>
      </c>
      <c r="AT57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57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57" s="105">
        <f>NCH[[#This Row],[META]]+NCH[[#This Row],[META2]]+NCH[[#This Row],[META3]]</f>
        <v>0</v>
      </c>
      <c r="AW57" s="105">
        <f>NCH[[#This Row],[META4]]+NCH[[#This Row],[META5]]+NCH[[#This Row],[META6]]+NCH[[#This Row],[META7]]</f>
        <v>0</v>
      </c>
      <c r="AX57" s="231">
        <f>NCH[[#This Row],[TOTAL L-V]]+NCH[[#This Row],[TOTAL S-D]]</f>
        <v>0</v>
      </c>
      <c r="AY57" s="232">
        <f>VLOOKUP(NCH[[#This Row],[CEDULA]],METAS[],20,0)</f>
        <v>0</v>
      </c>
      <c r="AZ57" s="232">
        <f>VLOOKUP(NCH[[#This Row],[CEDULA]],METAS[],22,0)</f>
        <v>0</v>
      </c>
    </row>
    <row r="58" spans="1:52" ht="30" x14ac:dyDescent="0.25">
      <c r="A58" s="105">
        <f>IF(NCH[[#This Row],[CEDULA]]&gt;1,0,"")</f>
        <v>0</v>
      </c>
      <c r="B58" s="280">
        <v>17166976</v>
      </c>
      <c r="C58" s="125" t="str">
        <f>VLOOKUP(NCH[[#This Row],[CEDULA]],DATOS[],2,0)</f>
        <v>VEGAS GABRIEL</v>
      </c>
      <c r="D58" s="108" t="s">
        <v>864</v>
      </c>
      <c r="E58" s="131" t="str">
        <f>MID(VLOOKUP(NCH[[#This Row],[CEDULA]],DATOS[],10,0),1,1)</f>
        <v/>
      </c>
      <c r="F58" s="106"/>
      <c r="G58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58" s="154">
        <f>IFERROR(IF(ISBLANK(F58),VLOOKUP(NCH[[#This Row],[CEDULA]],BIO[],3,0),VLOOKUP(NCH[[#This Row],[CEDULA]],BIO[],3,0)),"No tiene huella Biometrico")</f>
        <v>0.30546296296296299</v>
      </c>
      <c r="I58" s="228">
        <f>IFERROR(IF(ISBLANK(F58),VLOOKUP(NCH[[#This Row],[CEDULA]],BIO[],4,0),VLOOKUP(NCH[[#This Row],[CEDULA]],BIO[],4,0)),"No tiene huella Biometrico")</f>
        <v>0.56162037037037038</v>
      </c>
      <c r="J58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58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58" s="106"/>
      <c r="M58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58" s="154">
        <f>IFERROR(IF(ISBLANK(L58),VLOOKUP(NCH[[#This Row],[CEDULA]],BIO[],5,0),VLOOKUP(NCH[[#This Row],[CEDULA]],BIO[],5,0)),"No tiene huella Biometrico")</f>
        <v>0.28515046296296293</v>
      </c>
      <c r="O58" s="228">
        <f>IFERROR(IF(ISBLANK(L58),VLOOKUP(NCH[[#This Row],[CEDULA]],BIO[],6,0),VLOOKUP(NCH[[#This Row],[CEDULA]],BIO[],6,0)),"No tiene huella Biometrico")</f>
        <v>0.57804398148148151</v>
      </c>
      <c r="P58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Cumple Horario</v>
      </c>
      <c r="Q58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58" s="106"/>
      <c r="S58" s="367"/>
      <c r="T58" s="154" t="str">
        <f>IFERROR(IF(ISBLANK(R58),VLOOKUP(NCH[[#This Row],[CEDULA]],BIO[],7,0),VLOOKUP(NCH[[#This Row],[CEDULA]],BIO[],7,0)),"No tiene huella Biometrico")</f>
        <v>No registró</v>
      </c>
      <c r="U58" s="228" t="str">
        <f>IFERROR(IF(ISBLANK(R58),VLOOKUP(NCH[[#This Row],[CEDULA]],BIO[],8,0),VLOOKUP(NCH[[#This Row],[CEDULA]],BIO[],8,0)),"No tiene huella Biometrico")</f>
        <v>No registró</v>
      </c>
      <c r="V58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58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58" s="106">
        <v>1</v>
      </c>
      <c r="Y58" s="380">
        <v>1</v>
      </c>
      <c r="Z58" s="154" t="str">
        <f>IFERROR(IF(ISBLANK(X58),VLOOKUP(NCH[[#This Row],[CEDULA]],BIO[],9,0),VLOOKUP(NCH[[#This Row],[CEDULA]],BIO[],9,0)),"No tiene huella Biometrico")</f>
        <v>No Registró</v>
      </c>
      <c r="AA58" s="228" t="str">
        <f>IFERROR(IF(ISBLANK(X58),VLOOKUP(NCH[[#This Row],[CEDULA]],BIO[],10,0),VLOOKUP(NCH[[#This Row],[CEDULA]],BIO[],10,0)),"No tiene huella Biometrico")</f>
        <v>No registró</v>
      </c>
      <c r="AB58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58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58" s="106">
        <v>1</v>
      </c>
      <c r="AE58" s="380">
        <v>1</v>
      </c>
      <c r="AF58" s="154" t="str">
        <f>IFERROR(IF(ISBLANK(NCH[G5]),VLOOKUP(NCH[[#This Row],[CEDULA]],BIO[],11,0),VLOOKUP(NCH[[#This Row],[CEDULA]],BIO[],11,0)),"No tiene huella Biometrico")</f>
        <v>No registró</v>
      </c>
      <c r="AG58" s="228" t="str">
        <f>IFERROR(IF((NCH[G5]),VLOOKUP(NCH[[#This Row],[CEDULA]],BIO[],12,0),VLOOKUP(NCH[[#This Row],[CEDULA]],BIO[],12,0)),"No tiene huella Biometrico")</f>
        <v>No registró</v>
      </c>
      <c r="AH58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58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58" s="107"/>
      <c r="AK58" s="369">
        <f>IF(NCH[[#This Row],[RUTA]]="0",NCH[[#This Row],[G6]],IF(AND(NCH[[#This Row],[ENTRADA7]]&lt;&gt;"No Registró",NCH[[#This Row],[SALIDA7]]&lt;&gt;"No Registró"),NCH[[#This Row],[G6]],0))</f>
        <v>0</v>
      </c>
      <c r="AL58" s="154" t="str">
        <f>IFERROR(IF(ISBLANK(NCH[G6]),VLOOKUP(NCH[CEDULA],BIO[],13,0),VLOOKUP(NCH[CEDULA],BIO[],13,0)),"No tiene huella Biometrico")</f>
        <v>No registró</v>
      </c>
      <c r="AM58" s="230" t="str">
        <f>IFERROR(IF((NCH[G6]),VLOOKUP(NCH[[#This Row],[CEDULA]],BIO[],14,0),VLOOKUP(NCH[[#This Row],[CEDULA]],BIO[],14,0)),"No tiene huella Biometrico")</f>
        <v>No registró</v>
      </c>
      <c r="AN58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58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58" s="107"/>
      <c r="AQ58" s="231">
        <f>IF(NCH[[#This Row],[RUTA]]="0",NCH[[#This Row],[G7]],IF(AND(NCH[[#This Row],[ENTRADA8]]&lt;&gt;"No Registró",NCH[[#This Row],[SALIDA8]]&lt;&gt;"No Registró"),NCH[[#This Row],[G7]],0))</f>
        <v>0</v>
      </c>
      <c r="AR58" s="160" t="str">
        <f>IFERROR(IF(ISBLANK(NCH[G7]),VLOOKUP(NCH[CEDULA],BIO[],15,0),VLOOKUP(NCH[CEDULA],BIO[],15,0)),"No tiene huella Biometrico")</f>
        <v>No registró</v>
      </c>
      <c r="AS58" s="230" t="str">
        <f>IFERROR(IF(ISBLANK(NCH[G7]),VLOOKUP(NCH[[#This Row],[CEDULA]],BIO[],16,0),VLOOKUP(NCH[[#This Row],[CEDULA]],BIO[],16,0)),"No tiene huella Biometrico")</f>
        <v>No registró</v>
      </c>
      <c r="AT58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58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58" s="105">
        <f>NCH[[#This Row],[META]]+NCH[[#This Row],[META2]]+NCH[[#This Row],[META3]]</f>
        <v>0</v>
      </c>
      <c r="AW58" s="105">
        <f>NCH[[#This Row],[META4]]+NCH[[#This Row],[META5]]+NCH[[#This Row],[META6]]+NCH[[#This Row],[META7]]</f>
        <v>2</v>
      </c>
      <c r="AX58" s="231">
        <f>NCH[[#This Row],[TOTAL L-V]]+NCH[[#This Row],[TOTAL S-D]]</f>
        <v>2</v>
      </c>
      <c r="AY58" s="232" t="str">
        <f>VLOOKUP(NCH[[#This Row],[CEDULA]],METAS[],20,0)</f>
        <v>MONITOREO DE SERVICIOS PREVENTIVOS VIA REMOTA LOS DIAS JUEVES 17-04 Y VIERENES 18-04-2025</v>
      </c>
      <c r="AZ58" s="232">
        <f>VLOOKUP(NCH[[#This Row],[CEDULA]],METAS[],22,0)</f>
        <v>0</v>
      </c>
    </row>
    <row r="59" spans="1:52" ht="30" x14ac:dyDescent="0.25">
      <c r="A59" s="105">
        <f>IF(NCH[[#This Row],[CEDULA]]&gt;1,0,"")</f>
        <v>0</v>
      </c>
      <c r="B59" s="280">
        <v>21345770</v>
      </c>
      <c r="C59" s="125" t="str">
        <f>VLOOKUP(NCH[[#This Row],[CEDULA]],DATOS[],2,0)</f>
        <v>RIVAS ANGEL</v>
      </c>
      <c r="D59" s="108" t="s">
        <v>864</v>
      </c>
      <c r="E59" s="131" t="str">
        <f>MID(VLOOKUP(NCH[[#This Row],[CEDULA]],DATOS[],10,0),1,1)</f>
        <v/>
      </c>
      <c r="F59" s="106"/>
      <c r="G59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59" s="154">
        <f>IFERROR(IF(ISBLANK(F59),VLOOKUP(NCH[[#This Row],[CEDULA]],BIO[],3,0),VLOOKUP(NCH[[#This Row],[CEDULA]],BIO[],3,0)),"No tiene huella Biometrico")</f>
        <v>0.31577546296296294</v>
      </c>
      <c r="I59" s="228">
        <f>IFERROR(IF(ISBLANK(F59),VLOOKUP(NCH[[#This Row],[CEDULA]],BIO[],4,0),VLOOKUP(NCH[[#This Row],[CEDULA]],BIO[],4,0)),"No tiene huella Biometrico")</f>
        <v>0.55811342592592594</v>
      </c>
      <c r="J59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Cumple H</v>
      </c>
      <c r="K59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59" s="106"/>
      <c r="M59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59" s="154">
        <f>IFERROR(IF(ISBLANK(L59),VLOOKUP(NCH[[#This Row],[CEDULA]],BIO[],5,0),VLOOKUP(NCH[[#This Row],[CEDULA]],BIO[],5,0)),"No tiene huella Biometrico")</f>
        <v>0.31717592592592592</v>
      </c>
      <c r="O59" s="228">
        <f>IFERROR(IF(ISBLANK(L59),VLOOKUP(NCH[[#This Row],[CEDULA]],BIO[],6,0),VLOOKUP(NCH[[#This Row],[CEDULA]],BIO[],6,0)),"No tiene huella Biometrico")</f>
        <v>0.57150462962962967</v>
      </c>
      <c r="P59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59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59" s="106"/>
      <c r="S59" s="367"/>
      <c r="T59" s="154" t="str">
        <f>IFERROR(IF(ISBLANK(R59),VLOOKUP(NCH[[#This Row],[CEDULA]],BIO[],7,0),VLOOKUP(NCH[[#This Row],[CEDULA]],BIO[],7,0)),"No tiene huella Biometrico")</f>
        <v>No registró</v>
      </c>
      <c r="U59" s="228" t="str">
        <f>IFERROR(IF(ISBLANK(R59),VLOOKUP(NCH[[#This Row],[CEDULA]],BIO[],8,0),VLOOKUP(NCH[[#This Row],[CEDULA]],BIO[],8,0)),"No tiene huella Biometrico")</f>
        <v>No registró</v>
      </c>
      <c r="V59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59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59" s="106"/>
      <c r="Y59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59" s="154" t="str">
        <f>IFERROR(IF(ISBLANK(X59),VLOOKUP(NCH[[#This Row],[CEDULA]],BIO[],9,0),VLOOKUP(NCH[[#This Row],[CEDULA]],BIO[],9,0)),"No tiene huella Biometrico")</f>
        <v>No Registró</v>
      </c>
      <c r="AA59" s="228" t="str">
        <f>IFERROR(IF(ISBLANK(X59),VLOOKUP(NCH[[#This Row],[CEDULA]],BIO[],10,0),VLOOKUP(NCH[[#This Row],[CEDULA]],BIO[],10,0)),"No tiene huella Biometrico")</f>
        <v>No registró</v>
      </c>
      <c r="AB59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59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59" s="106"/>
      <c r="AE59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59" s="154" t="str">
        <f>IFERROR(IF(ISBLANK(NCH[G5]),VLOOKUP(NCH[[#This Row],[CEDULA]],BIO[],11,0),VLOOKUP(NCH[[#This Row],[CEDULA]],BIO[],11,0)),"No tiene huella Biometrico")</f>
        <v>No registró</v>
      </c>
      <c r="AG59" s="228" t="str">
        <f>IFERROR(IF((NCH[G5]),VLOOKUP(NCH[[#This Row],[CEDULA]],BIO[],12,0),VLOOKUP(NCH[[#This Row],[CEDULA]],BIO[],12,0)),"No tiene huella Biometrico")</f>
        <v>No registró</v>
      </c>
      <c r="AH59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59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59" s="107">
        <v>1</v>
      </c>
      <c r="AK59" s="381">
        <v>1</v>
      </c>
      <c r="AL59" s="154" t="str">
        <f>IFERROR(IF(ISBLANK(NCH[G6]),VLOOKUP(NCH[CEDULA],BIO[],13,0),VLOOKUP(NCH[CEDULA],BIO[],13,0)),"No tiene huella Biometrico")</f>
        <v>No registró</v>
      </c>
      <c r="AM59" s="230" t="str">
        <f>IFERROR(IF((NCH[G6]),VLOOKUP(NCH[[#This Row],[CEDULA]],BIO[],14,0),VLOOKUP(NCH[[#This Row],[CEDULA]],BIO[],14,0)),"No tiene huella Biometrico")</f>
        <v>No registró</v>
      </c>
      <c r="AN59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59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59" s="107"/>
      <c r="AQ59" s="231">
        <f>IF(NCH[[#This Row],[RUTA]]="0",NCH[[#This Row],[G7]],IF(AND(NCH[[#This Row],[ENTRADA8]]&lt;&gt;"No Registró",NCH[[#This Row],[SALIDA8]]&lt;&gt;"No Registró"),NCH[[#This Row],[G7]],0))</f>
        <v>0</v>
      </c>
      <c r="AR59" s="160" t="str">
        <f>IFERROR(IF(ISBLANK(NCH[G7]),VLOOKUP(NCH[CEDULA],BIO[],15,0),VLOOKUP(NCH[CEDULA],BIO[],15,0)),"No tiene huella Biometrico")</f>
        <v>No registró</v>
      </c>
      <c r="AS59" s="230" t="str">
        <f>IFERROR(IF(ISBLANK(NCH[G7]),VLOOKUP(NCH[[#This Row],[CEDULA]],BIO[],16,0),VLOOKUP(NCH[[#This Row],[CEDULA]],BIO[],16,0)),"No tiene huella Biometrico")</f>
        <v>No registró</v>
      </c>
      <c r="AT59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59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59" s="105">
        <f>NCH[[#This Row],[META]]+NCH[[#This Row],[META2]]+NCH[[#This Row],[META3]]</f>
        <v>0</v>
      </c>
      <c r="AW59" s="105">
        <f>NCH[[#This Row],[META4]]+NCH[[#This Row],[META5]]+NCH[[#This Row],[META6]]+NCH[[#This Row],[META7]]</f>
        <v>1</v>
      </c>
      <c r="AX59" s="231">
        <f>NCH[[#This Row],[TOTAL L-V]]+NCH[[#This Row],[TOTAL S-D]]</f>
        <v>1</v>
      </c>
      <c r="AY59" s="232" t="str">
        <f>VLOOKUP(NCH[[#This Row],[CEDULA]],METAS[],20,0)</f>
        <v>GUARDIA PREVENTIVA VIA REMOTA EL DIA SABADO 19-04</v>
      </c>
      <c r="AZ59" s="232">
        <f>VLOOKUP(NCH[[#This Row],[CEDULA]],METAS[],22,0)</f>
        <v>0</v>
      </c>
    </row>
    <row r="60" spans="1:52" ht="30" x14ac:dyDescent="0.25">
      <c r="A60" s="105">
        <f>IF(NCH[[#This Row],[CEDULA]]&gt;1,0,"")</f>
        <v>0</v>
      </c>
      <c r="B60" s="280">
        <v>12410293</v>
      </c>
      <c r="C60" s="125" t="str">
        <f>VLOOKUP(NCH[[#This Row],[CEDULA]],DATOS[],2,0)</f>
        <v>DIAZ TOMAS</v>
      </c>
      <c r="D60" s="108" t="s">
        <v>864</v>
      </c>
      <c r="E60" s="131" t="str">
        <f>MID(VLOOKUP(NCH[[#This Row],[CEDULA]],DATOS[],10,0),1,1)</f>
        <v>5</v>
      </c>
      <c r="F60" s="106"/>
      <c r="G60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60" s="154">
        <f>IFERROR(IF(ISBLANK(F60),VLOOKUP(NCH[[#This Row],[CEDULA]],BIO[],3,0),VLOOKUP(NCH[[#This Row],[CEDULA]],BIO[],3,0)),"No tiene huella Biometrico")</f>
        <v>0.28832175925925924</v>
      </c>
      <c r="I60" s="228">
        <f>IFERROR(IF(ISBLANK(F60),VLOOKUP(NCH[[#This Row],[CEDULA]],BIO[],4,0),VLOOKUP(NCH[[#This Row],[CEDULA]],BIO[],4,0)),"No tiene huella Biometrico")</f>
        <v>0.55569444444444438</v>
      </c>
      <c r="J60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60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60" s="106"/>
      <c r="M60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60" s="154">
        <f>IFERROR(IF(ISBLANK(L60),VLOOKUP(NCH[[#This Row],[CEDULA]],BIO[],5,0),VLOOKUP(NCH[[#This Row],[CEDULA]],BIO[],5,0)),"No tiene huella Biometrico")</f>
        <v>0.30887731481481479</v>
      </c>
      <c r="O60" s="228">
        <f>IFERROR(IF(ISBLANK(L60),VLOOKUP(NCH[[#This Row],[CEDULA]],BIO[],6,0),VLOOKUP(NCH[[#This Row],[CEDULA]],BIO[],6,0)),"No tiene huella Biometrico")</f>
        <v>0.55645833333333339</v>
      </c>
      <c r="P60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60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60" s="106">
        <v>1</v>
      </c>
      <c r="S60" s="379">
        <v>1</v>
      </c>
      <c r="T60" s="154" t="str">
        <f>IFERROR(IF(ISBLANK(R60),VLOOKUP(NCH[[#This Row],[CEDULA]],BIO[],7,0),VLOOKUP(NCH[[#This Row],[CEDULA]],BIO[],7,0)),"No tiene huella Biometrico")</f>
        <v>No registró</v>
      </c>
      <c r="U60" s="228" t="str">
        <f>IFERROR(IF(ISBLANK(R60),VLOOKUP(NCH[[#This Row],[CEDULA]],BIO[],8,0),VLOOKUP(NCH[[#This Row],[CEDULA]],BIO[],8,0)),"No tiene huella Biometrico")</f>
        <v>No registró</v>
      </c>
      <c r="V60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60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60" s="106"/>
      <c r="Y60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60" s="154" t="str">
        <f>IFERROR(IF(ISBLANK(X60),VLOOKUP(NCH[[#This Row],[CEDULA]],BIO[],9,0),VLOOKUP(NCH[[#This Row],[CEDULA]],BIO[],9,0)),"No tiene huella Biometrico")</f>
        <v>No Registró</v>
      </c>
      <c r="AA60" s="228" t="str">
        <f>IFERROR(IF(ISBLANK(X60),VLOOKUP(NCH[[#This Row],[CEDULA]],BIO[],10,0),VLOOKUP(NCH[[#This Row],[CEDULA]],BIO[],10,0)),"No tiene huella Biometrico")</f>
        <v>No registró</v>
      </c>
      <c r="AB60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60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60" s="106"/>
      <c r="AE60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60" s="154" t="str">
        <f>IFERROR(IF(ISBLANK(NCH[G5]),VLOOKUP(NCH[[#This Row],[CEDULA]],BIO[],11,0),VLOOKUP(NCH[[#This Row],[CEDULA]],BIO[],11,0)),"No tiene huella Biometrico")</f>
        <v>No registró</v>
      </c>
      <c r="AG60" s="228" t="str">
        <f>IFERROR(IF((NCH[G5]),VLOOKUP(NCH[[#This Row],[CEDULA]],BIO[],12,0),VLOOKUP(NCH[[#This Row],[CEDULA]],BIO[],12,0)),"No tiene huella Biometrico")</f>
        <v>No registró</v>
      </c>
      <c r="AH60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60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60" s="107"/>
      <c r="AK60" s="369">
        <f>IF(NCH[[#This Row],[RUTA]]="0",NCH[[#This Row],[G6]],IF(AND(NCH[[#This Row],[ENTRADA7]]&lt;&gt;"No Registró",NCH[[#This Row],[SALIDA7]]&lt;&gt;"No Registró"),NCH[[#This Row],[G6]],0))</f>
        <v>0</v>
      </c>
      <c r="AL60" s="154" t="str">
        <f>IFERROR(IF(ISBLANK(NCH[G6]),VLOOKUP(NCH[CEDULA],BIO[],13,0),VLOOKUP(NCH[CEDULA],BIO[],13,0)),"No tiene huella Biometrico")</f>
        <v>No registró</v>
      </c>
      <c r="AM60" s="230" t="str">
        <f>IFERROR(IF((NCH[G6]),VLOOKUP(NCH[[#This Row],[CEDULA]],BIO[],14,0),VLOOKUP(NCH[[#This Row],[CEDULA]],BIO[],14,0)),"No tiene huella Biometrico")</f>
        <v>No registró</v>
      </c>
      <c r="AN60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60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60" s="107"/>
      <c r="AQ60" s="231">
        <f>IF(NCH[[#This Row],[RUTA]]="0",NCH[[#This Row],[G7]],IF(AND(NCH[[#This Row],[ENTRADA8]]&lt;&gt;"No Registró",NCH[[#This Row],[SALIDA8]]&lt;&gt;"No Registró"),NCH[[#This Row],[G7]],0))</f>
        <v>0</v>
      </c>
      <c r="AR60" s="160" t="str">
        <f>IFERROR(IF(ISBLANK(NCH[G7]),VLOOKUP(NCH[CEDULA],BIO[],15,0),VLOOKUP(NCH[CEDULA],BIO[],15,0)),"No tiene huella Biometrico")</f>
        <v>No registró</v>
      </c>
      <c r="AS60" s="230" t="str">
        <f>IFERROR(IF(ISBLANK(NCH[G7]),VLOOKUP(NCH[[#This Row],[CEDULA]],BIO[],16,0),VLOOKUP(NCH[[#This Row],[CEDULA]],BIO[],16,0)),"No tiene huella Biometrico")</f>
        <v>No registró</v>
      </c>
      <c r="AT60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60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60" s="105">
        <f>NCH[[#This Row],[META]]+NCH[[#This Row],[META2]]+NCH[[#This Row],[META3]]</f>
        <v>1</v>
      </c>
      <c r="AW60" s="105">
        <f>NCH[[#This Row],[META4]]+NCH[[#This Row],[META5]]+NCH[[#This Row],[META6]]+NCH[[#This Row],[META7]]</f>
        <v>0</v>
      </c>
      <c r="AX60" s="231">
        <f>NCH[[#This Row],[TOTAL L-V]]+NCH[[#This Row],[TOTAL S-D]]</f>
        <v>1</v>
      </c>
      <c r="AY60" s="232" t="str">
        <f>VLOOKUP(NCH[[#This Row],[CEDULA]],METAS[],20,0)</f>
        <v>GUARDIA PREVENTIVA VIA REMOTA MIERCOLES  16-04</v>
      </c>
      <c r="AZ60" s="232">
        <f>VLOOKUP(NCH[[#This Row],[CEDULA]],METAS[],22,0)</f>
        <v>0</v>
      </c>
    </row>
    <row r="61" spans="1:52" ht="30" x14ac:dyDescent="0.25">
      <c r="A61" s="105">
        <f>IF(NCH[[#This Row],[CEDULA]]&gt;1,0,"")</f>
        <v>0</v>
      </c>
      <c r="B61" s="280">
        <v>6185757</v>
      </c>
      <c r="C61" s="125" t="str">
        <f>VLOOKUP(NCH[[#This Row],[CEDULA]],DATOS[],2,0)</f>
        <v>CARDENAS JOSE</v>
      </c>
      <c r="D61" s="108" t="s">
        <v>864</v>
      </c>
      <c r="E61" s="131" t="str">
        <f>MID(VLOOKUP(NCH[[#This Row],[CEDULA]],DATOS[],10,0),1,1)</f>
        <v>0</v>
      </c>
      <c r="F61" s="106"/>
      <c r="G61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61" s="154">
        <f>IFERROR(IF(ISBLANK(F61),VLOOKUP(NCH[[#This Row],[CEDULA]],BIO[],3,0),VLOOKUP(NCH[[#This Row],[CEDULA]],BIO[],3,0)),"No tiene huella Biometrico")</f>
        <v>0.28313657407407405</v>
      </c>
      <c r="I61" s="228">
        <f>IFERROR(IF(ISBLANK(F61),VLOOKUP(NCH[[#This Row],[CEDULA]],BIO[],4,0),VLOOKUP(NCH[[#This Row],[CEDULA]],BIO[],4,0)),"No tiene huella Biometrico")</f>
        <v>0.64642361111111113</v>
      </c>
      <c r="J61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61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61" s="106"/>
      <c r="M61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61" s="154">
        <f>IFERROR(IF(ISBLANK(L61),VLOOKUP(NCH[[#This Row],[CEDULA]],BIO[],5,0),VLOOKUP(NCH[[#This Row],[CEDULA]],BIO[],5,0)),"No tiene huella Biometrico")</f>
        <v>0.28216435185185185</v>
      </c>
      <c r="O61" s="228">
        <f>IFERROR(IF(ISBLANK(L61),VLOOKUP(NCH[[#This Row],[CEDULA]],BIO[],6,0),VLOOKUP(NCH[[#This Row],[CEDULA]],BIO[],6,0)),"No tiene huella Biometrico")</f>
        <v>0.61275462962962968</v>
      </c>
      <c r="P61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Cumple Horario</v>
      </c>
      <c r="Q61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61" s="106"/>
      <c r="S61" s="367"/>
      <c r="T61" s="154" t="str">
        <f>IFERROR(IF(ISBLANK(R61),VLOOKUP(NCH[[#This Row],[CEDULA]],BIO[],7,0),VLOOKUP(NCH[[#This Row],[CEDULA]],BIO[],7,0)),"No tiene huella Biometrico")</f>
        <v>No registró</v>
      </c>
      <c r="U61" s="228" t="str">
        <f>IFERROR(IF(ISBLANK(R61),VLOOKUP(NCH[[#This Row],[CEDULA]],BIO[],8,0),VLOOKUP(NCH[[#This Row],[CEDULA]],BIO[],8,0)),"No tiene huella Biometrico")</f>
        <v>No registró</v>
      </c>
      <c r="V61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61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61" s="106"/>
      <c r="Y61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61" s="154" t="str">
        <f>IFERROR(IF(ISBLANK(X61),VLOOKUP(NCH[[#This Row],[CEDULA]],BIO[],9,0),VLOOKUP(NCH[[#This Row],[CEDULA]],BIO[],9,0)),"No tiene huella Biometrico")</f>
        <v>No Registró</v>
      </c>
      <c r="AA61" s="228" t="str">
        <f>IFERROR(IF(ISBLANK(X61),VLOOKUP(NCH[[#This Row],[CEDULA]],BIO[],10,0),VLOOKUP(NCH[[#This Row],[CEDULA]],BIO[],10,0)),"No tiene huella Biometrico")</f>
        <v>No registró</v>
      </c>
      <c r="AB61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61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61" s="106">
        <v>1</v>
      </c>
      <c r="AE61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1</v>
      </c>
      <c r="AF61" s="154" t="str">
        <f>IFERROR(IF(ISBLANK(NCH[G5]),VLOOKUP(NCH[[#This Row],[CEDULA]],BIO[],11,0),VLOOKUP(NCH[[#This Row],[CEDULA]],BIO[],11,0)),"No tiene huella Biometrico")</f>
        <v>No registró</v>
      </c>
      <c r="AG61" s="228" t="str">
        <f>IFERROR(IF((NCH[G5]),VLOOKUP(NCH[[#This Row],[CEDULA]],BIO[],12,0),VLOOKUP(NCH[[#This Row],[CEDULA]],BIO[],12,0)),"No tiene huella Biometrico")</f>
        <v>No registró</v>
      </c>
      <c r="AH61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61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61" s="107">
        <v>1</v>
      </c>
      <c r="AK61" s="369">
        <f>IF(NCH[[#This Row],[RUTA]]="0",NCH[[#This Row],[G6]],IF(AND(NCH[[#This Row],[ENTRADA7]]&lt;&gt;"No Registró",NCH[[#This Row],[SALIDA7]]&lt;&gt;"No Registró"),NCH[[#This Row],[G6]],0))</f>
        <v>1</v>
      </c>
      <c r="AL61" s="154" t="str">
        <f>IFERROR(IF(ISBLANK(NCH[G6]),VLOOKUP(NCH[CEDULA],BIO[],13,0),VLOOKUP(NCH[CEDULA],BIO[],13,0)),"No tiene huella Biometrico")</f>
        <v>No registró</v>
      </c>
      <c r="AM61" s="230" t="str">
        <f>IFERROR(IF((NCH[G6]),VLOOKUP(NCH[[#This Row],[CEDULA]],BIO[],14,0),VLOOKUP(NCH[[#This Row],[CEDULA]],BIO[],14,0)),"No tiene huella Biometrico")</f>
        <v>No registró</v>
      </c>
      <c r="AN61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61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61" s="107">
        <v>1</v>
      </c>
      <c r="AQ61" s="231">
        <f>IF(NCH[[#This Row],[RUTA]]="0",NCH[[#This Row],[G7]],IF(AND(NCH[[#This Row],[ENTRADA8]]&lt;&gt;"No Registró",NCH[[#This Row],[SALIDA8]]&lt;&gt;"No Registró"),NCH[[#This Row],[G7]],0))</f>
        <v>1</v>
      </c>
      <c r="AR61" s="160" t="str">
        <f>IFERROR(IF(ISBLANK(NCH[G7]),VLOOKUP(NCH[CEDULA],BIO[],15,0),VLOOKUP(NCH[CEDULA],BIO[],15,0)),"No tiene huella Biometrico")</f>
        <v>No registró</v>
      </c>
      <c r="AS61" s="230" t="str">
        <f>IFERROR(IF(ISBLANK(NCH[G7]),VLOOKUP(NCH[[#This Row],[CEDULA]],BIO[],16,0),VLOOKUP(NCH[[#This Row],[CEDULA]],BIO[],16,0)),"No tiene huella Biometrico")</f>
        <v>No registró</v>
      </c>
      <c r="AT61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61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61" s="105">
        <f>NCH[[#This Row],[META]]+NCH[[#This Row],[META2]]+NCH[[#This Row],[META3]]</f>
        <v>0</v>
      </c>
      <c r="AW61" s="105">
        <f>NCH[[#This Row],[META4]]+NCH[[#This Row],[META5]]+NCH[[#This Row],[META6]]+NCH[[#This Row],[META7]]</f>
        <v>3</v>
      </c>
      <c r="AX61" s="231">
        <f>NCH[[#This Row],[TOTAL L-V]]+NCH[[#This Row],[TOTAL S-D]]</f>
        <v>3</v>
      </c>
      <c r="AY61" s="232" t="str">
        <f>VLOOKUP(NCH[[#This Row],[CEDULA]],METAS[],20,0)</f>
        <v xml:space="preserve">GUARDIA PREVENTIVA LOS DIAS VIERNES 18, SABADO 19 Y DOMINGO 20 </v>
      </c>
      <c r="AZ61" s="232">
        <f>VLOOKUP(NCH[[#This Row],[CEDULA]],METAS[],22,0)</f>
        <v>0</v>
      </c>
    </row>
    <row r="62" spans="1:52" ht="45" x14ac:dyDescent="0.25">
      <c r="A62" s="105">
        <f>IF(NCH[[#This Row],[CEDULA]]&gt;1,0,"")</f>
        <v>0</v>
      </c>
      <c r="B62" s="295">
        <v>16705084</v>
      </c>
      <c r="C62" s="125" t="str">
        <f>VLOOKUP(NCH[[#This Row],[CEDULA]],DATOS[],2,0)</f>
        <v>CHIRINOS CARLOS</v>
      </c>
      <c r="D62" s="108" t="s">
        <v>864</v>
      </c>
      <c r="E62" s="131" t="str">
        <f>MID(VLOOKUP(NCH[[#This Row],[CEDULA]],DATOS[],10,0),1,1)</f>
        <v>5</v>
      </c>
      <c r="F62" s="106"/>
      <c r="G62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62" s="154">
        <f>IFERROR(IF(ISBLANK(F62),VLOOKUP(NCH[[#This Row],[CEDULA]],BIO[],3,0),VLOOKUP(NCH[[#This Row],[CEDULA]],BIO[],3,0)),"No tiene huella Biometrico")</f>
        <v>0.28819444444444448</v>
      </c>
      <c r="I62" s="228">
        <f>IFERROR(IF(ISBLANK(F62),VLOOKUP(NCH[[#This Row],[CEDULA]],BIO[],4,0),VLOOKUP(NCH[[#This Row],[CEDULA]],BIO[],4,0)),"No tiene huella Biometrico")</f>
        <v>0.55883101851851846</v>
      </c>
      <c r="J62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62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62" s="106"/>
      <c r="M62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62" s="154">
        <f>IFERROR(IF(ISBLANK(L62),VLOOKUP(NCH[[#This Row],[CEDULA]],BIO[],5,0),VLOOKUP(NCH[[#This Row],[CEDULA]],BIO[],5,0)),"No tiene huella Biometrico")</f>
        <v>0.28313657407407405</v>
      </c>
      <c r="O62" s="228">
        <f>IFERROR(IF(ISBLANK(L62),VLOOKUP(NCH[[#This Row],[CEDULA]],BIO[],6,0),VLOOKUP(NCH[[#This Row],[CEDULA]],BIO[],6,0)),"No tiene huella Biometrico")</f>
        <v>0.55559027777777781</v>
      </c>
      <c r="P62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Cumple Horario</v>
      </c>
      <c r="Q62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62" s="106">
        <v>1</v>
      </c>
      <c r="S62" s="379">
        <v>1</v>
      </c>
      <c r="T62" s="154" t="str">
        <f>IFERROR(IF(ISBLANK(R62),VLOOKUP(NCH[[#This Row],[CEDULA]],BIO[],7,0),VLOOKUP(NCH[[#This Row],[CEDULA]],BIO[],7,0)),"No tiene huella Biometrico")</f>
        <v>No registró</v>
      </c>
      <c r="U62" s="228" t="str">
        <f>IFERROR(IF(ISBLANK(R62),VLOOKUP(NCH[[#This Row],[CEDULA]],BIO[],8,0),VLOOKUP(NCH[[#This Row],[CEDULA]],BIO[],8,0)),"No tiene huella Biometrico")</f>
        <v>No registró</v>
      </c>
      <c r="V62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62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62" s="106"/>
      <c r="Y62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62" s="154" t="str">
        <f>IFERROR(IF(ISBLANK(X62),VLOOKUP(NCH[[#This Row],[CEDULA]],BIO[],9,0),VLOOKUP(NCH[[#This Row],[CEDULA]],BIO[],9,0)),"No tiene huella Biometrico")</f>
        <v>No Registró</v>
      </c>
      <c r="AA62" s="228" t="str">
        <f>IFERROR(IF(ISBLANK(X62),VLOOKUP(NCH[[#This Row],[CEDULA]],BIO[],10,0),VLOOKUP(NCH[[#This Row],[CEDULA]],BIO[],10,0)),"No tiene huella Biometrico")</f>
        <v>No registró</v>
      </c>
      <c r="AB62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62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62" s="106"/>
      <c r="AE62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62" s="154" t="str">
        <f>IFERROR(IF(ISBLANK(NCH[G5]),VLOOKUP(NCH[[#This Row],[CEDULA]],BIO[],11,0),VLOOKUP(NCH[[#This Row],[CEDULA]],BIO[],11,0)),"No tiene huella Biometrico")</f>
        <v>No registró</v>
      </c>
      <c r="AG62" s="228" t="str">
        <f>IFERROR(IF((NCH[G5]),VLOOKUP(NCH[[#This Row],[CEDULA]],BIO[],12,0),VLOOKUP(NCH[[#This Row],[CEDULA]],BIO[],12,0)),"No tiene huella Biometrico")</f>
        <v>No registró</v>
      </c>
      <c r="AH62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62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62" s="107">
        <v>1</v>
      </c>
      <c r="AK62" s="381">
        <v>1</v>
      </c>
      <c r="AL62" s="154" t="str">
        <f>IFERROR(IF(ISBLANK(NCH[G6]),VLOOKUP(NCH[CEDULA],BIO[],13,0),VLOOKUP(NCH[CEDULA],BIO[],13,0)),"No tiene huella Biometrico")</f>
        <v>No registró</v>
      </c>
      <c r="AM62" s="230" t="str">
        <f>IFERROR(IF((NCH[G6]),VLOOKUP(NCH[[#This Row],[CEDULA]],BIO[],14,0),VLOOKUP(NCH[[#This Row],[CEDULA]],BIO[],14,0)),"No tiene huella Biometrico")</f>
        <v>No registró</v>
      </c>
      <c r="AN62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62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62" s="107">
        <v>1</v>
      </c>
      <c r="AQ62" s="382">
        <v>1</v>
      </c>
      <c r="AR62" s="160" t="str">
        <f>IFERROR(IF(ISBLANK(NCH[G7]),VLOOKUP(NCH[CEDULA],BIO[],15,0),VLOOKUP(NCH[CEDULA],BIO[],15,0)),"No tiene huella Biometrico")</f>
        <v>No registró</v>
      </c>
      <c r="AS62" s="230" t="str">
        <f>IFERROR(IF(ISBLANK(NCH[G7]),VLOOKUP(NCH[[#This Row],[CEDULA]],BIO[],16,0),VLOOKUP(NCH[[#This Row],[CEDULA]],BIO[],16,0)),"No tiene huella Biometrico")</f>
        <v>No registró</v>
      </c>
      <c r="AT62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62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62" s="105">
        <f>NCH[[#This Row],[META]]+NCH[[#This Row],[META2]]+NCH[[#This Row],[META3]]</f>
        <v>1</v>
      </c>
      <c r="AW62" s="105">
        <f>NCH[[#This Row],[META4]]+NCH[[#This Row],[META5]]+NCH[[#This Row],[META6]]+NCH[[#This Row],[META7]]</f>
        <v>2</v>
      </c>
      <c r="AX62" s="231">
        <f>NCH[[#This Row],[TOTAL L-V]]+NCH[[#This Row],[TOTAL S-D]]</f>
        <v>3</v>
      </c>
      <c r="AY62" s="232" t="str">
        <f>VLOOKUP(NCH[[#This Row],[CEDULA]],METAS[],20,0)</f>
        <v>MONITOREO DE SERVICIOS PREVENTIVOS VIA REMOTA LOS DIAS MIERCOLES 16-04 SABADO 19-04 Y DOMINGO 20-04-2025</v>
      </c>
      <c r="AZ62" s="232">
        <f>VLOOKUP(NCH[[#This Row],[CEDULA]],METAS[],22,0)</f>
        <v>0</v>
      </c>
    </row>
    <row r="63" spans="1:52" ht="30" x14ac:dyDescent="0.25">
      <c r="A63" s="105">
        <f>IF(NCH[[#This Row],[CEDULA]]&gt;1,0,"")</f>
        <v>0</v>
      </c>
      <c r="B63" s="337">
        <v>10784886</v>
      </c>
      <c r="C63" s="125" t="str">
        <f>VLOOKUP(NCH[[#This Row],[CEDULA]],DATOS[],2,0)</f>
        <v>GONZALEZ CARLOS</v>
      </c>
      <c r="D63" s="108" t="s">
        <v>873</v>
      </c>
      <c r="E63" s="131" t="str">
        <f>MID(VLOOKUP(NCH[[#This Row],[CEDULA]],DATOS[],10,0),1,1)</f>
        <v>4</v>
      </c>
      <c r="F63" s="106"/>
      <c r="G63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63" s="154">
        <f>IFERROR(IF(ISBLANK(F63),VLOOKUP(NCH[[#This Row],[CEDULA]],BIO[],3,0),VLOOKUP(NCH[[#This Row],[CEDULA]],BIO[],3,0)),"No tiene huella Biometrico")</f>
        <v>0.30978009259259259</v>
      </c>
      <c r="I63" s="228">
        <f>IFERROR(IF(ISBLANK(F63),VLOOKUP(NCH[[#This Row],[CEDULA]],BIO[],4,0),VLOOKUP(NCH[[#This Row],[CEDULA]],BIO[],4,0)),"No tiene huella Biometrico")</f>
        <v>0.5528819444444445</v>
      </c>
      <c r="J63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Cumple H</v>
      </c>
      <c r="K63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63" s="106"/>
      <c r="M63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63" s="154">
        <f>IFERROR(IF(ISBLANK(L63),VLOOKUP(NCH[[#This Row],[CEDULA]],BIO[],5,0),VLOOKUP(NCH[[#This Row],[CEDULA]],BIO[],5,0)),"No tiene huella Biometrico")</f>
        <v>0.33922453703703703</v>
      </c>
      <c r="O63" s="228">
        <f>IFERROR(IF(ISBLANK(L63),VLOOKUP(NCH[[#This Row],[CEDULA]],BIO[],6,0),VLOOKUP(NCH[[#This Row],[CEDULA]],BIO[],6,0)),"No tiene huella Biometrico")</f>
        <v>0.55445601851851845</v>
      </c>
      <c r="P63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63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63" s="106"/>
      <c r="S63" s="367"/>
      <c r="T63" s="154" t="str">
        <f>IFERROR(IF(ISBLANK(R63),VLOOKUP(NCH[[#This Row],[CEDULA]],BIO[],7,0),VLOOKUP(NCH[[#This Row],[CEDULA]],BIO[],7,0)),"No tiene huella Biometrico")</f>
        <v>No registró</v>
      </c>
      <c r="U63" s="228" t="str">
        <f>IFERROR(IF(ISBLANK(R63),VLOOKUP(NCH[[#This Row],[CEDULA]],BIO[],8,0),VLOOKUP(NCH[[#This Row],[CEDULA]],BIO[],8,0)),"No tiene huella Biometrico")</f>
        <v>No registró</v>
      </c>
      <c r="V63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63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63" s="106"/>
      <c r="Y63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63" s="154" t="str">
        <f>IFERROR(IF(ISBLANK(X63),VLOOKUP(NCH[[#This Row],[CEDULA]],BIO[],9,0),VLOOKUP(NCH[[#This Row],[CEDULA]],BIO[],9,0)),"No tiene huella Biometrico")</f>
        <v>No Registró</v>
      </c>
      <c r="AA63" s="228" t="str">
        <f>IFERROR(IF(ISBLANK(X63),VLOOKUP(NCH[[#This Row],[CEDULA]],BIO[],10,0),VLOOKUP(NCH[[#This Row],[CEDULA]],BIO[],10,0)),"No tiene huella Biometrico")</f>
        <v>No registró</v>
      </c>
      <c r="AB63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63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63" s="106"/>
      <c r="AE63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63" s="154" t="str">
        <f>IFERROR(IF(ISBLANK(NCH[G5]),VLOOKUP(NCH[[#This Row],[CEDULA]],BIO[],11,0),VLOOKUP(NCH[[#This Row],[CEDULA]],BIO[],11,0)),"No tiene huella Biometrico")</f>
        <v>No registró</v>
      </c>
      <c r="AG63" s="228" t="str">
        <f>IFERROR(IF((NCH[G5]),VLOOKUP(NCH[[#This Row],[CEDULA]],BIO[],12,0),VLOOKUP(NCH[[#This Row],[CEDULA]],BIO[],12,0)),"No tiene huella Biometrico")</f>
        <v>No registró</v>
      </c>
      <c r="AH63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63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63" s="107"/>
      <c r="AK63" s="369">
        <f>IF(NCH[[#This Row],[RUTA]]="0",NCH[[#This Row],[G6]],IF(AND(NCH[[#This Row],[ENTRADA7]]&lt;&gt;"No Registró",NCH[[#This Row],[SALIDA7]]&lt;&gt;"No Registró"),NCH[[#This Row],[G6]],0))</f>
        <v>0</v>
      </c>
      <c r="AL63" s="154" t="str">
        <f>IFERROR(IF(ISBLANK(NCH[G6]),VLOOKUP(NCH[CEDULA],BIO[],13,0),VLOOKUP(NCH[CEDULA],BIO[],13,0)),"No tiene huella Biometrico")</f>
        <v>No registró</v>
      </c>
      <c r="AM63" s="230" t="str">
        <f>IFERROR(IF((NCH[G6]),VLOOKUP(NCH[[#This Row],[CEDULA]],BIO[],14,0),VLOOKUP(NCH[[#This Row],[CEDULA]],BIO[],14,0)),"No tiene huella Biometrico")</f>
        <v>No registró</v>
      </c>
      <c r="AN63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63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63" s="107"/>
      <c r="AQ63" s="231">
        <f>IF(NCH[[#This Row],[RUTA]]="0",NCH[[#This Row],[G7]],IF(AND(NCH[[#This Row],[ENTRADA8]]&lt;&gt;"No Registró",NCH[[#This Row],[SALIDA8]]&lt;&gt;"No Registró"),NCH[[#This Row],[G7]],0))</f>
        <v>0</v>
      </c>
      <c r="AR63" s="160" t="str">
        <f>IFERROR(IF(ISBLANK(NCH[G7]),VLOOKUP(NCH[CEDULA],BIO[],15,0),VLOOKUP(NCH[CEDULA],BIO[],15,0)),"No tiene huella Biometrico")</f>
        <v>No registró</v>
      </c>
      <c r="AS63" s="230" t="str">
        <f>IFERROR(IF(ISBLANK(NCH[G7]),VLOOKUP(NCH[[#This Row],[CEDULA]],BIO[],16,0),VLOOKUP(NCH[[#This Row],[CEDULA]],BIO[],16,0)),"No tiene huella Biometrico")</f>
        <v>No registró</v>
      </c>
      <c r="AT63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63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63" s="105">
        <f>NCH[[#This Row],[META]]+NCH[[#This Row],[META2]]+NCH[[#This Row],[META3]]</f>
        <v>0</v>
      </c>
      <c r="AW63" s="105">
        <f>NCH[[#This Row],[META4]]+NCH[[#This Row],[META5]]+NCH[[#This Row],[META6]]+NCH[[#This Row],[META7]]</f>
        <v>0</v>
      </c>
      <c r="AX63" s="231">
        <f>NCH[[#This Row],[TOTAL L-V]]+NCH[[#This Row],[TOTAL S-D]]</f>
        <v>0</v>
      </c>
      <c r="AY63" s="232">
        <f>VLOOKUP(NCH[[#This Row],[CEDULA]],METAS[],20,0)</f>
        <v>0</v>
      </c>
      <c r="AZ63" s="232" t="str">
        <f>VLOOKUP(NCH[[#This Row],[CEDULA]],METAS[],22,0)</f>
        <v>DIA PENDIENTE DE LA SEMANA 15 DÍA VIERNES 11-04-2025</v>
      </c>
    </row>
    <row r="64" spans="1:52" ht="30" x14ac:dyDescent="0.25">
      <c r="A64" s="105">
        <f>IF(NCH[[#This Row],[CEDULA]]&gt;1,0,"")</f>
        <v>0</v>
      </c>
      <c r="B64" s="337">
        <v>14202223</v>
      </c>
      <c r="C64" s="125" t="str">
        <f>VLOOKUP(NCH[[#This Row],[CEDULA]],DATOS[],2,0)</f>
        <v>PADRON MABEL</v>
      </c>
      <c r="D64" s="108" t="s">
        <v>873</v>
      </c>
      <c r="E64" s="131" t="str">
        <f>MID(VLOOKUP(NCH[[#This Row],[CEDULA]],DATOS[],10,0),1,1)</f>
        <v/>
      </c>
      <c r="F64" s="106"/>
      <c r="G64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64" s="154">
        <f>IFERROR(IF(ISBLANK(F64),VLOOKUP(NCH[[#This Row],[CEDULA]],BIO[],3,0),VLOOKUP(NCH[[#This Row],[CEDULA]],BIO[],3,0)),"No tiene huella Biometrico")</f>
        <v>0.29200231481481481</v>
      </c>
      <c r="I64" s="228">
        <f>IFERROR(IF(ISBLANK(F64),VLOOKUP(NCH[[#This Row],[CEDULA]],BIO[],4,0),VLOOKUP(NCH[[#This Row],[CEDULA]],BIO[],4,0)),"No tiene huella Biometrico")</f>
        <v>0.59241898148148142</v>
      </c>
      <c r="J64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64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64" s="106">
        <v>1</v>
      </c>
      <c r="M64" s="379">
        <v>1</v>
      </c>
      <c r="N64" s="154">
        <f>IFERROR(IF(ISBLANK(L64),VLOOKUP(NCH[[#This Row],[CEDULA]],BIO[],5,0),VLOOKUP(NCH[[#This Row],[CEDULA]],BIO[],5,0)),"No tiene huella Biometrico")</f>
        <v>0.30607638888888888</v>
      </c>
      <c r="O64" s="228">
        <f>IFERROR(IF(ISBLANK(L64),VLOOKUP(NCH[[#This Row],[CEDULA]],BIO[],6,0),VLOOKUP(NCH[[#This Row],[CEDULA]],BIO[],6,0)),"No tiene huella Biometrico")</f>
        <v>0.74569444444444455</v>
      </c>
      <c r="P64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64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cumple H</v>
      </c>
      <c r="R64" s="106"/>
      <c r="S64" s="367"/>
      <c r="T64" s="154" t="str">
        <f>IFERROR(IF(ISBLANK(R64),VLOOKUP(NCH[[#This Row],[CEDULA]],BIO[],7,0),VLOOKUP(NCH[[#This Row],[CEDULA]],BIO[],7,0)),"No tiene huella Biometrico")</f>
        <v>No registró</v>
      </c>
      <c r="U64" s="228" t="str">
        <f>IFERROR(IF(ISBLANK(R64),VLOOKUP(NCH[[#This Row],[CEDULA]],BIO[],8,0),VLOOKUP(NCH[[#This Row],[CEDULA]],BIO[],8,0)),"No tiene huella Biometrico")</f>
        <v>No registró</v>
      </c>
      <c r="V64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64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64" s="106"/>
      <c r="Y64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64" s="154" t="str">
        <f>IFERROR(IF(ISBLANK(X64),VLOOKUP(NCH[[#This Row],[CEDULA]],BIO[],9,0),VLOOKUP(NCH[[#This Row],[CEDULA]],BIO[],9,0)),"No tiene huella Biometrico")</f>
        <v>No Registró</v>
      </c>
      <c r="AA64" s="228" t="str">
        <f>IFERROR(IF(ISBLANK(X64),VLOOKUP(NCH[[#This Row],[CEDULA]],BIO[],10,0),VLOOKUP(NCH[[#This Row],[CEDULA]],BIO[],10,0)),"No tiene huella Biometrico")</f>
        <v>No registró</v>
      </c>
      <c r="AB64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64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64" s="106"/>
      <c r="AE64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64" s="154" t="str">
        <f>IFERROR(IF(ISBLANK(NCH[G5]),VLOOKUP(NCH[[#This Row],[CEDULA]],BIO[],11,0),VLOOKUP(NCH[[#This Row],[CEDULA]],BIO[],11,0)),"No tiene huella Biometrico")</f>
        <v>No registró</v>
      </c>
      <c r="AG64" s="228" t="str">
        <f>IFERROR(IF((NCH[G5]),VLOOKUP(NCH[[#This Row],[CEDULA]],BIO[],12,0),VLOOKUP(NCH[[#This Row],[CEDULA]],BIO[],12,0)),"No tiene huella Biometrico")</f>
        <v>No registró</v>
      </c>
      <c r="AH64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64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64" s="107"/>
      <c r="AK64" s="369">
        <f>IF(NCH[[#This Row],[RUTA]]="0",NCH[[#This Row],[G6]],IF(AND(NCH[[#This Row],[ENTRADA7]]&lt;&gt;"No Registró",NCH[[#This Row],[SALIDA7]]&lt;&gt;"No Registró"),NCH[[#This Row],[G6]],0))</f>
        <v>0</v>
      </c>
      <c r="AL64" s="154" t="str">
        <f>IFERROR(IF(ISBLANK(NCH[G6]),VLOOKUP(NCH[CEDULA],BIO[],13,0),VLOOKUP(NCH[CEDULA],BIO[],13,0)),"No tiene huella Biometrico")</f>
        <v>No registró</v>
      </c>
      <c r="AM64" s="230" t="str">
        <f>IFERROR(IF((NCH[G6]),VLOOKUP(NCH[[#This Row],[CEDULA]],BIO[],14,0),VLOOKUP(NCH[[#This Row],[CEDULA]],BIO[],14,0)),"No tiene huella Biometrico")</f>
        <v>No registró</v>
      </c>
      <c r="AN64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64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64" s="107"/>
      <c r="AQ64" s="231">
        <f>IF(NCH[[#This Row],[RUTA]]="0",NCH[[#This Row],[G7]],IF(AND(NCH[[#This Row],[ENTRADA8]]&lt;&gt;"No Registró",NCH[[#This Row],[SALIDA8]]&lt;&gt;"No Registró"),NCH[[#This Row],[G7]],0))</f>
        <v>0</v>
      </c>
      <c r="AR64" s="160" t="str">
        <f>IFERROR(IF(ISBLANK(NCH[G7]),VLOOKUP(NCH[CEDULA],BIO[],15,0),VLOOKUP(NCH[CEDULA],BIO[],15,0)),"No tiene huella Biometrico")</f>
        <v>No registró</v>
      </c>
      <c r="AS64" s="230" t="str">
        <f>IFERROR(IF(ISBLANK(NCH[G7]),VLOOKUP(NCH[[#This Row],[CEDULA]],BIO[],16,0),VLOOKUP(NCH[[#This Row],[CEDULA]],BIO[],16,0)),"No tiene huella Biometrico")</f>
        <v>No registró</v>
      </c>
      <c r="AT64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64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64" s="105">
        <f>NCH[[#This Row],[META]]+NCH[[#This Row],[META2]]+NCH[[#This Row],[META3]]</f>
        <v>1</v>
      </c>
      <c r="AW64" s="105">
        <f>NCH[[#This Row],[META4]]+NCH[[#This Row],[META5]]+NCH[[#This Row],[META6]]+NCH[[#This Row],[META7]]</f>
        <v>0</v>
      </c>
      <c r="AX64" s="231">
        <f>NCH[[#This Row],[TOTAL L-V]]+NCH[[#This Row],[TOTAL S-D]]</f>
        <v>1</v>
      </c>
      <c r="AY64" s="232">
        <f>VLOOKUP(NCH[[#This Row],[CEDULA]],METAS[],20,0)</f>
        <v>0</v>
      </c>
      <c r="AZ64" s="232">
        <f>VLOOKUP(NCH[[#This Row],[CEDULA]],METAS[],22,0)</f>
        <v>0</v>
      </c>
    </row>
    <row r="65" spans="1:52" ht="30" x14ac:dyDescent="0.25">
      <c r="A65" s="105">
        <f>IF(NCH[[#This Row],[CEDULA]]&gt;1,0,"")</f>
        <v>0</v>
      </c>
      <c r="B65" s="337">
        <v>12561193</v>
      </c>
      <c r="C65" s="125" t="str">
        <f>VLOOKUP(NCH[[#This Row],[CEDULA]],DATOS[],2,0)</f>
        <v>SALAS LEILA</v>
      </c>
      <c r="D65" s="108" t="s">
        <v>873</v>
      </c>
      <c r="E65" s="131" t="str">
        <f>MID(VLOOKUP(NCH[[#This Row],[CEDULA]],DATOS[],10,0),1,1)</f>
        <v>3</v>
      </c>
      <c r="F65" s="106">
        <v>1</v>
      </c>
      <c r="G65" s="379">
        <v>1</v>
      </c>
      <c r="H65" s="154">
        <f>IFERROR(IF(ISBLANK(F65),VLOOKUP(NCH[[#This Row],[CEDULA]],BIO[],3,0),VLOOKUP(NCH[[#This Row],[CEDULA]],BIO[],3,0)),"No tiene huella Biometrico")</f>
        <v>0.28248842592592593</v>
      </c>
      <c r="I65" s="228">
        <f>IFERROR(IF(ISBLANK(F65),VLOOKUP(NCH[[#This Row],[CEDULA]],BIO[],4,0),VLOOKUP(NCH[[#This Row],[CEDULA]],BIO[],4,0)),"No tiene huella Biometrico")</f>
        <v>0.68071759259259268</v>
      </c>
      <c r="J65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65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cumple H</v>
      </c>
      <c r="L65" s="106">
        <v>1</v>
      </c>
      <c r="M65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1</v>
      </c>
      <c r="N65" s="154">
        <f>IFERROR(IF(ISBLANK(L65),VLOOKUP(NCH[[#This Row],[CEDULA]],BIO[],5,0),VLOOKUP(NCH[[#This Row],[CEDULA]],BIO[],5,0)),"No tiene huella Biometrico")</f>
        <v>0.28181712962962963</v>
      </c>
      <c r="O65" s="228">
        <f>IFERROR(IF(ISBLANK(L65),VLOOKUP(NCH[[#This Row],[CEDULA]],BIO[],6,0),VLOOKUP(NCH[[#This Row],[CEDULA]],BIO[],6,0)),"No tiene huella Biometrico")</f>
        <v>0.74746527777777771</v>
      </c>
      <c r="P65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Horario Metas</v>
      </c>
      <c r="Q65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Horario Metas</v>
      </c>
      <c r="R65" s="106"/>
      <c r="S65" s="367"/>
      <c r="T65" s="154" t="str">
        <f>IFERROR(IF(ISBLANK(R65),VLOOKUP(NCH[[#This Row],[CEDULA]],BIO[],7,0),VLOOKUP(NCH[[#This Row],[CEDULA]],BIO[],7,0)),"No tiene huella Biometrico")</f>
        <v>No registró</v>
      </c>
      <c r="U65" s="228" t="str">
        <f>IFERROR(IF(ISBLANK(R65),VLOOKUP(NCH[[#This Row],[CEDULA]],BIO[],8,0),VLOOKUP(NCH[[#This Row],[CEDULA]],BIO[],8,0)),"No tiene huella Biometrico")</f>
        <v>No registró</v>
      </c>
      <c r="V65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65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65" s="106"/>
      <c r="Y65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65" s="154" t="str">
        <f>IFERROR(IF(ISBLANK(X65),VLOOKUP(NCH[[#This Row],[CEDULA]],BIO[],9,0),VLOOKUP(NCH[[#This Row],[CEDULA]],BIO[],9,0)),"No tiene huella Biometrico")</f>
        <v>No Registró</v>
      </c>
      <c r="AA65" s="228" t="str">
        <f>IFERROR(IF(ISBLANK(X65),VLOOKUP(NCH[[#This Row],[CEDULA]],BIO[],10,0),VLOOKUP(NCH[[#This Row],[CEDULA]],BIO[],10,0)),"No tiene huella Biometrico")</f>
        <v>No registró</v>
      </c>
      <c r="AB65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65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65" s="106"/>
      <c r="AE65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65" s="154" t="str">
        <f>IFERROR(IF(ISBLANK(NCH[G5]),VLOOKUP(NCH[[#This Row],[CEDULA]],BIO[],11,0),VLOOKUP(NCH[[#This Row],[CEDULA]],BIO[],11,0)),"No tiene huella Biometrico")</f>
        <v>No registró</v>
      </c>
      <c r="AG65" s="228" t="str">
        <f>IFERROR(IF((NCH[G5]),VLOOKUP(NCH[[#This Row],[CEDULA]],BIO[],12,0),VLOOKUP(NCH[[#This Row],[CEDULA]],BIO[],12,0)),"No tiene huella Biometrico")</f>
        <v>No registró</v>
      </c>
      <c r="AH65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65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65" s="107"/>
      <c r="AK65" s="369">
        <f>IF(NCH[[#This Row],[RUTA]]="0",NCH[[#This Row],[G6]],IF(AND(NCH[[#This Row],[ENTRADA7]]&lt;&gt;"No Registró",NCH[[#This Row],[SALIDA7]]&lt;&gt;"No Registró"),NCH[[#This Row],[G6]],0))</f>
        <v>0</v>
      </c>
      <c r="AL65" s="154" t="str">
        <f>IFERROR(IF(ISBLANK(NCH[G6]),VLOOKUP(NCH[CEDULA],BIO[],13,0),VLOOKUP(NCH[CEDULA],BIO[],13,0)),"No tiene huella Biometrico")</f>
        <v>No registró</v>
      </c>
      <c r="AM65" s="230" t="str">
        <f>IFERROR(IF((NCH[G6]),VLOOKUP(NCH[[#This Row],[CEDULA]],BIO[],14,0),VLOOKUP(NCH[[#This Row],[CEDULA]],BIO[],14,0)),"No tiene huella Biometrico")</f>
        <v>No registró</v>
      </c>
      <c r="AN65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65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65" s="107"/>
      <c r="AQ65" s="231">
        <f>IF(NCH[[#This Row],[RUTA]]="0",NCH[[#This Row],[G7]],IF(AND(NCH[[#This Row],[ENTRADA8]]&lt;&gt;"No Registró",NCH[[#This Row],[SALIDA8]]&lt;&gt;"No Registró"),NCH[[#This Row],[G7]],0))</f>
        <v>0</v>
      </c>
      <c r="AR65" s="160" t="str">
        <f>IFERROR(IF(ISBLANK(NCH[G7]),VLOOKUP(NCH[CEDULA],BIO[],15,0),VLOOKUP(NCH[CEDULA],BIO[],15,0)),"No tiene huella Biometrico")</f>
        <v>No registró</v>
      </c>
      <c r="AS65" s="230" t="str">
        <f>IFERROR(IF(ISBLANK(NCH[G7]),VLOOKUP(NCH[[#This Row],[CEDULA]],BIO[],16,0),VLOOKUP(NCH[[#This Row],[CEDULA]],BIO[],16,0)),"No tiene huella Biometrico")</f>
        <v>No registró</v>
      </c>
      <c r="AT65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65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65" s="105">
        <f>NCH[[#This Row],[META]]+NCH[[#This Row],[META2]]+NCH[[#This Row],[META3]]</f>
        <v>2</v>
      </c>
      <c r="AW65" s="105">
        <f>NCH[[#This Row],[META4]]+NCH[[#This Row],[META5]]+NCH[[#This Row],[META6]]+NCH[[#This Row],[META7]]</f>
        <v>0</v>
      </c>
      <c r="AX65" s="231">
        <f>NCH[[#This Row],[TOTAL L-V]]+NCH[[#This Row],[TOTAL S-D]]</f>
        <v>2</v>
      </c>
      <c r="AY65" s="232">
        <f>VLOOKUP(NCH[[#This Row],[CEDULA]],METAS[],20,0)</f>
        <v>0</v>
      </c>
      <c r="AZ65" s="232">
        <f>VLOOKUP(NCH[[#This Row],[CEDULA]],METAS[],22,0)</f>
        <v>0</v>
      </c>
    </row>
    <row r="66" spans="1:52" ht="30" x14ac:dyDescent="0.25">
      <c r="A66" s="105">
        <f>IF(NCH[[#This Row],[CEDULA]]&gt;1,0,"")</f>
        <v>0</v>
      </c>
      <c r="B66" s="337">
        <v>16557897</v>
      </c>
      <c r="C66" s="125" t="str">
        <f>VLOOKUP(NCH[[#This Row],[CEDULA]],DATOS[],2,0)</f>
        <v>MEDINA ANTONIO</v>
      </c>
      <c r="D66" s="108" t="s">
        <v>873</v>
      </c>
      <c r="E66" s="131" t="str">
        <f>MID(VLOOKUP(NCH[[#This Row],[CEDULA]],DATOS[],10,0),1,1)</f>
        <v>1</v>
      </c>
      <c r="F66" s="106"/>
      <c r="G66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66" s="154">
        <f>IFERROR(IF(ISBLANK(F66),VLOOKUP(NCH[[#This Row],[CEDULA]],BIO[],3,0),VLOOKUP(NCH[[#This Row],[CEDULA]],BIO[],3,0)),"No tiene huella Biometrico")</f>
        <v>0.2785069444444444</v>
      </c>
      <c r="I66" s="228">
        <f>IFERROR(IF(ISBLANK(F66),VLOOKUP(NCH[[#This Row],[CEDULA]],BIO[],4,0),VLOOKUP(NCH[[#This Row],[CEDULA]],BIO[],4,0)),"No tiene huella Biometrico")</f>
        <v>0.55251157407407414</v>
      </c>
      <c r="J66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66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66" s="106"/>
      <c r="M66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66" s="154">
        <f>IFERROR(IF(ISBLANK(L66),VLOOKUP(NCH[[#This Row],[CEDULA]],BIO[],5,0),VLOOKUP(NCH[[#This Row],[CEDULA]],BIO[],5,0)),"No tiene huella Biometrico")</f>
        <v>0.27769675925925924</v>
      </c>
      <c r="O66" s="228">
        <f>IFERROR(IF(ISBLANK(L66),VLOOKUP(NCH[[#This Row],[CEDULA]],BIO[],6,0),VLOOKUP(NCH[[#This Row],[CEDULA]],BIO[],6,0)),"No tiene huella Biometrico")</f>
        <v>0.55049768518518516</v>
      </c>
      <c r="P66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66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66" s="106"/>
      <c r="S66" s="367"/>
      <c r="T66" s="154" t="str">
        <f>IFERROR(IF(ISBLANK(R66),VLOOKUP(NCH[[#This Row],[CEDULA]],BIO[],7,0),VLOOKUP(NCH[[#This Row],[CEDULA]],BIO[],7,0)),"No tiene huella Biometrico")</f>
        <v>No registró</v>
      </c>
      <c r="U66" s="228" t="str">
        <f>IFERROR(IF(ISBLANK(R66),VLOOKUP(NCH[[#This Row],[CEDULA]],BIO[],8,0),VLOOKUP(NCH[[#This Row],[CEDULA]],BIO[],8,0)),"No tiene huella Biometrico")</f>
        <v>No registró</v>
      </c>
      <c r="V66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66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66" s="106"/>
      <c r="Y66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66" s="154" t="str">
        <f>IFERROR(IF(ISBLANK(X66),VLOOKUP(NCH[[#This Row],[CEDULA]],BIO[],9,0),VLOOKUP(NCH[[#This Row],[CEDULA]],BIO[],9,0)),"No tiene huella Biometrico")</f>
        <v>No Registró</v>
      </c>
      <c r="AA66" s="228" t="str">
        <f>IFERROR(IF(ISBLANK(X66),VLOOKUP(NCH[[#This Row],[CEDULA]],BIO[],10,0),VLOOKUP(NCH[[#This Row],[CEDULA]],BIO[],10,0)),"No tiene huella Biometrico")</f>
        <v>No registró</v>
      </c>
      <c r="AB66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66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66" s="106"/>
      <c r="AE66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66" s="154" t="str">
        <f>IFERROR(IF(ISBLANK(NCH[G5]),VLOOKUP(NCH[[#This Row],[CEDULA]],BIO[],11,0),VLOOKUP(NCH[[#This Row],[CEDULA]],BIO[],11,0)),"No tiene huella Biometrico")</f>
        <v>No registró</v>
      </c>
      <c r="AG66" s="228" t="str">
        <f>IFERROR(IF((NCH[G5]),VLOOKUP(NCH[[#This Row],[CEDULA]],BIO[],12,0),VLOOKUP(NCH[[#This Row],[CEDULA]],BIO[],12,0)),"No tiene huella Biometrico")</f>
        <v>No registró</v>
      </c>
      <c r="AH66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66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66" s="107">
        <v>1</v>
      </c>
      <c r="AK66" s="369">
        <f>IF(NCH[[#This Row],[RUTA]]="0",NCH[[#This Row],[G6]],IF(AND(NCH[[#This Row],[ENTRADA7]]&lt;&gt;"No Registró",NCH[[#This Row],[SALIDA7]]&lt;&gt;"No Registró"),NCH[[#This Row],[G6]],0))</f>
        <v>1</v>
      </c>
      <c r="AL66" s="154">
        <f>IFERROR(IF(ISBLANK(NCH[G6]),VLOOKUP(NCH[CEDULA],BIO[],13,0),VLOOKUP(NCH[CEDULA],BIO[],13,0)),"No tiene huella Biometrico")</f>
        <v>0.3041550925925926</v>
      </c>
      <c r="AM66" s="230">
        <f>IFERROR(IF((NCH[G6]),VLOOKUP(NCH[[#This Row],[CEDULA]],BIO[],14,0),VLOOKUP(NCH[[#This Row],[CEDULA]],BIO[],14,0)),"No tiene huella Biometrico")</f>
        <v>0.53851851851851851</v>
      </c>
      <c r="AN66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Cumple H</v>
      </c>
      <c r="AO66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66" s="107">
        <v>1</v>
      </c>
      <c r="AQ66" s="382">
        <f>IF(NCH[[#This Row],[RUTA]]="0",NCH[[#This Row],[G7]],IF(AND(NCH[[#This Row],[ENTRADA8]]&lt;&gt;"No Registró",NCH[[#This Row],[SALIDA8]]&lt;&gt;"No Registró"),NCH[[#This Row],[G7]],0))</f>
        <v>0</v>
      </c>
      <c r="AR66" s="160" t="str">
        <f>IFERROR(IF(ISBLANK(NCH[G7]),VLOOKUP(NCH[CEDULA],BIO[],15,0),VLOOKUP(NCH[CEDULA],BIO[],15,0)),"No tiene huella Biometrico")</f>
        <v>No registró</v>
      </c>
      <c r="AS66" s="230" t="str">
        <f>IFERROR(IF(ISBLANK(NCH[G7]),VLOOKUP(NCH[[#This Row],[CEDULA]],BIO[],16,0),VLOOKUP(NCH[[#This Row],[CEDULA]],BIO[],16,0)),"No tiene huella Biometrico")</f>
        <v>No registró</v>
      </c>
      <c r="AT66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66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66" s="105">
        <f>NCH[[#This Row],[META]]+NCH[[#This Row],[META2]]+NCH[[#This Row],[META3]]</f>
        <v>0</v>
      </c>
      <c r="AW66" s="105">
        <f>NCH[[#This Row],[META4]]+NCH[[#This Row],[META5]]+NCH[[#This Row],[META6]]+NCH[[#This Row],[META7]]</f>
        <v>1</v>
      </c>
      <c r="AX66" s="231">
        <f>NCH[[#This Row],[TOTAL L-V]]+NCH[[#This Row],[TOTAL S-D]]</f>
        <v>1</v>
      </c>
      <c r="AY66" s="232" t="str">
        <f>VLOOKUP(NCH[[#This Row],[CEDULA]],METAS[],20,0)</f>
        <v>APOYO LIMPIEZA COCINA Y REMOCION ESCOMBROS</v>
      </c>
      <c r="AZ66" s="232">
        <f>VLOOKUP(NCH[[#This Row],[CEDULA]],METAS[],22,0)</f>
        <v>0</v>
      </c>
    </row>
    <row r="67" spans="1:52" ht="30" x14ac:dyDescent="0.25">
      <c r="A67" s="105">
        <f>IF(NCH[[#This Row],[CEDULA]]&gt;1,0,"")</f>
        <v>0</v>
      </c>
      <c r="B67" s="346">
        <v>6256734</v>
      </c>
      <c r="C67" s="125" t="str">
        <f>VLOOKUP(NCH[[#This Row],[CEDULA]],DATOS[],2,0)</f>
        <v>ESPINOZA JOSE</v>
      </c>
      <c r="D67" s="108" t="s">
        <v>873</v>
      </c>
      <c r="E67" s="131" t="str">
        <f>MID(VLOOKUP(NCH[[#This Row],[CEDULA]],DATOS[],10,0),1,1)</f>
        <v>3</v>
      </c>
      <c r="F67" s="106"/>
      <c r="G67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67" s="154">
        <f>IFERROR(IF(ISBLANK(F67),VLOOKUP(NCH[[#This Row],[CEDULA]],BIO[],3,0),VLOOKUP(NCH[[#This Row],[CEDULA]],BIO[],3,0)),"No tiene huella Biometrico")</f>
        <v>0.28236111111111112</v>
      </c>
      <c r="I67" s="228">
        <f>IFERROR(IF(ISBLANK(F67),VLOOKUP(NCH[[#This Row],[CEDULA]],BIO[],4,0),VLOOKUP(NCH[[#This Row],[CEDULA]],BIO[],4,0)),"No tiene huella Biometrico")</f>
        <v>0.55281250000000004</v>
      </c>
      <c r="J67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67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67" s="106"/>
      <c r="M67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67" s="154">
        <f>IFERROR(IF(ISBLANK(L67),VLOOKUP(NCH[[#This Row],[CEDULA]],BIO[],5,0),VLOOKUP(NCH[[#This Row],[CEDULA]],BIO[],5,0)),"No tiene huella Biometrico")</f>
        <v>0.28168981481481481</v>
      </c>
      <c r="O67" s="228">
        <f>IFERROR(IF(ISBLANK(L67),VLOOKUP(NCH[[#This Row],[CEDULA]],BIO[],6,0),VLOOKUP(NCH[[#This Row],[CEDULA]],BIO[],6,0)),"No tiene huella Biometrico")</f>
        <v>0.55112268518518526</v>
      </c>
      <c r="P67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67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67" s="106"/>
      <c r="S67" s="367"/>
      <c r="T67" s="154" t="str">
        <f>IFERROR(IF(ISBLANK(R67),VLOOKUP(NCH[[#This Row],[CEDULA]],BIO[],7,0),VLOOKUP(NCH[[#This Row],[CEDULA]],BIO[],7,0)),"No tiene huella Biometrico")</f>
        <v>No registró</v>
      </c>
      <c r="U67" s="228" t="str">
        <f>IFERROR(IF(ISBLANK(R67),VLOOKUP(NCH[[#This Row],[CEDULA]],BIO[],8,0),VLOOKUP(NCH[[#This Row],[CEDULA]],BIO[],8,0)),"No tiene huella Biometrico")</f>
        <v>No registró</v>
      </c>
      <c r="V67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67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67" s="106"/>
      <c r="Y67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67" s="154" t="str">
        <f>IFERROR(IF(ISBLANK(X67),VLOOKUP(NCH[[#This Row],[CEDULA]],BIO[],9,0),VLOOKUP(NCH[[#This Row],[CEDULA]],BIO[],9,0)),"No tiene huella Biometrico")</f>
        <v>No Registró</v>
      </c>
      <c r="AA67" s="228" t="str">
        <f>IFERROR(IF(ISBLANK(X67),VLOOKUP(NCH[[#This Row],[CEDULA]],BIO[],10,0),VLOOKUP(NCH[[#This Row],[CEDULA]],BIO[],10,0)),"No tiene huella Biometrico")</f>
        <v>No registró</v>
      </c>
      <c r="AB67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67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67" s="106"/>
      <c r="AE67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67" s="154" t="str">
        <f>IFERROR(IF(ISBLANK(NCH[G5]),VLOOKUP(NCH[[#This Row],[CEDULA]],BIO[],11,0),VLOOKUP(NCH[[#This Row],[CEDULA]],BIO[],11,0)),"No tiene huella Biometrico")</f>
        <v>No registró</v>
      </c>
      <c r="AG67" s="228" t="str">
        <f>IFERROR(IF((NCH[G5]),VLOOKUP(NCH[[#This Row],[CEDULA]],BIO[],12,0),VLOOKUP(NCH[[#This Row],[CEDULA]],BIO[],12,0)),"No tiene huella Biometrico")</f>
        <v>No registró</v>
      </c>
      <c r="AH67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67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67" s="107">
        <v>1</v>
      </c>
      <c r="AK67" s="369">
        <f>IF(NCH[[#This Row],[RUTA]]="0",NCH[[#This Row],[G6]],IF(AND(NCH[[#This Row],[ENTRADA7]]&lt;&gt;"No Registró",NCH[[#This Row],[SALIDA7]]&lt;&gt;"No Registró"),NCH[[#This Row],[G6]],0))</f>
        <v>1</v>
      </c>
      <c r="AL67" s="154">
        <f>IFERROR(IF(ISBLANK(NCH[G6]),VLOOKUP(NCH[CEDULA],BIO[],13,0),VLOOKUP(NCH[CEDULA],BIO[],13,0)),"No tiene huella Biometrico")</f>
        <v>0.33127314814814818</v>
      </c>
      <c r="AM67" s="230">
        <f>IFERROR(IF((NCH[G6]),VLOOKUP(NCH[[#This Row],[CEDULA]],BIO[],14,0),VLOOKUP(NCH[[#This Row],[CEDULA]],BIO[],14,0)),"No tiene huella Biometrico")</f>
        <v>0.54245370370370372</v>
      </c>
      <c r="AN67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Cumple H</v>
      </c>
      <c r="AO67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67" s="107">
        <v>1</v>
      </c>
      <c r="AQ67" s="382">
        <f>IF(NCH[[#This Row],[RUTA]]="0",NCH[[#This Row],[G7]],IF(AND(NCH[[#This Row],[ENTRADA8]]&lt;&gt;"No Registró",NCH[[#This Row],[SALIDA8]]&lt;&gt;"No Registró"),NCH[[#This Row],[G7]],0))</f>
        <v>0</v>
      </c>
      <c r="AR67" s="160" t="str">
        <f>IFERROR(IF(ISBLANK(NCH[G7]),VLOOKUP(NCH[CEDULA],BIO[],15,0),VLOOKUP(NCH[CEDULA],BIO[],15,0)),"No tiene huella Biometrico")</f>
        <v>No registró</v>
      </c>
      <c r="AS67" s="230" t="str">
        <f>IFERROR(IF(ISBLANK(NCH[G7]),VLOOKUP(NCH[[#This Row],[CEDULA]],BIO[],16,0),VLOOKUP(NCH[[#This Row],[CEDULA]],BIO[],16,0)),"No tiene huella Biometrico")</f>
        <v>No registró</v>
      </c>
      <c r="AT67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67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67" s="105">
        <f>NCH[[#This Row],[META]]+NCH[[#This Row],[META2]]+NCH[[#This Row],[META3]]</f>
        <v>0</v>
      </c>
      <c r="AW67" s="105">
        <f>NCH[[#This Row],[META4]]+NCH[[#This Row],[META5]]+NCH[[#This Row],[META6]]+NCH[[#This Row],[META7]]</f>
        <v>1</v>
      </c>
      <c r="AX67" s="231">
        <f>NCH[[#This Row],[TOTAL L-V]]+NCH[[#This Row],[TOTAL S-D]]</f>
        <v>1</v>
      </c>
      <c r="AY67" s="232" t="str">
        <f>VLOOKUP(NCH[[#This Row],[CEDULA]],METAS[],20,0)</f>
        <v>APOYO LIMPIEZA COCINA Y REMOCION DE ESCOMBROS</v>
      </c>
      <c r="AZ67" s="232">
        <f>VLOOKUP(NCH[[#This Row],[CEDULA]],METAS[],22,0)</f>
        <v>0</v>
      </c>
    </row>
    <row r="68" spans="1:52" ht="30" x14ac:dyDescent="0.25">
      <c r="A68" s="105">
        <f>IF(NCH[[#This Row],[CEDULA]]&gt;1,0,"")</f>
        <v>0</v>
      </c>
      <c r="B68" s="346">
        <v>18088977</v>
      </c>
      <c r="C68" s="125" t="str">
        <f>VLOOKUP(NCH[[#This Row],[CEDULA]],DATOS[],2,0)</f>
        <v>RODRIGUEZ EDUARDO</v>
      </c>
      <c r="D68" s="108" t="s">
        <v>871</v>
      </c>
      <c r="E68" s="131" t="str">
        <f>MID(VLOOKUP(NCH[[#This Row],[CEDULA]],DATOS[],10,0),1,1)</f>
        <v/>
      </c>
      <c r="F68" s="106"/>
      <c r="G68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68" s="154">
        <f>IFERROR(IF(ISBLANK(F68),VLOOKUP(NCH[[#This Row],[CEDULA]],BIO[],3,0),VLOOKUP(NCH[[#This Row],[CEDULA]],BIO[],3,0)),"No tiene huella Biometrico")</f>
        <v>0.29193287037037036</v>
      </c>
      <c r="I68" s="228">
        <f>IFERROR(IF(ISBLANK(F68),VLOOKUP(NCH[[#This Row],[CEDULA]],BIO[],4,0),VLOOKUP(NCH[[#This Row],[CEDULA]],BIO[],4,0)),"No tiene huella Biometrico")</f>
        <v>0.55309027777777775</v>
      </c>
      <c r="J68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Cumple Horario</v>
      </c>
      <c r="K68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68" s="106"/>
      <c r="M68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68" s="154">
        <f>IFERROR(IF(ISBLANK(L68),VLOOKUP(NCH[[#This Row],[CEDULA]],BIO[],5,0),VLOOKUP(NCH[[#This Row],[CEDULA]],BIO[],5,0)),"No tiene huella Biometrico")</f>
        <v>0.29567129629629629</v>
      </c>
      <c r="O68" s="228">
        <f>IFERROR(IF(ISBLANK(L68),VLOOKUP(NCH[[#This Row],[CEDULA]],BIO[],6,0),VLOOKUP(NCH[[#This Row],[CEDULA]],BIO[],6,0)),"No tiene huella Biometrico")</f>
        <v>0.55365740740740743</v>
      </c>
      <c r="P68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Cumple Horario</v>
      </c>
      <c r="Q68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68" s="106"/>
      <c r="S68" s="367"/>
      <c r="T68" s="154" t="str">
        <f>IFERROR(IF(ISBLANK(R68),VLOOKUP(NCH[[#This Row],[CEDULA]],BIO[],7,0),VLOOKUP(NCH[[#This Row],[CEDULA]],BIO[],7,0)),"No tiene huella Biometrico")</f>
        <v>No registró</v>
      </c>
      <c r="U68" s="228" t="str">
        <f>IFERROR(IF(ISBLANK(R68),VLOOKUP(NCH[[#This Row],[CEDULA]],BIO[],8,0),VLOOKUP(NCH[[#This Row],[CEDULA]],BIO[],8,0)),"No tiene huella Biometrico")</f>
        <v>No registró</v>
      </c>
      <c r="V68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68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68" s="106"/>
      <c r="Y68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68" s="154" t="str">
        <f>IFERROR(IF(ISBLANK(X68),VLOOKUP(NCH[[#This Row],[CEDULA]],BIO[],9,0),VLOOKUP(NCH[[#This Row],[CEDULA]],BIO[],9,0)),"No tiene huella Biometrico")</f>
        <v>No Registró</v>
      </c>
      <c r="AA68" s="228" t="str">
        <f>IFERROR(IF(ISBLANK(X68),VLOOKUP(NCH[[#This Row],[CEDULA]],BIO[],10,0),VLOOKUP(NCH[[#This Row],[CEDULA]],BIO[],10,0)),"No tiene huella Biometrico")</f>
        <v>No registró</v>
      </c>
      <c r="AB68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68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68" s="106"/>
      <c r="AE68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68" s="154" t="str">
        <f>IFERROR(IF(ISBLANK(NCH[G5]),VLOOKUP(NCH[[#This Row],[CEDULA]],BIO[],11,0),VLOOKUP(NCH[[#This Row],[CEDULA]],BIO[],11,0)),"No tiene huella Biometrico")</f>
        <v>No registró</v>
      </c>
      <c r="AG68" s="228" t="str">
        <f>IFERROR(IF((NCH[G5]),VLOOKUP(NCH[[#This Row],[CEDULA]],BIO[],12,0),VLOOKUP(NCH[[#This Row],[CEDULA]],BIO[],12,0)),"No tiene huella Biometrico")</f>
        <v>No registró</v>
      </c>
      <c r="AH68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68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68" s="107"/>
      <c r="AK68" s="369">
        <f>IF(NCH[[#This Row],[RUTA]]="0",NCH[[#This Row],[G6]],IF(AND(NCH[[#This Row],[ENTRADA7]]&lt;&gt;"No Registró",NCH[[#This Row],[SALIDA7]]&lt;&gt;"No Registró"),NCH[[#This Row],[G6]],0))</f>
        <v>0</v>
      </c>
      <c r="AL68" s="154" t="str">
        <f>IFERROR(IF(ISBLANK(NCH[G6]),VLOOKUP(NCH[CEDULA],BIO[],13,0),VLOOKUP(NCH[CEDULA],BIO[],13,0)),"No tiene huella Biometrico")</f>
        <v>No registró</v>
      </c>
      <c r="AM68" s="230" t="str">
        <f>IFERROR(IF((NCH[G6]),VLOOKUP(NCH[[#This Row],[CEDULA]],BIO[],14,0),VLOOKUP(NCH[[#This Row],[CEDULA]],BIO[],14,0)),"No tiene huella Biometrico")</f>
        <v>No registró</v>
      </c>
      <c r="AN68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68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68" s="107"/>
      <c r="AQ68" s="231">
        <f>IF(NCH[[#This Row],[RUTA]]="0",NCH[[#This Row],[G7]],IF(AND(NCH[[#This Row],[ENTRADA8]]&lt;&gt;"No Registró",NCH[[#This Row],[SALIDA8]]&lt;&gt;"No Registró"),NCH[[#This Row],[G7]],0))</f>
        <v>0</v>
      </c>
      <c r="AR68" s="160" t="str">
        <f>IFERROR(IF(ISBLANK(NCH[G7]),VLOOKUP(NCH[CEDULA],BIO[],15,0),VLOOKUP(NCH[CEDULA],BIO[],15,0)),"No tiene huella Biometrico")</f>
        <v>No registró</v>
      </c>
      <c r="AS68" s="230" t="str">
        <f>IFERROR(IF(ISBLANK(NCH[G7]),VLOOKUP(NCH[[#This Row],[CEDULA]],BIO[],16,0),VLOOKUP(NCH[[#This Row],[CEDULA]],BIO[],16,0)),"No tiene huella Biometrico")</f>
        <v>No registró</v>
      </c>
      <c r="AT68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68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68" s="105">
        <f>NCH[[#This Row],[META]]+NCH[[#This Row],[META2]]+NCH[[#This Row],[META3]]</f>
        <v>0</v>
      </c>
      <c r="AW68" s="105">
        <f>NCH[[#This Row],[META4]]+NCH[[#This Row],[META5]]+NCH[[#This Row],[META6]]+NCH[[#This Row],[META7]]</f>
        <v>0</v>
      </c>
      <c r="AX68" s="231">
        <f>NCH[[#This Row],[TOTAL L-V]]+NCH[[#This Row],[TOTAL S-D]]</f>
        <v>0</v>
      </c>
      <c r="AY68" s="232">
        <f>VLOOKUP(NCH[[#This Row],[CEDULA]],METAS[],20,0)</f>
        <v>0</v>
      </c>
      <c r="AZ68" s="232" t="str">
        <f>VLOOKUP(NCH[[#This Row],[CEDULA]],METAS[],22,0)</f>
        <v>DIAS PENDIENTES DE LA SEMANA 15 Evaluacion de Proyecto asigando por la Dra. Esperanza Briceño</v>
      </c>
    </row>
    <row r="69" spans="1:52" ht="30" x14ac:dyDescent="0.25">
      <c r="A69" s="105">
        <f>IF(NCH[[#This Row],[CEDULA]]&gt;1,0,"")</f>
        <v>0</v>
      </c>
      <c r="B69" s="337">
        <v>11679527</v>
      </c>
      <c r="C69" s="125" t="str">
        <f>VLOOKUP(NCH[[#This Row],[CEDULA]],DATOS[],2,0)</f>
        <v>VELASQUEZ YELITZA</v>
      </c>
      <c r="D69" s="108"/>
      <c r="E69" s="131" t="str">
        <f>MID(VLOOKUP(NCH[[#This Row],[CEDULA]],DATOS[],10,0),1,1)</f>
        <v/>
      </c>
      <c r="F69" s="106"/>
      <c r="G69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0</v>
      </c>
      <c r="H69" s="154">
        <f>IFERROR(IF(ISBLANK(F69),VLOOKUP(NCH[[#This Row],[CEDULA]],BIO[],3,0),VLOOKUP(NCH[[#This Row],[CEDULA]],BIO[],3,0)),"No tiene huella Biometrico")</f>
        <v>0.32689814814814816</v>
      </c>
      <c r="I69" s="228">
        <f>IFERROR(IF(ISBLANK(F69),VLOOKUP(NCH[[#This Row],[CEDULA]],BIO[],4,0),VLOOKUP(NCH[[#This Row],[CEDULA]],BIO[],4,0)),"No tiene huella Biometrico")</f>
        <v>0.56429398148148147</v>
      </c>
      <c r="J69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Cumple H</v>
      </c>
      <c r="K69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realizo Metas</v>
      </c>
      <c r="L69" s="106"/>
      <c r="M69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0</v>
      </c>
      <c r="N69" s="154">
        <f>IFERROR(IF(ISBLANK(L69),VLOOKUP(NCH[[#This Row],[CEDULA]],BIO[],5,0),VLOOKUP(NCH[[#This Row],[CEDULA]],BIO[],5,0)),"No tiene huella Biometrico")</f>
        <v>0.31555555555555553</v>
      </c>
      <c r="O69" s="228">
        <f>IFERROR(IF(ISBLANK(L69),VLOOKUP(NCH[[#This Row],[CEDULA]],BIO[],6,0),VLOOKUP(NCH[[#This Row],[CEDULA]],BIO[],6,0)),"No tiene huella Biometrico")</f>
        <v>0.55716435185185187</v>
      </c>
      <c r="P69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Cumple H</v>
      </c>
      <c r="Q69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realizo Metas</v>
      </c>
      <c r="R69" s="106"/>
      <c r="S69" s="367"/>
      <c r="T69" s="154" t="str">
        <f>IFERROR(IF(ISBLANK(R69),VLOOKUP(NCH[[#This Row],[CEDULA]],BIO[],7,0),VLOOKUP(NCH[[#This Row],[CEDULA]],BIO[],7,0)),"No tiene huella Biometrico")</f>
        <v>No registró</v>
      </c>
      <c r="U69" s="228" t="str">
        <f>IFERROR(IF(ISBLANK(R69),VLOOKUP(NCH[[#This Row],[CEDULA]],BIO[],8,0),VLOOKUP(NCH[[#This Row],[CEDULA]],BIO[],8,0)),"No tiene huella Biometrico")</f>
        <v>No registró</v>
      </c>
      <c r="V69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registro Biometrico</v>
      </c>
      <c r="W69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cumple H</v>
      </c>
      <c r="X69" s="106"/>
      <c r="Y69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69" s="154" t="str">
        <f>IFERROR(IF(ISBLANK(X69),VLOOKUP(NCH[[#This Row],[CEDULA]],BIO[],9,0),VLOOKUP(NCH[[#This Row],[CEDULA]],BIO[],9,0)),"No tiene huella Biometrico")</f>
        <v>No Registró</v>
      </c>
      <c r="AA69" s="228" t="str">
        <f>IFERROR(IF(ISBLANK(X69),VLOOKUP(NCH[[#This Row],[CEDULA]],BIO[],10,0),VLOOKUP(NCH[[#This Row],[CEDULA]],BIO[],10,0)),"No tiene huella Biometrico")</f>
        <v>No registró</v>
      </c>
      <c r="AB69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registro Biometrico</v>
      </c>
      <c r="AC69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cumple H</v>
      </c>
      <c r="AD69" s="106"/>
      <c r="AE69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69" s="154" t="str">
        <f>IFERROR(IF(ISBLANK(NCH[G5]),VLOOKUP(NCH[[#This Row],[CEDULA]],BIO[],11,0),VLOOKUP(NCH[[#This Row],[CEDULA]],BIO[],11,0)),"No tiene huella Biometrico")</f>
        <v>No registró</v>
      </c>
      <c r="AG69" s="228" t="str">
        <f>IFERROR(IF((NCH[G5]),VLOOKUP(NCH[[#This Row],[CEDULA]],BIO[],12,0),VLOOKUP(NCH[[#This Row],[CEDULA]],BIO[],12,0)),"No tiene huella Biometrico")</f>
        <v>No registró</v>
      </c>
      <c r="AH69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registro Biometrico</v>
      </c>
      <c r="AI69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cumple H</v>
      </c>
      <c r="AJ69" s="107"/>
      <c r="AK69" s="369">
        <f>IF(NCH[[#This Row],[RUTA]]="0",NCH[[#This Row],[G6]],IF(AND(NCH[[#This Row],[ENTRADA7]]&lt;&gt;"No Registró",NCH[[#This Row],[SALIDA7]]&lt;&gt;"No Registró"),NCH[[#This Row],[G6]],0))</f>
        <v>0</v>
      </c>
      <c r="AL69" s="154" t="str">
        <f>IFERROR(IF(ISBLANK(NCH[G6]),VLOOKUP(NCH[CEDULA],BIO[],13,0),VLOOKUP(NCH[CEDULA],BIO[],13,0)),"No tiene huella Biometrico")</f>
        <v>No registró</v>
      </c>
      <c r="AM69" s="230" t="str">
        <f>IFERROR(IF((NCH[G6]),VLOOKUP(NCH[[#This Row],[CEDULA]],BIO[],14,0),VLOOKUP(NCH[[#This Row],[CEDULA]],BIO[],14,0)),"No tiene huella Biometrico")</f>
        <v>No registró</v>
      </c>
      <c r="AN69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registro Biometrico</v>
      </c>
      <c r="AO69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cumple H</v>
      </c>
      <c r="AP69" s="107"/>
      <c r="AQ69" s="231">
        <f>IF(NCH[[#This Row],[RUTA]]="0",NCH[[#This Row],[G7]],IF(AND(NCH[[#This Row],[ENTRADA8]]&lt;&gt;"No Registró",NCH[[#This Row],[SALIDA8]]&lt;&gt;"No Registró"),NCH[[#This Row],[G7]],0))</f>
        <v>0</v>
      </c>
      <c r="AR69" s="160" t="str">
        <f>IFERROR(IF(ISBLANK(NCH[G7]),VLOOKUP(NCH[CEDULA],BIO[],15,0),VLOOKUP(NCH[CEDULA],BIO[],15,0)),"No tiene huella Biometrico")</f>
        <v>No registró</v>
      </c>
      <c r="AS69" s="230" t="str">
        <f>IFERROR(IF(ISBLANK(NCH[G7]),VLOOKUP(NCH[[#This Row],[CEDULA]],BIO[],16,0),VLOOKUP(NCH[[#This Row],[CEDULA]],BIO[],16,0)),"No tiene huella Biometrico")</f>
        <v>No registró</v>
      </c>
      <c r="AT69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registro Biometrico</v>
      </c>
      <c r="AU69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cumple H</v>
      </c>
      <c r="AV69" s="105">
        <f>NCH[[#This Row],[META]]+NCH[[#This Row],[META2]]+NCH[[#This Row],[META3]]</f>
        <v>0</v>
      </c>
      <c r="AW69" s="105">
        <f>NCH[[#This Row],[META4]]+NCH[[#This Row],[META5]]+NCH[[#This Row],[META6]]+NCH[[#This Row],[META7]]</f>
        <v>0</v>
      </c>
      <c r="AX69" s="231">
        <f>NCH[[#This Row],[TOTAL L-V]]+NCH[[#This Row],[TOTAL S-D]]</f>
        <v>0</v>
      </c>
      <c r="AY69" s="232">
        <f>VLOOKUP(NCH[[#This Row],[CEDULA]],METAS[],20,0)</f>
        <v>0</v>
      </c>
      <c r="AZ69" s="232" t="str">
        <f>VLOOKUP(NCH[[#This Row],[CEDULA]],METAS[],22,0)</f>
        <v>DÍA TRABAJADO EL MIÉRCOLES 09 DE ABRIL 2025</v>
      </c>
    </row>
    <row r="70" spans="1:52" ht="30" x14ac:dyDescent="0.25">
      <c r="A70" s="105">
        <f>IF(NCH[[#This Row],[CEDULA]]&gt;1,0,"")</f>
        <v>0</v>
      </c>
      <c r="B70" s="346">
        <v>4029580</v>
      </c>
      <c r="C70" s="125" t="str">
        <f>VLOOKUP(NCH[[#This Row],[CEDULA]],DATOS[],2,0)</f>
        <v>CORDOVA ESMIRIN</v>
      </c>
      <c r="D70" s="108" t="s">
        <v>1420</v>
      </c>
      <c r="E70" s="131" t="str">
        <f>MID(VLOOKUP(NCH[[#This Row],[CEDULA]],DATOS[],10,0),1,1)</f>
        <v>0</v>
      </c>
      <c r="F70" s="106">
        <v>1</v>
      </c>
      <c r="G70" s="367">
        <f>IF(NCH[[#This Row],[JORNADA LABORAL]]="Horario Metas",NCH[[#This Row],[G]],IF(NCH[[#This Row],[RUTA]]="0",NCH[[#This Row],[G]],IF(AND(NCH[[#This Row],[SALIDA]]&gt;=$AK$1,NCH[[#This Row],[RUTA]]="1",NCH[[#This Row],[ENTRADA]]&gt;=BIOMETRICO!$Z$4,NCH[[#This Row],[ENTRADA]]&lt;=BIOMETRICO!$AA$4),NCH[[#This Row],[G]],IF(AND(NCH[[#This Row],[SALIDA]]&gt;=$AK$1,NCH[[#This Row],[RUTA]]="2",NCH[[#This Row],[ENTRADA]]&gt;=BIOMETRICO!$Z$5,NCH[[#This Row],[ENTRADA]]&lt;=BIOMETRICO!$AA$5),NCH[[#This Row],[G]],IF(AND(NCH[[#This Row],[SALIDA]]&gt;=$AK$1,NCH[[#This Row],[RUTA]]="3",NCH[[#This Row],[ENTRADA]]&gt;=BIOMETRICO!$Z$6,NCH[[#This Row],[ENTRADA]]&lt;=BIOMETRICO!$AA$6),NCH[[#This Row],[G]],IF(AND(NCH[[#This Row],[SALIDA]]&gt;=$AK$1,NCH[[#This Row],[RUTA]]="4",NCH[[#This Row],[ENTRADA]]&gt;=BIOMETRICO!$Z$8,NCH[[#This Row],[ENTRADA]]&lt;=BIOMETRICO!$AA$8),NCH[[#This Row],[G]],IF(AND(NCH[[#This Row],[SALIDA]]&gt;=$AK$1,NCH[[#This Row],[RUTA]]="5",NCH[[#This Row],[ENTRADA]]&gt;=BIOMETRICO!$Z$7,NCH[[#This Row],[ENTRADA]]&lt;=BIOMETRICO!$AA$7),NCH[[#This Row],[G]],0)))))))</f>
        <v>1</v>
      </c>
      <c r="H70" s="154" t="str">
        <f>IFERROR(IF(ISBLANK(F70),VLOOKUP(NCH[[#This Row],[CEDULA]],BIO[],3,0),VLOOKUP(NCH[[#This Row],[CEDULA]],BIO[],3,0)),"No tiene huella Biometrico")</f>
        <v>No tiene huella Biometrico</v>
      </c>
      <c r="I70" s="228" t="str">
        <f>IFERROR(IF(ISBLANK(F70),VLOOKUP(NCH[[#This Row],[CEDULA]],BIO[],4,0),VLOOKUP(NCH[[#This Row],[CEDULA]],BIO[],4,0)),"No tiene huella Biometrico")</f>
        <v>No tiene huella Biometrico</v>
      </c>
      <c r="J70" s="228" t="str">
        <f>IF(AND(NCH[[#This Row],[ENTRADA]]="No Registró",NCH[[#This Row],[SALIDA]]="No Registró"),"No registro Biometrico",IF(NCH[[#This Row],[ENTRADA]]="No Registró","No registro entrada",IF(NCH[[#This Row],[SALIDA]]="No Registró","No registro salida",IF(AND(NCH[[#This Row],[ENTRADA]]&lt;=$AJ$1,NCH[[#This Row],[SALIDA]]&gt;=$AK$1),"Horario Metas",IF(AND(NCH[[#This Row],[ENTRADA]]&lt;=$AJ$2,NCH[[#This Row],[SALIDA]]&gt;=$AK$2),"Cumple Horario",IF(AND(NCH[[#This Row],[ENTRADA]]="No tiene huella Biometrico",NCH[[#This Row],[SALIDA]]="No tiene huella Biometrico"),"No tiene huella Biometrico","No Cumple H"))))))</f>
        <v>No tiene huella Biometrico</v>
      </c>
      <c r="K70" s="228" t="str">
        <f>IF(NCH[[#This Row],[JORNADA LABORAL]]="No tiene huella Biometrico","No tiene huella Biometrico",IF(NCH[[#This Row],[SALIDA]]="No registró","No cumple H",IF(NCH[[#This Row],[G]]&gt;=1,IF(AND(NCH[[#This Row],[ENTRADA]]&lt;=$AJ$1,NCH[[#This Row],[SALIDA]]&gt;=$AK$1),"Horario Metas","No cumple H"),"No realizo Metas")))</f>
        <v>No tiene huella Biometrico</v>
      </c>
      <c r="L70" s="106">
        <v>1</v>
      </c>
      <c r="M70" s="367">
        <f>IF(NCH[[#This Row],[JORNADA LABORAL2]]="Horario Metas",NCH[[#This Row],[G2]],IF(NCH[[#This Row],[RUTA]]="0",NCH[[#This Row],[G2]],IF(AND(NCH[[#This Row],[SALIDA2]]&gt;=$AK$1,NCH[[#This Row],[RUTA]]="1",NCH[[#This Row],[ENTRADA2]]&gt;=BIOMETRICO!$Z$4,NCH[[#This Row],[ENTRADA2]]&lt;=BIOMETRICO!$AA$4),NCH[[#This Row],[G2]],IF(AND(NCH[[#This Row],[SALIDA2]]&gt;=$AK$1,NCH[[#This Row],[RUTA]]="2",NCH[[#This Row],[ENTRADA2]]&gt;=BIOMETRICO!$Z$5,NCH[[#This Row],[ENTRADA2]]&lt;=BIOMETRICO!$AA$5),NCH[[#This Row],[G2]],IF(AND(NCH[[#This Row],[SALIDA2]]&gt;=$AK$1,NCH[[#This Row],[RUTA]]="3",NCH[[#This Row],[ENTRADA2]]&gt;=BIOMETRICO!$Z$6,NCH[[#This Row],[ENTRADA2]]&lt;=BIOMETRICO!$AA$6),NCH[[#This Row],[G2]],IF(AND(NCH[[#This Row],[SALIDA2]]&gt;=$AK$1,NCH[[#This Row],[RUTA]]="4",NCH[[#This Row],[ENTRADA2]]&gt;=BIOMETRICO!$Z$8,NCH[[#This Row],[ENTRADA2]]&lt;=BIOMETRICO!$AA$8),NCH[[#This Row],[G2]],IF(AND(NCH[[#This Row],[SALIDA2]]&gt;=$AK$1,NCH[[#This Row],[RUTA]]="5",NCH[[#This Row],[ENTRADA2]]&gt;=BIOMETRICO!$Z$7,NCH[[#This Row],[ENTRADA2]]&lt;=BIOMETRICO!$AA$7),NCH[[#This Row],[G2]],0)))))))</f>
        <v>1</v>
      </c>
      <c r="N70" s="154" t="str">
        <f>IFERROR(IF(ISBLANK(L70),VLOOKUP(NCH[[#This Row],[CEDULA]],BIO[],5,0),VLOOKUP(NCH[[#This Row],[CEDULA]],BIO[],5,0)),"No tiene huella Biometrico")</f>
        <v>No tiene huella Biometrico</v>
      </c>
      <c r="O70" s="228" t="str">
        <f>IFERROR(IF(ISBLANK(L70),VLOOKUP(NCH[[#This Row],[CEDULA]],BIO[],6,0),VLOOKUP(NCH[[#This Row],[CEDULA]],BIO[],6,0)),"No tiene huella Biometrico")</f>
        <v>No tiene huella Biometrico</v>
      </c>
      <c r="P70" s="228" t="str">
        <f>IF(AND(NCH[[#This Row],[ENTRADA2]]="No Registró",NCH[[#This Row],[SALIDA2]]="No Registró"),"No registro Biometrico",IF(NCH[[#This Row],[ENTRADA2]]="No Registró","No registro entrada",IF(NCH[[#This Row],[SALIDA2]]="No Registró","No registro salida",IF(AND(NCH[[#This Row],[ENTRADA2]]&lt;=$AJ$1,NCH[[#This Row],[SALIDA2]]&gt;=$AK$1),"Horario Metas",IF(AND(NCH[[#This Row],[ENTRADA2]]&lt;=$AJ$2,NCH[[#This Row],[SALIDA2]]&gt;=$AK$2),"Cumple Horario",IF(AND(NCH[[#This Row],[ENTRADA2]]="No tiene huella Biometrico",NCH[[#This Row],[SALIDA2]]="No tiene huella Biometrico"),"No tiene huella Biometrico","No Cumple H"))))))</f>
        <v>No tiene huella Biometrico</v>
      </c>
      <c r="Q70" s="228" t="str">
        <f>IF(NCH[[#This Row],[JORNADA LABORAL2]]="No tiene huella Biometrico","No tiene huella Biometrico",IF(NCH[[#This Row],[SALIDA2]]="No registró","No cumple H",IF(NCH[[#This Row],[G2]]&gt;=1,IF(AND(NCH[[#This Row],[ENTRADA2]]&lt;=$AJ$1,NCH[[#This Row],[SALIDA2]]&gt;=$AK$1),"Horario Metas","No cumple H"),"No realizo Metas")))</f>
        <v>No tiene huella Biometrico</v>
      </c>
      <c r="R70" s="106"/>
      <c r="S70" s="367"/>
      <c r="T70" s="154" t="str">
        <f>IFERROR(IF(ISBLANK(R70),VLOOKUP(NCH[[#This Row],[CEDULA]],BIO[],7,0),VLOOKUP(NCH[[#This Row],[CEDULA]],BIO[],7,0)),"No tiene huella Biometrico")</f>
        <v>No tiene huella Biometrico</v>
      </c>
      <c r="U70" s="228" t="str">
        <f>IFERROR(IF(ISBLANK(R70),VLOOKUP(NCH[[#This Row],[CEDULA]],BIO[],8,0),VLOOKUP(NCH[[#This Row],[CEDULA]],BIO[],8,0)),"No tiene huella Biometrico")</f>
        <v>No tiene huella Biometrico</v>
      </c>
      <c r="V70" s="228" t="str">
        <f>IF(AND(NCH[[#This Row],[ENTRADA3]]="No Registró",NCH[[#This Row],[SALIDA4]]="No Registró"),"No registro Biometrico",IF(NCH[[#This Row],[ENTRADA3]]="No Registró","No registro entrada",IF(NCH[[#This Row],[SALIDA4]]="No Registró","No registro salida",IF(AND(NCH[[#This Row],[ENTRADA3]]&lt;=$AJ$1,NCH[[#This Row],[SALIDA4]]&gt;=$AK$1),"Horario Metas",IF(AND(NCH[[#This Row],[ENTRADA3]]&lt;=$AJ$2,NCH[[#This Row],[SALIDA4]]&gt;=$AK$2),"Cumple Horario",IF(AND(NCH[[#This Row],[ENTRADA3]]="No tiene huella Biometrico",NCH[[#This Row],[SALIDA4]]="No tiene huella Biometrico"),"No tiene huella Biometrico","No Cumple H"))))))</f>
        <v>No tiene huella Biometrico</v>
      </c>
      <c r="W70" s="228" t="str">
        <f>IF(NCH[[#This Row],[JORNADA LABORAL3]]="No tiene huella Biometrico","No tiene huella Biometrico",IF(NCH[[#This Row],[SALIDA4]]="No registró","No cumple H",IF(NCH[[#This Row],[G3]]&gt;=1,IF(AND(NCH[[#This Row],[ENTRADA3]]&lt;=$AJ$1,NCH[[#This Row],[SALIDA4]]&gt;=$AK$1),"Horario Metas","No cumple H"),"No realizo Metas")))</f>
        <v>No tiene huella Biometrico</v>
      </c>
      <c r="X70" s="106"/>
      <c r="Y70" s="368">
        <f>IF(NCH[[#This Row],[JORNADA LABORAL4]]="Horario Metas",NCH[[#This Row],[G4]],IF(NCH[[#This Row],[RUTA]]="0",NCH[[#This Row],[G4]],IF(AND(NCH[[#This Row],[SALIDA5]]&gt;=$AK$1,NCH[[#This Row],[RUTA]]="1",NCH[[#This Row],[ENTRADA4]]&gt;=BIOMETRICO!$AD$4,NCH[[#This Row],[ENTRADA4]]&lt;=BIOMETRICO!$AE$4),NCH[[#This Row],[G4]],IF(AND(NCH[[#This Row],[SALIDA5]]&gt;=$AK$1,NCH[[#This Row],[RUTA]]="2",NCH[[#This Row],[ENTRADA4]]&gt;=BIOMETRICO!$AD$5,NCH[[#This Row],[ENTRADA4]]&lt;=BIOMETRICO!$AE$5),NCH[[#This Row],[G4]],IF(AND(NCH[[#This Row],[SALIDA5]]&gt;=$AK$1,NCH[[#This Row],[RUTA]]="3",NCH[[#This Row],[ENTRADA4]]&gt;=BIOMETRICO!$AD$6,NCH[[#This Row],[ENTRADA4]]&lt;=BIOMETRICO!$AE$6),NCH[[#This Row],[G4]],IF(AND(NCH[[#This Row],[SALIDA5]]&gt;=$AK$1,NCH[[#This Row],[RUTA]]="4",NCH[[#This Row],[ENTRADA4]]&gt;=BIOMETRICO!$AD$8,NCH[[#This Row],[ENTRADA4]]&lt;=BIOMETRICO!$AE$8),NCH[[#This Row],[G4]],IF(AND(NCH[[#This Row],[SALIDA5]]&gt;=$AK$1,NCH[[#This Row],[RUTA]]="5",NCH[[#This Row],[ENTRADA4]]&gt;=BIOMETRICO!$AD$7,NCH[[#This Row],[ENTRADA4]]&lt;=BIOMETRICO!$AE$7),NCH[[#This Row],[G4]],0)))))))</f>
        <v>0</v>
      </c>
      <c r="Z70" s="154" t="str">
        <f>IFERROR(IF(ISBLANK(X70),VLOOKUP(NCH[[#This Row],[CEDULA]],BIO[],9,0),VLOOKUP(NCH[[#This Row],[CEDULA]],BIO[],9,0)),"No tiene huella Biometrico")</f>
        <v>No tiene huella Biometrico</v>
      </c>
      <c r="AA70" s="228" t="str">
        <f>IFERROR(IF(ISBLANK(X70),VLOOKUP(NCH[[#This Row],[CEDULA]],BIO[],10,0),VLOOKUP(NCH[[#This Row],[CEDULA]],BIO[],10,0)),"No tiene huella Biometrico")</f>
        <v>No tiene huella Biometrico</v>
      </c>
      <c r="AB70" s="228" t="str">
        <f>IF(AND(NCH[[#This Row],[ENTRADA4]]="No Registró",NCH[[#This Row],[SALIDA5]]="No Registró"),"No registro Biometrico",IF(NCH[[#This Row],[ENTRADA4]]="No Registró","No registro entrada",IF(NCH[[#This Row],[SALIDA5]]="No Registró","No registro salida",IF(AND(NCH[[#This Row],[ENTRADA4]]&lt;=$AJ$1,NCH[[#This Row],[SALIDA5]]&gt;=$AK$1),"Horario Metas",IF(AND(NCH[[#This Row],[ENTRADA4]]&lt;=$AJ$2,NCH[[#This Row],[SALIDA5]]&gt;=$AK$2),"Cumple Horario",IF(AND(NCH[[#This Row],[ENTRADA4]]="No tiene huella Biometrico",NCH[[#This Row],[SALIDA5]]="No tiene huella Biometrico"),"No tiene huella Biometrico","No Cumple H"))))))</f>
        <v>No tiene huella Biometrico</v>
      </c>
      <c r="AC70" s="228" t="str">
        <f>IF(NCH[[#This Row],[JORNADA LABORAL4]]="No tiene huella Biometrico","No tiene huella Biometrico",IF(NCH[[#This Row],[SALIDA5]]="No registró","No cumple H",IF(NCH[[#This Row],[G4]]&gt;=1,IF(AND(NCH[[#This Row],[ENTRADA4]]&lt;=$AJ$1,NCH[[#This Row],[SALIDA5]]&gt;=$AK$1),"Horario Metas","No cumple H"),"No realizo Metas")))</f>
        <v>No tiene huella Biometrico</v>
      </c>
      <c r="AD70" s="106"/>
      <c r="AE70" s="368">
        <f>IF(NCH[[#This Row],[JORNADA LABORAL5]]="Horario Metas",NCH[[#This Row],[G5]],IF(NCH[[#This Row],[RUTA]]="0",NCH[[#This Row],[G5]],IF(AND(NCH[[#This Row],[SALIDA6]]&gt;=$AK$1,NCH[[#This Row],[RUTA]]="1",NCH[[#This Row],[ENTRADA5]]&gt;=BIOMETRICO!$AF$4,NCH[[#This Row],[ENTRADA5]]&lt;=BIOMETRICO!$AG$4),NCH[[#This Row],[G5]],IF(AND(NCH[[#This Row],[SALIDA6]]&gt;=$AK$1,NCH[[#This Row],[RUTA]]="2",NCH[[#This Row],[ENTRADA5]]&gt;=BIOMETRICO!$AF$5,NCH[[#This Row],[ENTRADA5]]&lt;=BIOMETRICO!$AG$5),NCH[[#This Row],[G5]],IF(AND(NCH[[#This Row],[SALIDA6]]&gt;=$AK$1,NCH[[#This Row],[RUTA]]="3",NCH[[#This Row],[ENTRADA5]]&gt;=BIOMETRICO!$AF$6,NCH[[#This Row],[ENTRADA5]]&lt;=BIOMETRICO!$AG$6),NCH[[#This Row],[G5]],IF(AND(NCH[[#This Row],[SALIDA6]]&gt;=$AK$1,NCH[[#This Row],[RUTA]]="4",NCH[[#This Row],[ENTRADA5]]&gt;=BIOMETRICO!$AF$8,NCH[[#This Row],[ENTRADA5]]&lt;=BIOMETRICO!$AG$8),NCH[[#This Row],[G5]],IF(AND(NCH[[#This Row],[SALIDA6]]&gt;=$AK$1,NCH[[#This Row],[RUTA]]="5",NCH[[#This Row],[ENTRADA5]]&gt;=BIOMETRICO!$AF$7,NCH[[#This Row],[ENTRADA5]]&lt;=BIOMETRICO!$AG$7),NCH[[#This Row],[G5]],0)))))))</f>
        <v>0</v>
      </c>
      <c r="AF70" s="154" t="str">
        <f>IFERROR(IF(ISBLANK(NCH[G5]),VLOOKUP(NCH[[#This Row],[CEDULA]],BIO[],11,0),VLOOKUP(NCH[[#This Row],[CEDULA]],BIO[],11,0)),"No tiene huella Biometrico")</f>
        <v>No tiene huella Biometrico</v>
      </c>
      <c r="AG70" s="228" t="str">
        <f>IFERROR(IF((NCH[G5]),VLOOKUP(NCH[[#This Row],[CEDULA]],BIO[],12,0),VLOOKUP(NCH[[#This Row],[CEDULA]],BIO[],12,0)),"No tiene huella Biometrico")</f>
        <v>No tiene huella Biometrico</v>
      </c>
      <c r="AH70" s="252" t="str">
        <f>IF(AND(NCH[[#This Row],[ENTRADA5]]="No Registró",NCH[[#This Row],[SALIDA6]]="No Registró"),"No registro Biometrico",IF(NCH[[#This Row],[ENTRADA5]]="No Registró","No registro entrada",IF(NCH[[#This Row],[SALIDA6]]="No Registró","No registro salida",IF(AND(NCH[[#This Row],[ENTRADA5]]&lt;=$AJ$1,NCH[[#This Row],[SALIDA6]]&gt;=$AK$1),"Horario Metas",IF(AND(NCH[[#This Row],[ENTRADA5]]&lt;=$AJ$2,NCH[[#This Row],[SALIDA6]]&gt;=$AK$2),"Cumple Horario",IF(AND(NCH[[#This Row],[ENTRADA5]]="No tiene huella Biometrico",NCH[[#This Row],[SALIDA6]]="No tiene huella Biometrico"),"No tiene huella Biometrico","No Cumple H"))))))</f>
        <v>No tiene huella Biometrico</v>
      </c>
      <c r="AI70" s="228" t="str">
        <f>IF(NCH[[#This Row],[JORNADA LABORAL5]]="No tiene huella Biometrico","No tiene huella Biometrico",IF(NCH[[#This Row],[SALIDA6]]="No registró","No cumple H",IF(NCH[[#This Row],[G5]]&gt;=1,IF(AND(NCH[[#This Row],[ENTRADA5]]&lt;=$AJ$1,NCH[[#This Row],[SALIDA6]]&gt;=$AK$1),"Horario Metas","No cumple H"),"No realizo Metas")))</f>
        <v>No tiene huella Biometrico</v>
      </c>
      <c r="AJ70" s="107"/>
      <c r="AK70" s="369">
        <f>IF(NCH[[#This Row],[RUTA]]="0",NCH[[#This Row],[G6]],IF(AND(NCH[[#This Row],[ENTRADA7]]&lt;&gt;"No Registró",NCH[[#This Row],[SALIDA7]]&lt;&gt;"No Registró"),NCH[[#This Row],[G6]],0))</f>
        <v>0</v>
      </c>
      <c r="AL70" s="154" t="str">
        <f>IFERROR(IF(ISBLANK(NCH[G6]),VLOOKUP(NCH[CEDULA],BIO[],13,0),VLOOKUP(NCH[CEDULA],BIO[],13,0)),"No tiene huella Biometrico")</f>
        <v>No tiene huella Biometrico</v>
      </c>
      <c r="AM70" s="230" t="str">
        <f>IFERROR(IF((NCH[G6]),VLOOKUP(NCH[[#This Row],[CEDULA]],BIO[],14,0),VLOOKUP(NCH[[#This Row],[CEDULA]],BIO[],14,0)),"No tiene huella Biometrico")</f>
        <v>No tiene huella Biometrico</v>
      </c>
      <c r="AN70" s="229" t="str">
        <f>IF(AND(NCH[[#This Row],[ENTRADA7]]="No Registró",NCH[[#This Row],[SALIDA7]]="No Registró"),"No registro Biometrico",IF(NCH[[#This Row],[ENTRADA7]]="No Registró","No registro entrada",IF(NCH[[#This Row],[SALIDA7]]="No Registró","No registro salida",IF(AND(NCH[[#This Row],[ENTRADA7]]&lt;=$AJ$1,NCH[[#This Row],[SALIDA7]]&gt;=$AK$1),"Horario Metas",IF(AND(NCH[[#This Row],[ENTRADA7]]&lt;=$AJ$2,NCH[[#This Row],[SALIDA7]]&gt;=$AK$2),"Cumple Horario",IF(AND(NCH[[#This Row],[ENTRADA7]]="No tiene huella Biometrico",NCH[[#This Row],[SALIDA7]]="No tiene huella Biometrico"),"No tiene huella Biometrico","No Cumple H"))))))</f>
        <v>No tiene huella Biometrico</v>
      </c>
      <c r="AO70" s="230" t="str">
        <f>IF(NCH[[#This Row],[JORNADA LABORAL7]]="No tiene huella Biometrico","No tiene huella Biometrico",IF(NCH[[#This Row],[SALIDA7]]="No registró","No cumple H",IF(NCH[[#This Row],[G6]]&gt;=1,IF(AND(NCH[[#This Row],[ENTRADA7]]&lt;=$AL$2,NCH[[#This Row],[SALIDA7]]&gt;=$AM$2),"Horario Metas","No cumple H"),"No realizo Metas")))</f>
        <v>No tiene huella Biometrico</v>
      </c>
      <c r="AP70" s="107"/>
      <c r="AQ70" s="231">
        <f>IF(NCH[[#This Row],[RUTA]]="0",NCH[[#This Row],[G7]],IF(AND(NCH[[#This Row],[ENTRADA8]]&lt;&gt;"No Registró",NCH[[#This Row],[SALIDA8]]&lt;&gt;"No Registró"),NCH[[#This Row],[G7]],0))</f>
        <v>0</v>
      </c>
      <c r="AR70" s="160" t="str">
        <f>IFERROR(IF(ISBLANK(NCH[G7]),VLOOKUP(NCH[CEDULA],BIO[],15,0),VLOOKUP(NCH[CEDULA],BIO[],15,0)),"No tiene huella Biometrico")</f>
        <v>No tiene huella Biometrico</v>
      </c>
      <c r="AS70" s="230" t="str">
        <f>IFERROR(IF(ISBLANK(NCH[G7]),VLOOKUP(NCH[[#This Row],[CEDULA]],BIO[],16,0),VLOOKUP(NCH[[#This Row],[CEDULA]],BIO[],16,0)),"No tiene huella Biometrico")</f>
        <v>No tiene huella Biometrico</v>
      </c>
      <c r="AT70" s="230" t="str">
        <f>IF(AND(NCH[[#This Row],[ENTRADA8]]="No Registró",NCH[[#This Row],[SALIDA8]]="No Registró"),"No registro Biometrico",IF(NCH[[#This Row],[ENTRADA8]]="No Registró","No registro entrada",IF(NCH[[#This Row],[SALIDA8]]="No Registró","No registro salida",IF(AND(NCH[[#This Row],[ENTRADA8]]&lt;=$AL$2,NCH[[#This Row],[SALIDA8]]&gt;=$AM$2),"Horario Metas",IF(AND(NCH[[#This Row],[ENTRADA8]]&lt;=$AJ$2,NCH[[#This Row],[SALIDA8]]&gt;=$AK$2),"Cumple Horario",IF(AND(NCH[[#This Row],[ENTRADA8]]="No tiene huella Biometrico",NCH[[#This Row],[SALIDA8]]="No tiene huella Biometrico"),"No tiene huella Biometrico","No Cumple H"))))))</f>
        <v>No tiene huella Biometrico</v>
      </c>
      <c r="AU70" s="230" t="str">
        <f>IF(NCH[[#This Row],[JORNADA LABORAL8]]="No tiene huella Biometrico","No tiene huella Biometrico",IF(NCH[[#This Row],[SALIDA8]]="No registró","No cumple H",IF(NCH[[#This Row],[G7]]&gt;=1,IF(AND(NCH[[#This Row],[ENTRADA8]]&lt;=$AL$2,NCH[[#This Row],[SALIDA8]]&gt;=$AM$2),"Horario Metas","No cumple H"),"No realizo Metas")))</f>
        <v>No tiene huella Biometrico</v>
      </c>
      <c r="AV70" s="105">
        <f>NCH[[#This Row],[META]]+NCH[[#This Row],[META2]]+NCH[[#This Row],[META3]]</f>
        <v>2</v>
      </c>
      <c r="AW70" s="105">
        <f>NCH[[#This Row],[META4]]+NCH[[#This Row],[META5]]+NCH[[#This Row],[META6]]+NCH[[#This Row],[META7]]</f>
        <v>0</v>
      </c>
      <c r="AX70" s="231">
        <f>NCH[[#This Row],[TOTAL L-V]]+NCH[[#This Row],[TOTAL S-D]]</f>
        <v>2</v>
      </c>
      <c r="AY70" s="232" t="str">
        <f>VLOOKUP(NCH[[#This Row],[CEDULA]],METAS[],20,0)</f>
        <v>DIRECCION</v>
      </c>
      <c r="AZ70" s="232">
        <f>VLOOKUP(NCH[[#This Row],[CEDULA]],METAS[],22,0)</f>
        <v>0</v>
      </c>
    </row>
    <row r="71" spans="1:52" x14ac:dyDescent="0.25">
      <c r="A71" s="370"/>
      <c r="B71" s="371" t="s">
        <v>699</v>
      </c>
      <c r="C71" s="372">
        <f>SUBTOTAL(103,NCH[NOMBRE Y APELLIDO])</f>
        <v>64</v>
      </c>
      <c r="D71" s="371" t="s">
        <v>700</v>
      </c>
      <c r="E71" s="371"/>
      <c r="F71" s="372">
        <f>SUBTOTAL(109,NCH[G])</f>
        <v>19</v>
      </c>
      <c r="G71" s="373">
        <f>SUBTOTAL(109,NCH[META])</f>
        <v>17</v>
      </c>
      <c r="H71" s="374"/>
      <c r="I71" s="371"/>
      <c r="J71" s="374"/>
      <c r="K71" s="374"/>
      <c r="L71" s="372">
        <f>SUBTOTAL(109,NCH[G2])</f>
        <v>22</v>
      </c>
      <c r="M71" s="373">
        <f>SUBTOTAL(109,NCH[META2])</f>
        <v>20</v>
      </c>
      <c r="N71" s="374"/>
      <c r="O71" s="374"/>
      <c r="P71" s="371"/>
      <c r="Q71" s="374"/>
      <c r="R71" s="372">
        <f>SUBTOTAL(109,NCH[G3])</f>
        <v>16</v>
      </c>
      <c r="S71" s="375">
        <f>SUBTOTAL(109,NCH[META3])</f>
        <v>16</v>
      </c>
      <c r="T71" s="374"/>
      <c r="U71" s="374"/>
      <c r="V71" s="371"/>
      <c r="W71" s="371"/>
      <c r="X71" s="372">
        <f>SUBTOTAL(109,NCH[G4])</f>
        <v>8</v>
      </c>
      <c r="Y71" s="372">
        <f>SUBTOTAL(109,NCH[META4])</f>
        <v>7</v>
      </c>
      <c r="Z71" s="374"/>
      <c r="AA71" s="374"/>
      <c r="AB71" s="374"/>
      <c r="AC71" s="371"/>
      <c r="AD71" s="372">
        <f>SUBTOTAL(109,NCH[G5])</f>
        <v>18</v>
      </c>
      <c r="AE71" s="372">
        <f>SUBTOTAL(109,NCH[META5])</f>
        <v>15</v>
      </c>
      <c r="AF71" s="374"/>
      <c r="AG71" s="374"/>
      <c r="AH71" s="371"/>
      <c r="AI71" s="371"/>
      <c r="AJ71" s="376">
        <f>SUBTOTAL(109,NCH[G6])</f>
        <v>22</v>
      </c>
      <c r="AK71" s="376">
        <f>SUBTOTAL(109,NCH[META6])</f>
        <v>22</v>
      </c>
      <c r="AL71" s="374"/>
      <c r="AM71" s="377"/>
      <c r="AN71" s="376"/>
      <c r="AO71" s="376"/>
      <c r="AP71" s="376">
        <f>SUBTOTAL(109,NCH[G7])</f>
        <v>14</v>
      </c>
      <c r="AQ71" s="376">
        <f>SUBTOTAL(109,NCH[META7])</f>
        <v>11</v>
      </c>
      <c r="AR71" s="377"/>
      <c r="AS71" s="377"/>
      <c r="AT71" s="377"/>
      <c r="AU71" s="377"/>
      <c r="AV71" s="376">
        <f>SUBTOTAL(109,NCH[TOTAL L-V])</f>
        <v>53</v>
      </c>
      <c r="AW71" s="376">
        <f>SUBTOTAL(109,NCH[TOTAL S-D])</f>
        <v>55</v>
      </c>
      <c r="AX71" s="376">
        <f>SUBTOTAL(109,NCH[TOTAL GUARDIAS A PAGAR])</f>
        <v>108</v>
      </c>
      <c r="AY71" s="377"/>
      <c r="AZ71" s="376"/>
    </row>
    <row r="72" spans="1:52" x14ac:dyDescent="0.25">
      <c r="M72" s="98"/>
      <c r="N72" s="156"/>
      <c r="T72" s="156"/>
      <c r="Z72" s="156"/>
      <c r="AF72" s="156"/>
      <c r="AL72" s="156"/>
      <c r="AR72" s="156"/>
    </row>
    <row r="73" spans="1:52" ht="30" x14ac:dyDescent="0.25">
      <c r="B73" s="152" t="s">
        <v>825</v>
      </c>
      <c r="C73" s="135" t="s">
        <v>826</v>
      </c>
      <c r="M73" s="98"/>
    </row>
    <row r="74" spans="1:52" x14ac:dyDescent="0.25">
      <c r="B74" s="217" t="s">
        <v>899</v>
      </c>
      <c r="C74" s="25" t="s">
        <v>908</v>
      </c>
    </row>
    <row r="75" spans="1:52" x14ac:dyDescent="0.25">
      <c r="B75" s="153">
        <v>1</v>
      </c>
      <c r="C75" s="25" t="s">
        <v>827</v>
      </c>
    </row>
    <row r="76" spans="1:52" x14ac:dyDescent="0.25">
      <c r="B76" s="209">
        <v>2</v>
      </c>
      <c r="C76" s="25" t="s">
        <v>813</v>
      </c>
      <c r="AO76" s="100" t="s">
        <v>816</v>
      </c>
    </row>
    <row r="77" spans="1:52" x14ac:dyDescent="0.25">
      <c r="B77" s="131">
        <v>3</v>
      </c>
      <c r="C77" s="135" t="s">
        <v>812</v>
      </c>
    </row>
    <row r="78" spans="1:52" x14ac:dyDescent="0.25">
      <c r="B78" s="131">
        <v>4</v>
      </c>
      <c r="C78" s="25" t="s">
        <v>815</v>
      </c>
    </row>
    <row r="79" spans="1:52" x14ac:dyDescent="0.25">
      <c r="B79" s="131">
        <v>5</v>
      </c>
      <c r="C79" s="25" t="s">
        <v>809</v>
      </c>
    </row>
    <row r="80" spans="1:52" x14ac:dyDescent="0.25">
      <c r="B80" s="131">
        <v>6</v>
      </c>
      <c r="C80" s="155" t="s">
        <v>817</v>
      </c>
    </row>
  </sheetData>
  <mergeCells count="7">
    <mergeCell ref="F5:K5"/>
    <mergeCell ref="AP5:AU5"/>
    <mergeCell ref="L5:Q5"/>
    <mergeCell ref="R5:W5"/>
    <mergeCell ref="X5:AC5"/>
    <mergeCell ref="AD5:AI5"/>
    <mergeCell ref="AJ5:AO5"/>
  </mergeCells>
  <conditionalFormatting sqref="N72 AR72 T7:T70 Z7:Z70 H7:H70 N7:N70 AF7:AF70 AL7:AL70 AR7:AR70">
    <cfRule type="cellIs" dxfId="445" priority="24888" operator="greaterThan">
      <formula>$AJ$1</formula>
    </cfRule>
  </conditionalFormatting>
  <conditionalFormatting sqref="N72 AR72 T7:T70 Z7:Z70 H7:H70 N7:N70 AF7:AF70 AL7:AL70 AR7:AR70">
    <cfRule type="cellIs" dxfId="444" priority="24887" operator="equal">
      <formula>"No Registró"</formula>
    </cfRule>
  </conditionalFormatting>
  <conditionalFormatting sqref="T72">
    <cfRule type="cellIs" dxfId="443" priority="24319" operator="greaterThan">
      <formula>$AJ$1</formula>
    </cfRule>
  </conditionalFormatting>
  <conditionalFormatting sqref="T72">
    <cfRule type="cellIs" dxfId="442" priority="24318" operator="equal">
      <formula>"No Registró"</formula>
    </cfRule>
  </conditionalFormatting>
  <conditionalFormatting sqref="Z72">
    <cfRule type="cellIs" dxfId="441" priority="24317" operator="greaterThan">
      <formula>$AJ$1</formula>
    </cfRule>
  </conditionalFormatting>
  <conditionalFormatting sqref="Z72">
    <cfRule type="cellIs" dxfId="440" priority="24316" operator="equal">
      <formula>"No Registró"</formula>
    </cfRule>
  </conditionalFormatting>
  <conditionalFormatting sqref="AF72">
    <cfRule type="cellIs" dxfId="439" priority="24315" operator="greaterThan">
      <formula>$AJ$1</formula>
    </cfRule>
  </conditionalFormatting>
  <conditionalFormatting sqref="AF72">
    <cfRule type="cellIs" dxfId="438" priority="24314" operator="equal">
      <formula>"No Registró"</formula>
    </cfRule>
  </conditionalFormatting>
  <conditionalFormatting sqref="AL72">
    <cfRule type="cellIs" dxfId="437" priority="24313" operator="greaterThan">
      <formula>$AJ$1</formula>
    </cfRule>
  </conditionalFormatting>
  <conditionalFormatting sqref="AL72">
    <cfRule type="cellIs" dxfId="436" priority="24312" operator="equal">
      <formula>"No Registró"</formula>
    </cfRule>
  </conditionalFormatting>
  <conditionalFormatting sqref="B80">
    <cfRule type="containsText" dxfId="435" priority="22866" operator="containsText" text="4">
      <formula>NOT(ISERROR(SEARCH("4",B80)))</formula>
    </cfRule>
    <cfRule type="containsText" dxfId="434" priority="22867" operator="containsText" text="3">
      <formula>NOT(ISERROR(SEARCH("3",B80)))</formula>
    </cfRule>
    <cfRule type="containsText" dxfId="433" priority="22868" operator="containsText" text="5">
      <formula>NOT(ISERROR(SEARCH("5",B80)))</formula>
    </cfRule>
    <cfRule type="containsText" dxfId="432" priority="22869" operator="containsText" text="2">
      <formula>NOT(ISERROR(SEARCH("2",B80)))</formula>
    </cfRule>
    <cfRule type="containsText" dxfId="431" priority="22870" operator="containsText" text="1">
      <formula>NOT(ISERROR(SEARCH("1",B80)))</formula>
    </cfRule>
  </conditionalFormatting>
  <conditionalFormatting sqref="E6:E70">
    <cfRule type="containsText" dxfId="430" priority="22908" operator="containsText" text="6">
      <formula>NOT(ISERROR(SEARCH("6",E6)))</formula>
    </cfRule>
  </conditionalFormatting>
  <conditionalFormatting sqref="E7:E70">
    <cfRule type="containsText" dxfId="429" priority="22903" operator="containsText" text="4">
      <formula>NOT(ISERROR(SEARCH("4",E7)))</formula>
    </cfRule>
    <cfRule type="containsText" dxfId="428" priority="22904" operator="containsText" text="3">
      <formula>NOT(ISERROR(SEARCH("3",E7)))</formula>
    </cfRule>
    <cfRule type="containsText" dxfId="427" priority="22905" operator="containsText" text="5">
      <formula>NOT(ISERROR(SEARCH("5",E7)))</formula>
    </cfRule>
    <cfRule type="containsText" dxfId="426" priority="22906" operator="containsText" text="2">
      <formula>NOT(ISERROR(SEARCH("2",E7)))</formula>
    </cfRule>
    <cfRule type="containsText" dxfId="425" priority="22907" operator="containsText" text="1">
      <formula>NOT(ISERROR(SEARCH("1",E7)))</formula>
    </cfRule>
  </conditionalFormatting>
  <conditionalFormatting sqref="B73">
    <cfRule type="duplicateValues" dxfId="424" priority="22901"/>
  </conditionalFormatting>
  <conditionalFormatting sqref="B75">
    <cfRule type="containsText" dxfId="423" priority="22896" operator="containsText" text="4">
      <formula>NOT(ISERROR(SEARCH("4",B75)))</formula>
    </cfRule>
    <cfRule type="containsText" dxfId="422" priority="22897" operator="containsText" text="3">
      <formula>NOT(ISERROR(SEARCH("3",B75)))</formula>
    </cfRule>
    <cfRule type="containsText" dxfId="421" priority="22898" operator="containsText" text="5">
      <formula>NOT(ISERROR(SEARCH("5",B75)))</formula>
    </cfRule>
    <cfRule type="containsText" dxfId="420" priority="22899" operator="containsText" text="2">
      <formula>NOT(ISERROR(SEARCH("2",B75)))</formula>
    </cfRule>
    <cfRule type="containsText" dxfId="419" priority="22900" operator="containsText" text="1">
      <formula>NOT(ISERROR(SEARCH("1",B75)))</formula>
    </cfRule>
  </conditionalFormatting>
  <conditionalFormatting sqref="B75">
    <cfRule type="containsText" dxfId="418" priority="22895" operator="containsText" text="6">
      <formula>NOT(ISERROR(SEARCH("6",B75)))</formula>
    </cfRule>
  </conditionalFormatting>
  <conditionalFormatting sqref="B77">
    <cfRule type="containsText" dxfId="417" priority="22884" operator="containsText" text="4">
      <formula>NOT(ISERROR(SEARCH("4",B77)))</formula>
    </cfRule>
    <cfRule type="containsText" dxfId="416" priority="22885" operator="containsText" text="3">
      <formula>NOT(ISERROR(SEARCH("3",B77)))</formula>
    </cfRule>
    <cfRule type="containsText" dxfId="415" priority="22886" operator="containsText" text="5">
      <formula>NOT(ISERROR(SEARCH("5",B77)))</formula>
    </cfRule>
    <cfRule type="containsText" dxfId="414" priority="22887" operator="containsText" text="2">
      <formula>NOT(ISERROR(SEARCH("2",B77)))</formula>
    </cfRule>
    <cfRule type="containsText" dxfId="413" priority="22888" operator="containsText" text="1">
      <formula>NOT(ISERROR(SEARCH("1",B77)))</formula>
    </cfRule>
  </conditionalFormatting>
  <conditionalFormatting sqref="B77">
    <cfRule type="containsText" dxfId="412" priority="22883" operator="containsText" text="6">
      <formula>NOT(ISERROR(SEARCH("6",B77)))</formula>
    </cfRule>
  </conditionalFormatting>
  <conditionalFormatting sqref="B78">
    <cfRule type="containsText" dxfId="411" priority="22878" operator="containsText" text="4">
      <formula>NOT(ISERROR(SEARCH("4",B78)))</formula>
    </cfRule>
    <cfRule type="containsText" dxfId="410" priority="22879" operator="containsText" text="3">
      <formula>NOT(ISERROR(SEARCH("3",B78)))</formula>
    </cfRule>
    <cfRule type="containsText" dxfId="409" priority="22880" operator="containsText" text="5">
      <formula>NOT(ISERROR(SEARCH("5",B78)))</formula>
    </cfRule>
    <cfRule type="containsText" dxfId="408" priority="22881" operator="containsText" text="2">
      <formula>NOT(ISERROR(SEARCH("2",B78)))</formula>
    </cfRule>
    <cfRule type="containsText" dxfId="407" priority="22882" operator="containsText" text="1">
      <formula>NOT(ISERROR(SEARCH("1",B78)))</formula>
    </cfRule>
  </conditionalFormatting>
  <conditionalFormatting sqref="B78">
    <cfRule type="containsText" dxfId="406" priority="22877" operator="containsText" text="6">
      <formula>NOT(ISERROR(SEARCH("6",B78)))</formula>
    </cfRule>
  </conditionalFormatting>
  <conditionalFormatting sqref="B79">
    <cfRule type="containsText" dxfId="405" priority="22872" operator="containsText" text="4">
      <formula>NOT(ISERROR(SEARCH("4",B79)))</formula>
    </cfRule>
    <cfRule type="containsText" dxfId="404" priority="22873" operator="containsText" text="3">
      <formula>NOT(ISERROR(SEARCH("3",B79)))</formula>
    </cfRule>
    <cfRule type="containsText" dxfId="403" priority="22874" operator="containsText" text="5">
      <formula>NOT(ISERROR(SEARCH("5",B79)))</formula>
    </cfRule>
    <cfRule type="containsText" dxfId="402" priority="22875" operator="containsText" text="2">
      <formula>NOT(ISERROR(SEARCH("2",B79)))</formula>
    </cfRule>
    <cfRule type="containsText" dxfId="401" priority="22876" operator="containsText" text="1">
      <formula>NOT(ISERROR(SEARCH("1",B79)))</formula>
    </cfRule>
  </conditionalFormatting>
  <conditionalFormatting sqref="B79">
    <cfRule type="containsText" dxfId="400" priority="22871" operator="containsText" text="6">
      <formula>NOT(ISERROR(SEARCH("6",B79)))</formula>
    </cfRule>
  </conditionalFormatting>
  <conditionalFormatting sqref="B80">
    <cfRule type="containsText" dxfId="399" priority="22865" operator="containsText" text="6">
      <formula>NOT(ISERROR(SEARCH("6",B80)))</formula>
    </cfRule>
  </conditionalFormatting>
  <conditionalFormatting sqref="I7:I70 O7:O70 U7:U70 AM7:AM70 AS7:AS70 AA7:AA70 AG7:AG70">
    <cfRule type="cellIs" dxfId="398" priority="203575" operator="lessThan">
      <formula>$AK$1</formula>
    </cfRule>
  </conditionalFormatting>
  <conditionalFormatting sqref="B74">
    <cfRule type="containsText" dxfId="397" priority="21459" operator="containsText" text="4">
      <formula>NOT(ISERROR(SEARCH("4",B74)))</formula>
    </cfRule>
    <cfRule type="containsText" dxfId="396" priority="21460" operator="containsText" text="3">
      <formula>NOT(ISERROR(SEARCH("3",B74)))</formula>
    </cfRule>
    <cfRule type="containsText" dxfId="395" priority="21461" operator="containsText" text="5">
      <formula>NOT(ISERROR(SEARCH("5",B74)))</formula>
    </cfRule>
    <cfRule type="containsText" dxfId="394" priority="21462" operator="containsText" text="2">
      <formula>NOT(ISERROR(SEARCH("2",B74)))</formula>
    </cfRule>
    <cfRule type="containsText" dxfId="393" priority="21463" operator="containsText" text="1">
      <formula>NOT(ISERROR(SEARCH("1",B74)))</formula>
    </cfRule>
  </conditionalFormatting>
  <conditionalFormatting sqref="B74">
    <cfRule type="containsText" dxfId="392" priority="21458" operator="containsText" text="6">
      <formula>NOT(ISERROR(SEARCH("6",B74)))</formula>
    </cfRule>
  </conditionalFormatting>
  <conditionalFormatting sqref="C1:C7 C9:C1048576">
    <cfRule type="duplicateValues" dxfId="391" priority="460393"/>
  </conditionalFormatting>
  <conditionalFormatting sqref="C7:C70">
    <cfRule type="iconSet" priority="482360">
      <iconSet iconSet="4RedToBlack">
        <cfvo type="percent" val="0"/>
        <cfvo type="percent" val="25"/>
        <cfvo type="percent" val="50"/>
        <cfvo type="percent" val="75"/>
      </iconSet>
    </cfRule>
  </conditionalFormatting>
  <conditionalFormatting sqref="B71:B1048576 B1:B6">
    <cfRule type="duplicateValues" dxfId="390" priority="482363"/>
  </conditionalFormatting>
  <conditionalFormatting sqref="B81:B1048576 B1:B6 B71:B72">
    <cfRule type="duplicateValues" dxfId="389" priority="482366"/>
  </conditionalFormatting>
  <conditionalFormatting sqref="B71:B1048576">
    <cfRule type="duplicateValues" dxfId="388" priority="482370"/>
  </conditionalFormatting>
  <conditionalFormatting sqref="B20">
    <cfRule type="duplicateValues" dxfId="387" priority="48"/>
  </conditionalFormatting>
  <conditionalFormatting sqref="B20">
    <cfRule type="duplicateValues" dxfId="386" priority="49"/>
    <cfRule type="duplicateValues" dxfId="385" priority="50"/>
  </conditionalFormatting>
  <conditionalFormatting sqref="B34:B36">
    <cfRule type="duplicateValues" dxfId="384" priority="45"/>
  </conditionalFormatting>
  <conditionalFormatting sqref="B34:B36">
    <cfRule type="duplicateValues" dxfId="383" priority="46"/>
    <cfRule type="duplicateValues" dxfId="382" priority="47"/>
  </conditionalFormatting>
  <conditionalFormatting sqref="B53">
    <cfRule type="duplicateValues" dxfId="381" priority="5"/>
    <cfRule type="duplicateValues" dxfId="380" priority="6"/>
    <cfRule type="duplicateValues" dxfId="379" priority="7"/>
    <cfRule type="duplicateValues" dxfId="378" priority="8"/>
  </conditionalFormatting>
  <conditionalFormatting sqref="B54">
    <cfRule type="duplicateValues" dxfId="377" priority="9"/>
    <cfRule type="duplicateValues" dxfId="376" priority="10"/>
    <cfRule type="duplicateValues" dxfId="375" priority="11"/>
    <cfRule type="duplicateValues" dxfId="374" priority="12"/>
  </conditionalFormatting>
  <conditionalFormatting sqref="B55">
    <cfRule type="duplicateValues" dxfId="373" priority="13"/>
    <cfRule type="duplicateValues" dxfId="372" priority="14"/>
    <cfRule type="duplicateValues" dxfId="371" priority="15"/>
    <cfRule type="duplicateValues" dxfId="370" priority="16"/>
  </conditionalFormatting>
  <conditionalFormatting sqref="B56">
    <cfRule type="duplicateValues" dxfId="369" priority="17"/>
    <cfRule type="duplicateValues" dxfId="368" priority="18"/>
    <cfRule type="duplicateValues" dxfId="367" priority="19"/>
    <cfRule type="duplicateValues" dxfId="366" priority="20"/>
  </conditionalFormatting>
  <conditionalFormatting sqref="B57">
    <cfRule type="duplicateValues" dxfId="365" priority="21"/>
    <cfRule type="duplicateValues" dxfId="364" priority="22"/>
    <cfRule type="duplicateValues" dxfId="363" priority="23"/>
    <cfRule type="duplicateValues" dxfId="362" priority="24"/>
  </conditionalFormatting>
  <conditionalFormatting sqref="B58">
    <cfRule type="duplicateValues" dxfId="361" priority="25"/>
    <cfRule type="duplicateValues" dxfId="360" priority="26"/>
    <cfRule type="duplicateValues" dxfId="359" priority="27"/>
    <cfRule type="duplicateValues" dxfId="358" priority="28"/>
  </conditionalFormatting>
  <conditionalFormatting sqref="B59">
    <cfRule type="duplicateValues" dxfId="357" priority="29"/>
    <cfRule type="duplicateValues" dxfId="356" priority="30"/>
    <cfRule type="duplicateValues" dxfId="355" priority="31"/>
    <cfRule type="duplicateValues" dxfId="354" priority="32"/>
  </conditionalFormatting>
  <conditionalFormatting sqref="B60">
    <cfRule type="duplicateValues" dxfId="353" priority="33"/>
    <cfRule type="duplicateValues" dxfId="352" priority="34"/>
    <cfRule type="duplicateValues" dxfId="351" priority="35"/>
    <cfRule type="duplicateValues" dxfId="350" priority="36"/>
  </conditionalFormatting>
  <conditionalFormatting sqref="B61">
    <cfRule type="duplicateValues" dxfId="349" priority="37"/>
    <cfRule type="duplicateValues" dxfId="348" priority="38"/>
    <cfRule type="duplicateValues" dxfId="347" priority="39"/>
    <cfRule type="duplicateValues" dxfId="346" priority="40"/>
  </conditionalFormatting>
  <conditionalFormatting sqref="B62">
    <cfRule type="duplicateValues" dxfId="345" priority="41"/>
    <cfRule type="duplicateValues" dxfId="344" priority="42"/>
    <cfRule type="duplicateValues" dxfId="343" priority="43"/>
    <cfRule type="duplicateValues" dxfId="342" priority="44"/>
  </conditionalFormatting>
  <conditionalFormatting sqref="B69:B70">
    <cfRule type="duplicateValues" dxfId="341" priority="1"/>
  </conditionalFormatting>
  <conditionalFormatting sqref="B69:B70">
    <cfRule type="duplicateValues" dxfId="340" priority="2"/>
  </conditionalFormatting>
  <conditionalFormatting sqref="B69:B70">
    <cfRule type="duplicateValues" dxfId="339" priority="3"/>
    <cfRule type="duplicateValues" dxfId="338" priority="4"/>
  </conditionalFormatting>
  <dataValidations count="1">
    <dataValidation type="whole" allowBlank="1" showInputMessage="1" showErrorMessage="1" sqref="B7:B70">
      <formula1>0</formula1>
      <formula2>1000000000</formula2>
    </dataValidation>
  </dataValidations>
  <pageMargins left="0.70866141732283472" right="0.70866141732283472" top="0.74803149606299213" bottom="0.74803149606299213" header="0.31496062992125984" footer="0.31496062992125984"/>
  <pageSetup paperSize="3" scale="25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R248"/>
  <sheetViews>
    <sheetView showGridLines="0" workbookViewId="0">
      <selection activeCell="P6" sqref="P6"/>
    </sheetView>
  </sheetViews>
  <sheetFormatPr baseColWidth="10" defaultColWidth="11.42578125" defaultRowHeight="15.75" x14ac:dyDescent="0.25"/>
  <cols>
    <col min="1" max="1" width="12.5703125" style="182" bestFit="1" customWidth="1"/>
    <col min="2" max="2" width="29" style="48" customWidth="1"/>
    <col min="3" max="3" width="18.140625" style="48" bestFit="1" customWidth="1"/>
    <col min="4" max="4" width="34.7109375" style="45" customWidth="1"/>
    <col min="5" max="12" width="13.7109375" style="41" customWidth="1"/>
    <col min="13" max="13" width="27.42578125" style="41" customWidth="1"/>
    <col min="14" max="14" width="25.42578125" style="41" customWidth="1"/>
    <col min="15" max="16" width="17.85546875" style="41" customWidth="1"/>
    <col min="17" max="17" width="21.42578125" style="41" bestFit="1" customWidth="1"/>
    <col min="18" max="18" width="17.42578125" style="49" hidden="1" customWidth="1"/>
    <col min="19" max="16384" width="11.42578125" style="57"/>
  </cols>
  <sheetData>
    <row r="2" spans="1:18" ht="8.25" customHeight="1" x14ac:dyDescent="0.25">
      <c r="A2" s="171"/>
      <c r="B2" s="172"/>
      <c r="C2" s="172"/>
      <c r="D2" s="172"/>
      <c r="E2" s="173"/>
      <c r="F2" s="173"/>
      <c r="G2" s="173"/>
      <c r="H2" s="173"/>
      <c r="I2" s="173"/>
      <c r="J2" s="173"/>
      <c r="K2" s="173"/>
      <c r="L2" s="173"/>
      <c r="M2" s="173"/>
      <c r="N2" s="173"/>
    </row>
    <row r="3" spans="1:18" ht="20.100000000000001" customHeight="1" x14ac:dyDescent="0.25">
      <c r="A3" s="171"/>
      <c r="B3" s="172"/>
      <c r="C3" s="172"/>
      <c r="D3" s="172"/>
      <c r="E3" s="173"/>
      <c r="F3" s="173"/>
      <c r="G3" s="173"/>
      <c r="H3" s="173"/>
      <c r="I3" s="173"/>
      <c r="J3" s="57"/>
      <c r="K3" s="57"/>
      <c r="L3" s="57"/>
      <c r="M3" s="57"/>
      <c r="N3" s="57"/>
      <c r="O3" s="57"/>
      <c r="P3" s="57"/>
      <c r="Q3" s="57"/>
    </row>
    <row r="4" spans="1:18" ht="27" customHeight="1" x14ac:dyDescent="0.25">
      <c r="A4" s="174"/>
      <c r="B4" s="44"/>
      <c r="C4" s="44"/>
      <c r="J4" s="57"/>
      <c r="K4" s="57"/>
      <c r="L4" s="57"/>
      <c r="M4" s="57"/>
      <c r="N4" s="57"/>
      <c r="O4" s="57"/>
      <c r="P4" s="57"/>
      <c r="Q4" s="57"/>
    </row>
    <row r="5" spans="1:18" s="49" customFormat="1" ht="15.75" customHeight="1" x14ac:dyDescent="0.25">
      <c r="A5" s="174"/>
      <c r="B5" s="45"/>
      <c r="C5" s="45"/>
      <c r="H5" s="129"/>
      <c r="I5" s="129"/>
      <c r="J5" s="129"/>
      <c r="K5" s="129"/>
      <c r="M5" s="175" t="s">
        <v>701</v>
      </c>
      <c r="N5" s="61" t="s">
        <v>459</v>
      </c>
      <c r="O5" s="70" t="s">
        <v>460</v>
      </c>
      <c r="P5" s="70" t="s">
        <v>795</v>
      </c>
    </row>
    <row r="6" spans="1:18" s="49" customFormat="1" x14ac:dyDescent="0.25">
      <c r="A6" s="174"/>
      <c r="B6" s="45"/>
      <c r="C6" s="176"/>
      <c r="H6" s="129"/>
      <c r="I6" s="130"/>
      <c r="J6" s="129"/>
      <c r="K6" s="130"/>
      <c r="M6" s="93" t="s">
        <v>503</v>
      </c>
      <c r="N6" s="71">
        <f>IF(M6="INHRR",COUNTIF(DEF[TOTAL METAS],"&gt;0"),COUNTIFS(DEF[UNIDAD DE ADSCRIPCION],M6,DEF[TOTAL METAS],"&gt;0"))</f>
        <v>0</v>
      </c>
      <c r="O6" s="72">
        <f>IF(M6="INHRR",SUM(DEF[TOTAL METAS]),SUMIF(DEF[UNIDAD DE ADSCRIPCION],M6,DEF[TOTAL METAS]))</f>
        <v>0</v>
      </c>
      <c r="P6" s="92">
        <f>IF(M6="INHRR",SUM(DEF[TOTAL A PAGAR]),SUMIF(DEF[UNIDAD DE ADSCRIPCION],M6,DEF[TOTAL A PAGAR]))</f>
        <v>0</v>
      </c>
    </row>
    <row r="7" spans="1:18" x14ac:dyDescent="0.25">
      <c r="A7" s="174"/>
      <c r="D7" s="55"/>
      <c r="K7" s="177"/>
      <c r="L7" s="177"/>
      <c r="M7" s="57"/>
    </row>
    <row r="8" spans="1:18" s="49" customFormat="1" x14ac:dyDescent="0.25">
      <c r="A8" s="60" t="s">
        <v>0</v>
      </c>
      <c r="B8" s="60" t="s">
        <v>1</v>
      </c>
      <c r="C8" s="60" t="s">
        <v>787</v>
      </c>
      <c r="D8" s="61" t="s">
        <v>701</v>
      </c>
      <c r="E8" s="178" t="s">
        <v>494</v>
      </c>
      <c r="F8" s="178" t="s">
        <v>495</v>
      </c>
      <c r="G8" s="178" t="s">
        <v>496</v>
      </c>
      <c r="H8" s="178" t="s">
        <v>497</v>
      </c>
      <c r="I8" s="178" t="s">
        <v>498</v>
      </c>
      <c r="J8" s="179" t="s">
        <v>499</v>
      </c>
      <c r="K8" s="179" t="s">
        <v>500</v>
      </c>
      <c r="L8" s="180" t="s">
        <v>842</v>
      </c>
      <c r="M8" s="64" t="s">
        <v>796</v>
      </c>
      <c r="N8" s="64" t="s">
        <v>798</v>
      </c>
      <c r="O8" s="64" t="s">
        <v>797</v>
      </c>
      <c r="P8" s="64" t="s">
        <v>841</v>
      </c>
      <c r="Q8" s="168" t="s">
        <v>783</v>
      </c>
      <c r="R8" s="181" t="s">
        <v>782</v>
      </c>
    </row>
    <row r="9" spans="1:18" hidden="1" x14ac:dyDescent="0.25">
      <c r="A9" s="183">
        <v>16084535</v>
      </c>
      <c r="B9" s="184" t="str">
        <f>IFERROR(IF(DEF[[#This Row],[OTRO PAGO]]=0,VLOOKUP(DEF[[#This Row],[CEDULA]],DATOS[],2,0),""),"")</f>
        <v>REYES JOHAN</v>
      </c>
      <c r="C9" s="184" t="str">
        <f>IFERROR(VLOOKUP(DEF[[#This Row],[CEDULA]],DATOS[],5,0),"")</f>
        <v>TECNICO</v>
      </c>
      <c r="D9" s="185" t="s">
        <v>819</v>
      </c>
      <c r="E9" s="186" t="str">
        <f>IFERROR(VLOOKUP(DEF[[#This Row],[CEDULA]],NCH!$B$7:$AU$229,10,0),"")</f>
        <v/>
      </c>
      <c r="F9" s="186" t="str">
        <f>IFERROR(VLOOKUP(DEF[[#This Row],[CEDULA]],NCH!$B$7:$AU$229,16,0),"")</f>
        <v/>
      </c>
      <c r="G9" s="186" t="str">
        <f>IFERROR(VLOOKUP(DEF[[#This Row],[CEDULA]],NCH!$B$7:$AU$229,22,0),"")</f>
        <v/>
      </c>
      <c r="H9" s="186" t="str">
        <f>IFERROR(VLOOKUP(DEF[[#This Row],[CEDULA]],NCH!$B$7:$AU$229,28,0),"")</f>
        <v/>
      </c>
      <c r="I9" s="186" t="str">
        <f>IFERROR(VLOOKUP(DEF[[#This Row],[CEDULA]],NCH!$B$7:$AU$229,34,0),"")</f>
        <v/>
      </c>
      <c r="J9" s="186" t="str">
        <f>IFERROR(VLOOKUP(DEF[[#This Row],[CEDULA]],NCH!$B$7:$AU$229,40,0),"")</f>
        <v/>
      </c>
      <c r="K9" s="186" t="str">
        <f>IFERROR(VLOOKUP(DEF[[#This Row],[CEDULA]],NCH!$B$7:$AU$229,46,0),"")</f>
        <v/>
      </c>
      <c r="L9" s="186" t="str">
        <f>IFERROR(VLOOKUP(DEF[CEDULA],METAS[],13,0),"")</f>
        <v/>
      </c>
      <c r="M9" s="187">
        <f>SUM(DEF[[#This Row],[L]:[V]])</f>
        <v>0</v>
      </c>
      <c r="N9" s="188">
        <f>SUM(DEF[[#This Row],[S]:[D]])</f>
        <v>0</v>
      </c>
      <c r="O9" s="188">
        <f>DEF[[#This Row],[TOTAL METAS L-V]]+DEF[[#This Row],[TOTAL METAS S-D-F]]</f>
        <v>0</v>
      </c>
      <c r="P9" s="188" t="e">
        <f>VLOOKUP(DEF[[#This Row],[CEDULA]],METAS[],17,0)</f>
        <v>#N/A</v>
      </c>
      <c r="Q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9" s="190">
        <f>VLOOKUP(DEF[[#This Row],[CEDULA]],DATOS[],9,0)</f>
        <v>0</v>
      </c>
    </row>
    <row r="10" spans="1:18" hidden="1" x14ac:dyDescent="0.25">
      <c r="A10" s="183">
        <v>4835012</v>
      </c>
      <c r="B10" s="184" t="str">
        <f>IFERROR(IF(DEF[[#This Row],[OTRO PAGO]]=0,VLOOKUP(DEF[[#This Row],[CEDULA]],DATOS[],2,0),""),"")</f>
        <v>BLANCO MIGUEL</v>
      </c>
      <c r="C10" s="184" t="str">
        <f>IFERROR(VLOOKUP(DEF[[#This Row],[CEDULA]],DATOS[],5,0),"")</f>
        <v>SUPERVISORIO</v>
      </c>
      <c r="D10" s="185" t="s">
        <v>819</v>
      </c>
      <c r="E10" s="186" t="str">
        <f>IFERROR(VLOOKUP(DEF[[#This Row],[CEDULA]],NCH!$B$7:$AU$229,10,0),"")</f>
        <v/>
      </c>
      <c r="F10" s="186" t="str">
        <f>IFERROR(VLOOKUP(DEF[[#This Row],[CEDULA]],NCH!$B$7:$AU$229,16,0),"")</f>
        <v/>
      </c>
      <c r="G10" s="186" t="str">
        <f>IFERROR(VLOOKUP(DEF[[#This Row],[CEDULA]],NCH!$B$7:$AU$229,22,0),"")</f>
        <v/>
      </c>
      <c r="H10" s="186" t="str">
        <f>IFERROR(VLOOKUP(DEF[[#This Row],[CEDULA]],NCH!$B$7:$AU$229,28,0),"")</f>
        <v/>
      </c>
      <c r="I10" s="186" t="str">
        <f>IFERROR(VLOOKUP(DEF[[#This Row],[CEDULA]],NCH!$B$7:$AU$229,34,0),"")</f>
        <v/>
      </c>
      <c r="J10" s="186" t="str">
        <f>IFERROR(VLOOKUP(DEF[[#This Row],[CEDULA]],NCH!$B$7:$AU$229,40,0),"")</f>
        <v/>
      </c>
      <c r="K10" s="186" t="str">
        <f>IFERROR(VLOOKUP(DEF[[#This Row],[CEDULA]],NCH!$B$7:$AU$229,46,0),"")</f>
        <v/>
      </c>
      <c r="L10" s="186" t="str">
        <f>IFERROR(VLOOKUP(DEF[CEDULA],METAS[],13,0),"")</f>
        <v/>
      </c>
      <c r="M10" s="187">
        <f>SUM(DEF[[#This Row],[L]:[V]])</f>
        <v>0</v>
      </c>
      <c r="N10" s="188">
        <f>SUM(DEF[[#This Row],[S]:[D]])</f>
        <v>0</v>
      </c>
      <c r="O10" s="188">
        <f>DEF[[#This Row],[TOTAL METAS L-V]]+DEF[[#This Row],[TOTAL METAS S-D-F]]</f>
        <v>0</v>
      </c>
      <c r="P10" s="188" t="e">
        <f>VLOOKUP(DEF[[#This Row],[CEDULA]],METAS[],17,0)</f>
        <v>#N/A</v>
      </c>
      <c r="Q1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0" s="190">
        <f>VLOOKUP(DEF[[#This Row],[CEDULA]],DATOS[],9,0)</f>
        <v>0</v>
      </c>
    </row>
    <row r="11" spans="1:18" hidden="1" x14ac:dyDescent="0.25">
      <c r="A11" s="183">
        <v>13048823</v>
      </c>
      <c r="B11" s="184" t="str">
        <f>IFERROR(IF(DEF[[#This Row],[OTRO PAGO]]=0,VLOOKUP(DEF[[#This Row],[CEDULA]],DATOS[],2,0),""),"")</f>
        <v>SERRANO JOSE</v>
      </c>
      <c r="C11" s="184" t="str">
        <f>IFERROR(VLOOKUP(DEF[[#This Row],[CEDULA]],DATOS[],5,0),"")</f>
        <v>TECNICO</v>
      </c>
      <c r="D11" s="185" t="s">
        <v>819</v>
      </c>
      <c r="E11" s="186" t="str">
        <f>IFERROR(VLOOKUP(DEF[[#This Row],[CEDULA]],NCH!$B$7:$AU$229,10,0),"")</f>
        <v/>
      </c>
      <c r="F11" s="186" t="str">
        <f>IFERROR(VLOOKUP(DEF[[#This Row],[CEDULA]],NCH!$B$7:$AU$229,16,0),"")</f>
        <v/>
      </c>
      <c r="G11" s="186" t="str">
        <f>IFERROR(VLOOKUP(DEF[[#This Row],[CEDULA]],NCH!$B$7:$AU$229,22,0),"")</f>
        <v/>
      </c>
      <c r="H11" s="186" t="str">
        <f>IFERROR(VLOOKUP(DEF[[#This Row],[CEDULA]],NCH!$B$7:$AU$229,28,0),"")</f>
        <v/>
      </c>
      <c r="I11" s="186" t="str">
        <f>IFERROR(VLOOKUP(DEF[[#This Row],[CEDULA]],NCH!$B$7:$AU$229,34,0),"")</f>
        <v/>
      </c>
      <c r="J11" s="186" t="str">
        <f>IFERROR(VLOOKUP(DEF[[#This Row],[CEDULA]],NCH!$B$7:$AU$229,40,0),"")</f>
        <v/>
      </c>
      <c r="K11" s="186" t="str">
        <f>IFERROR(VLOOKUP(DEF[[#This Row],[CEDULA]],NCH!$B$7:$AU$229,46,0),"")</f>
        <v/>
      </c>
      <c r="L11" s="186" t="str">
        <f>IFERROR(VLOOKUP(DEF[CEDULA],METAS[],13,0),"")</f>
        <v/>
      </c>
      <c r="M11" s="187">
        <f>SUM(DEF[[#This Row],[L]:[V]])</f>
        <v>0</v>
      </c>
      <c r="N11" s="188">
        <f>SUM(DEF[[#This Row],[S]:[D]])</f>
        <v>0</v>
      </c>
      <c r="O11" s="188">
        <f>DEF[[#This Row],[TOTAL METAS L-V]]+DEF[[#This Row],[TOTAL METAS S-D-F]]</f>
        <v>0</v>
      </c>
      <c r="P11" s="188" t="e">
        <f>VLOOKUP(DEF[[#This Row],[CEDULA]],METAS[],17,0)</f>
        <v>#N/A</v>
      </c>
      <c r="Q1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1" s="190">
        <f>VLOOKUP(DEF[[#This Row],[CEDULA]],DATOS[],9,0)</f>
        <v>0</v>
      </c>
    </row>
    <row r="12" spans="1:18" hidden="1" x14ac:dyDescent="0.25">
      <c r="A12" s="183">
        <v>20365316</v>
      </c>
      <c r="B12" s="184" t="str">
        <f>IFERROR(IF(DEF[[#This Row],[OTRO PAGO]]=0,VLOOKUP(DEF[[#This Row],[CEDULA]],DATOS[],2,0),""),"")</f>
        <v>RIOS NATALY</v>
      </c>
      <c r="C12" s="184" t="str">
        <f>IFERROR(VLOOKUP(DEF[[#This Row],[CEDULA]],DATOS[],5,0),"")</f>
        <v>ADMINISTRATIVO</v>
      </c>
      <c r="D12" s="185" t="s">
        <v>819</v>
      </c>
      <c r="E12" s="186" t="str">
        <f>IFERROR(VLOOKUP(DEF[[#This Row],[CEDULA]],NCH!$B$7:$AU$229,10,0),"")</f>
        <v/>
      </c>
      <c r="F12" s="186" t="str">
        <f>IFERROR(VLOOKUP(DEF[[#This Row],[CEDULA]],NCH!$B$7:$AU$229,16,0),"")</f>
        <v/>
      </c>
      <c r="G12" s="186" t="str">
        <f>IFERROR(VLOOKUP(DEF[[#This Row],[CEDULA]],NCH!$B$7:$AU$229,22,0),"")</f>
        <v/>
      </c>
      <c r="H12" s="186" t="str">
        <f>IFERROR(VLOOKUP(DEF[[#This Row],[CEDULA]],NCH!$B$7:$AU$229,28,0),"")</f>
        <v/>
      </c>
      <c r="I12" s="186" t="str">
        <f>IFERROR(VLOOKUP(DEF[[#This Row],[CEDULA]],NCH!$B$7:$AU$229,34,0),"")</f>
        <v/>
      </c>
      <c r="J12" s="186" t="str">
        <f>IFERROR(VLOOKUP(DEF[[#This Row],[CEDULA]],NCH!$B$7:$AU$229,40,0),"")</f>
        <v/>
      </c>
      <c r="K12" s="186" t="str">
        <f>IFERROR(VLOOKUP(DEF[[#This Row],[CEDULA]],NCH!$B$7:$AU$229,46,0),"")</f>
        <v/>
      </c>
      <c r="L12" s="186" t="str">
        <f>IFERROR(VLOOKUP(DEF[CEDULA],METAS[],13,0),"")</f>
        <v/>
      </c>
      <c r="M12" s="187">
        <f>SUM(DEF[[#This Row],[L]:[V]])</f>
        <v>0</v>
      </c>
      <c r="N12" s="188">
        <f>SUM(DEF[[#This Row],[S]:[D]])</f>
        <v>0</v>
      </c>
      <c r="O12" s="188">
        <f>DEF[[#This Row],[TOTAL METAS L-V]]+DEF[[#This Row],[TOTAL METAS S-D-F]]</f>
        <v>0</v>
      </c>
      <c r="P12" s="188" t="e">
        <f>VLOOKUP(DEF[[#This Row],[CEDULA]],METAS[],17,0)</f>
        <v>#N/A</v>
      </c>
      <c r="Q1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2" s="190">
        <f>VLOOKUP(DEF[[#This Row],[CEDULA]],DATOS[],9,0)</f>
        <v>0</v>
      </c>
    </row>
    <row r="13" spans="1:18" hidden="1" x14ac:dyDescent="0.25">
      <c r="A13" s="183">
        <v>25504461</v>
      </c>
      <c r="B13" s="184" t="str">
        <f>IFERROR(IF(DEF[[#This Row],[OTRO PAGO]]=0,VLOOKUP(DEF[[#This Row],[CEDULA]],DATOS[],2,0),""),"")</f>
        <v>ACOSTA ENDERSON</v>
      </c>
      <c r="C13" s="184" t="str">
        <f>IFERROR(VLOOKUP(DEF[[#This Row],[CEDULA]],DATOS[],5,0),"")</f>
        <v>OBRERO</v>
      </c>
      <c r="D13" s="185" t="s">
        <v>819</v>
      </c>
      <c r="E13" s="186" t="str">
        <f>IFERROR(VLOOKUP(DEF[[#This Row],[CEDULA]],NCH!$B$7:$AU$229,10,0),"")</f>
        <v/>
      </c>
      <c r="F13" s="186" t="str">
        <f>IFERROR(VLOOKUP(DEF[[#This Row],[CEDULA]],NCH!$B$7:$AU$229,16,0),"")</f>
        <v/>
      </c>
      <c r="G13" s="186" t="str">
        <f>IFERROR(VLOOKUP(DEF[[#This Row],[CEDULA]],NCH!$B$7:$AU$229,22,0),"")</f>
        <v/>
      </c>
      <c r="H13" s="186" t="str">
        <f>IFERROR(VLOOKUP(DEF[[#This Row],[CEDULA]],NCH!$B$7:$AU$229,28,0),"")</f>
        <v/>
      </c>
      <c r="I13" s="186" t="str">
        <f>IFERROR(VLOOKUP(DEF[[#This Row],[CEDULA]],NCH!$B$7:$AU$229,34,0),"")</f>
        <v/>
      </c>
      <c r="J13" s="186" t="str">
        <f>IFERROR(VLOOKUP(DEF[[#This Row],[CEDULA]],NCH!$B$7:$AU$229,40,0),"")</f>
        <v/>
      </c>
      <c r="K13" s="186" t="str">
        <f>IFERROR(VLOOKUP(DEF[[#This Row],[CEDULA]],NCH!$B$7:$AU$229,46,0),"")</f>
        <v/>
      </c>
      <c r="L13" s="186" t="str">
        <f>IFERROR(VLOOKUP(DEF[CEDULA],METAS[],13,0),"")</f>
        <v/>
      </c>
      <c r="M13" s="187">
        <f>SUM(DEF[[#This Row],[L]:[V]])</f>
        <v>0</v>
      </c>
      <c r="N13" s="188">
        <f>SUM(DEF[[#This Row],[S]:[D]])</f>
        <v>0</v>
      </c>
      <c r="O13" s="188">
        <f>DEF[[#This Row],[TOTAL METAS L-V]]+DEF[[#This Row],[TOTAL METAS S-D-F]]</f>
        <v>0</v>
      </c>
      <c r="P13" s="188" t="e">
        <f>VLOOKUP(DEF[[#This Row],[CEDULA]],METAS[],17,0)</f>
        <v>#N/A</v>
      </c>
      <c r="Q1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3" s="190">
        <f>VLOOKUP(DEF[[#This Row],[CEDULA]],DATOS[],9,0)</f>
        <v>0</v>
      </c>
    </row>
    <row r="14" spans="1:18" hidden="1" x14ac:dyDescent="0.25">
      <c r="A14" s="183">
        <v>26715533</v>
      </c>
      <c r="B14" s="184" t="str">
        <f>IFERROR(IF(DEF[[#This Row],[OTRO PAGO]]=0,VLOOKUP(DEF[[#This Row],[CEDULA]],DATOS[],2,0),""),"")</f>
        <v>MACHADO RAQUEL</v>
      </c>
      <c r="C14" s="184" t="str">
        <f>IFERROR(VLOOKUP(DEF[[#This Row],[CEDULA]],DATOS[],5,0),"")</f>
        <v>TECNICO</v>
      </c>
      <c r="D14" s="185" t="s">
        <v>819</v>
      </c>
      <c r="E14" s="186" t="str">
        <f>IFERROR(VLOOKUP(DEF[[#This Row],[CEDULA]],NCH!$B$7:$AU$229,10,0),"")</f>
        <v/>
      </c>
      <c r="F14" s="186" t="str">
        <f>IFERROR(VLOOKUP(DEF[[#This Row],[CEDULA]],NCH!$B$7:$AU$229,16,0),"")</f>
        <v/>
      </c>
      <c r="G14" s="186" t="str">
        <f>IFERROR(VLOOKUP(DEF[[#This Row],[CEDULA]],NCH!$B$7:$AU$229,22,0),"")</f>
        <v/>
      </c>
      <c r="H14" s="186" t="str">
        <f>IFERROR(VLOOKUP(DEF[[#This Row],[CEDULA]],NCH!$B$7:$AU$229,28,0),"")</f>
        <v/>
      </c>
      <c r="I14" s="186" t="str">
        <f>IFERROR(VLOOKUP(DEF[[#This Row],[CEDULA]],NCH!$B$7:$AU$229,34,0),"")</f>
        <v/>
      </c>
      <c r="J14" s="186" t="str">
        <f>IFERROR(VLOOKUP(DEF[[#This Row],[CEDULA]],NCH!$B$7:$AU$229,40,0),"")</f>
        <v/>
      </c>
      <c r="K14" s="186" t="str">
        <f>IFERROR(VLOOKUP(DEF[[#This Row],[CEDULA]],NCH!$B$7:$AU$229,46,0),"")</f>
        <v/>
      </c>
      <c r="L14" s="186" t="str">
        <f>IFERROR(VLOOKUP(DEF[CEDULA],METAS[],13,0),"")</f>
        <v/>
      </c>
      <c r="M14" s="187">
        <f>SUM(DEF[[#This Row],[L]:[V]])</f>
        <v>0</v>
      </c>
      <c r="N14" s="188">
        <f>SUM(DEF[[#This Row],[S]:[D]])</f>
        <v>0</v>
      </c>
      <c r="O14" s="188">
        <f>DEF[[#This Row],[TOTAL METAS L-V]]+DEF[[#This Row],[TOTAL METAS S-D-F]]</f>
        <v>0</v>
      </c>
      <c r="P14" s="188" t="e">
        <f>VLOOKUP(DEF[[#This Row],[CEDULA]],METAS[],17,0)</f>
        <v>#N/A</v>
      </c>
      <c r="Q1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4" s="190">
        <f>VLOOKUP(DEF[[#This Row],[CEDULA]],DATOS[],9,0)</f>
        <v>0</v>
      </c>
    </row>
    <row r="15" spans="1:18" hidden="1" x14ac:dyDescent="0.25">
      <c r="A15" s="183">
        <v>15420391</v>
      </c>
      <c r="B15" s="184" t="str">
        <f>IFERROR(IF(DEF[[#This Row],[OTRO PAGO]]=0,VLOOKUP(DEF[[#This Row],[CEDULA]],DATOS[],2,0),""),"")</f>
        <v>ALBARRAN CESAR</v>
      </c>
      <c r="C15" s="184" t="str">
        <f>IFERROR(VLOOKUP(DEF[[#This Row],[CEDULA]],DATOS[],5,0),"")</f>
        <v>OBRERO</v>
      </c>
      <c r="D15" s="185" t="s">
        <v>819</v>
      </c>
      <c r="E15" s="186" t="str">
        <f>IFERROR(VLOOKUP(DEF[[#This Row],[CEDULA]],NCH!$B$7:$AU$229,10,0),"")</f>
        <v/>
      </c>
      <c r="F15" s="186" t="str">
        <f>IFERROR(VLOOKUP(DEF[[#This Row],[CEDULA]],NCH!$B$7:$AU$229,16,0),"")</f>
        <v/>
      </c>
      <c r="G15" s="186" t="str">
        <f>IFERROR(VLOOKUP(DEF[[#This Row],[CEDULA]],NCH!$B$7:$AU$229,22,0),"")</f>
        <v/>
      </c>
      <c r="H15" s="186" t="str">
        <f>IFERROR(VLOOKUP(DEF[[#This Row],[CEDULA]],NCH!$B$7:$AU$229,28,0),"")</f>
        <v/>
      </c>
      <c r="I15" s="186" t="str">
        <f>IFERROR(VLOOKUP(DEF[[#This Row],[CEDULA]],NCH!$B$7:$AU$229,34,0),"")</f>
        <v/>
      </c>
      <c r="J15" s="186" t="str">
        <f>IFERROR(VLOOKUP(DEF[[#This Row],[CEDULA]],NCH!$B$7:$AU$229,40,0),"")</f>
        <v/>
      </c>
      <c r="K15" s="186" t="str">
        <f>IFERROR(VLOOKUP(DEF[[#This Row],[CEDULA]],NCH!$B$7:$AU$229,46,0),"")</f>
        <v/>
      </c>
      <c r="L15" s="186" t="str">
        <f>IFERROR(VLOOKUP(DEF[CEDULA],METAS[],13,0),"")</f>
        <v/>
      </c>
      <c r="M15" s="187">
        <f>SUM(DEF[[#This Row],[L]:[V]])</f>
        <v>0</v>
      </c>
      <c r="N15" s="188">
        <f>SUM(DEF[[#This Row],[S]:[D]])</f>
        <v>0</v>
      </c>
      <c r="O15" s="188">
        <f>DEF[[#This Row],[TOTAL METAS L-V]]+DEF[[#This Row],[TOTAL METAS S-D-F]]</f>
        <v>0</v>
      </c>
      <c r="P15" s="188" t="e">
        <f>VLOOKUP(DEF[[#This Row],[CEDULA]],METAS[],17,0)</f>
        <v>#N/A</v>
      </c>
      <c r="Q1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5" s="190">
        <f>VLOOKUP(DEF[[#This Row],[CEDULA]],DATOS[],9,0)</f>
        <v>0</v>
      </c>
    </row>
    <row r="16" spans="1:18" hidden="1" x14ac:dyDescent="0.25">
      <c r="A16" s="183">
        <v>6299669</v>
      </c>
      <c r="B16" s="184" t="str">
        <f>IFERROR(IF(DEF[[#This Row],[OTRO PAGO]]=0,VLOOKUP(DEF[[#This Row],[CEDULA]],DATOS[],2,0),""),"")</f>
        <v>TOVAR MARIELA</v>
      </c>
      <c r="C16" s="184" t="str">
        <f>IFERROR(VLOOKUP(DEF[[#This Row],[CEDULA]],DATOS[],5,0),"")</f>
        <v>TECNICO</v>
      </c>
      <c r="D16" s="185" t="s">
        <v>819</v>
      </c>
      <c r="E16" s="186" t="str">
        <f>IFERROR(VLOOKUP(DEF[[#This Row],[CEDULA]],NCH!$B$7:$AU$229,10,0),"")</f>
        <v/>
      </c>
      <c r="F16" s="186" t="str">
        <f>IFERROR(VLOOKUP(DEF[[#This Row],[CEDULA]],NCH!$B$7:$AU$229,16,0),"")</f>
        <v/>
      </c>
      <c r="G16" s="186" t="str">
        <f>IFERROR(VLOOKUP(DEF[[#This Row],[CEDULA]],NCH!$B$7:$AU$229,22,0),"")</f>
        <v/>
      </c>
      <c r="H16" s="186" t="str">
        <f>IFERROR(VLOOKUP(DEF[[#This Row],[CEDULA]],NCH!$B$7:$AU$229,28,0),"")</f>
        <v/>
      </c>
      <c r="I16" s="186" t="str">
        <f>IFERROR(VLOOKUP(DEF[[#This Row],[CEDULA]],NCH!$B$7:$AU$229,34,0),"")</f>
        <v/>
      </c>
      <c r="J16" s="186" t="str">
        <f>IFERROR(VLOOKUP(DEF[[#This Row],[CEDULA]],NCH!$B$7:$AU$229,40,0),"")</f>
        <v/>
      </c>
      <c r="K16" s="186" t="str">
        <f>IFERROR(VLOOKUP(DEF[[#This Row],[CEDULA]],NCH!$B$7:$AU$229,46,0),"")</f>
        <v/>
      </c>
      <c r="L16" s="186" t="str">
        <f>IFERROR(VLOOKUP(DEF[CEDULA],METAS[],13,0),"")</f>
        <v/>
      </c>
      <c r="M16" s="187">
        <f>SUM(DEF[[#This Row],[L]:[V]])</f>
        <v>0</v>
      </c>
      <c r="N16" s="188">
        <f>SUM(DEF[[#This Row],[S]:[D]])</f>
        <v>0</v>
      </c>
      <c r="O16" s="188">
        <f>DEF[[#This Row],[TOTAL METAS L-V]]+DEF[[#This Row],[TOTAL METAS S-D-F]]</f>
        <v>0</v>
      </c>
      <c r="P16" s="188" t="e">
        <f>VLOOKUP(DEF[[#This Row],[CEDULA]],METAS[],17,0)</f>
        <v>#N/A</v>
      </c>
      <c r="Q1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6" s="190">
        <f>VLOOKUP(DEF[[#This Row],[CEDULA]],DATOS[],9,0)</f>
        <v>0</v>
      </c>
    </row>
    <row r="17" spans="1:18" hidden="1" x14ac:dyDescent="0.25">
      <c r="A17" s="183">
        <v>11405845</v>
      </c>
      <c r="B17" s="184" t="str">
        <f>IFERROR(IF(DEF[[#This Row],[OTRO PAGO]]=0,VLOOKUP(DEF[[#This Row],[CEDULA]],DATOS[],2,0),""),"")</f>
        <v>DIAZ FELIPE</v>
      </c>
      <c r="C17" s="184" t="str">
        <f>IFERROR(VLOOKUP(DEF[[#This Row],[CEDULA]],DATOS[],5,0),"")</f>
        <v>SUPERVISORIO</v>
      </c>
      <c r="D17" s="185" t="s">
        <v>819</v>
      </c>
      <c r="E17" s="186" t="str">
        <f>IFERROR(VLOOKUP(DEF[[#This Row],[CEDULA]],NCH!$B$7:$AU$229,10,0),"")</f>
        <v/>
      </c>
      <c r="F17" s="186" t="str">
        <f>IFERROR(VLOOKUP(DEF[[#This Row],[CEDULA]],NCH!$B$7:$AU$229,16,0),"")</f>
        <v/>
      </c>
      <c r="G17" s="186" t="str">
        <f>IFERROR(VLOOKUP(DEF[[#This Row],[CEDULA]],NCH!$B$7:$AU$229,22,0),"")</f>
        <v/>
      </c>
      <c r="H17" s="186" t="str">
        <f>IFERROR(VLOOKUP(DEF[[#This Row],[CEDULA]],NCH!$B$7:$AU$229,28,0),"")</f>
        <v/>
      </c>
      <c r="I17" s="186" t="str">
        <f>IFERROR(VLOOKUP(DEF[[#This Row],[CEDULA]],NCH!$B$7:$AU$229,34,0),"")</f>
        <v/>
      </c>
      <c r="J17" s="186" t="str">
        <f>IFERROR(VLOOKUP(DEF[[#This Row],[CEDULA]],NCH!$B$7:$AU$229,40,0),"")</f>
        <v/>
      </c>
      <c r="K17" s="186" t="str">
        <f>IFERROR(VLOOKUP(DEF[[#This Row],[CEDULA]],NCH!$B$7:$AU$229,46,0),"")</f>
        <v/>
      </c>
      <c r="L17" s="186" t="str">
        <f>IFERROR(VLOOKUP(DEF[CEDULA],METAS[],13,0),"")</f>
        <v/>
      </c>
      <c r="M17" s="187">
        <f>SUM(DEF[[#This Row],[L]:[V]])</f>
        <v>0</v>
      </c>
      <c r="N17" s="188">
        <f>SUM(DEF[[#This Row],[S]:[D]])</f>
        <v>0</v>
      </c>
      <c r="O17" s="188">
        <f>DEF[[#This Row],[TOTAL METAS L-V]]+DEF[[#This Row],[TOTAL METAS S-D-F]]</f>
        <v>0</v>
      </c>
      <c r="P17" s="188" t="e">
        <f>VLOOKUP(DEF[[#This Row],[CEDULA]],METAS[],17,0)</f>
        <v>#N/A</v>
      </c>
      <c r="Q1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7" s="190">
        <f>VLOOKUP(DEF[[#This Row],[CEDULA]],DATOS[],9,0)</f>
        <v>0</v>
      </c>
    </row>
    <row r="18" spans="1:18" hidden="1" x14ac:dyDescent="0.25">
      <c r="A18" s="183">
        <v>6892033</v>
      </c>
      <c r="B18" s="184" t="str">
        <f>IFERROR(IF(DEF[[#This Row],[OTRO PAGO]]=0,VLOOKUP(DEF[[#This Row],[CEDULA]],DATOS[],2,0),""),"")</f>
        <v>ALVARADO RICHARD</v>
      </c>
      <c r="C18" s="184" t="str">
        <f>IFERROR(VLOOKUP(DEF[[#This Row],[CEDULA]],DATOS[],5,0),"")</f>
        <v>OBRERO</v>
      </c>
      <c r="D18" s="185" t="s">
        <v>819</v>
      </c>
      <c r="E18" s="186" t="str">
        <f>IFERROR(VLOOKUP(DEF[[#This Row],[CEDULA]],NCH!$B$7:$AU$229,10,0),"")</f>
        <v/>
      </c>
      <c r="F18" s="186" t="str">
        <f>IFERROR(VLOOKUP(DEF[[#This Row],[CEDULA]],NCH!$B$7:$AU$229,16,0),"")</f>
        <v/>
      </c>
      <c r="G18" s="186" t="str">
        <f>IFERROR(VLOOKUP(DEF[[#This Row],[CEDULA]],NCH!$B$7:$AU$229,22,0),"")</f>
        <v/>
      </c>
      <c r="H18" s="186" t="str">
        <f>IFERROR(VLOOKUP(DEF[[#This Row],[CEDULA]],NCH!$B$7:$AU$229,28,0),"")</f>
        <v/>
      </c>
      <c r="I18" s="186" t="str">
        <f>IFERROR(VLOOKUP(DEF[[#This Row],[CEDULA]],NCH!$B$7:$AU$229,34,0),"")</f>
        <v/>
      </c>
      <c r="J18" s="186" t="str">
        <f>IFERROR(VLOOKUP(DEF[[#This Row],[CEDULA]],NCH!$B$7:$AU$229,40,0),"")</f>
        <v/>
      </c>
      <c r="K18" s="186" t="str">
        <f>IFERROR(VLOOKUP(DEF[[#This Row],[CEDULA]],NCH!$B$7:$AU$229,46,0),"")</f>
        <v/>
      </c>
      <c r="L18" s="186" t="str">
        <f>IFERROR(VLOOKUP(DEF[CEDULA],METAS[],13,0),"")</f>
        <v/>
      </c>
      <c r="M18" s="187">
        <f>SUM(DEF[[#This Row],[L]:[V]])</f>
        <v>0</v>
      </c>
      <c r="N18" s="188">
        <f>SUM(DEF[[#This Row],[S]:[D]])</f>
        <v>0</v>
      </c>
      <c r="O18" s="188">
        <f>DEF[[#This Row],[TOTAL METAS L-V]]+DEF[[#This Row],[TOTAL METAS S-D-F]]</f>
        <v>0</v>
      </c>
      <c r="P18" s="188" t="e">
        <f>VLOOKUP(DEF[[#This Row],[CEDULA]],METAS[],17,0)</f>
        <v>#N/A</v>
      </c>
      <c r="Q1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8" s="190">
        <f>VLOOKUP(DEF[[#This Row],[CEDULA]],DATOS[],9,0)</f>
        <v>0</v>
      </c>
    </row>
    <row r="19" spans="1:18" hidden="1" x14ac:dyDescent="0.25">
      <c r="A19" s="183">
        <v>5220166</v>
      </c>
      <c r="B19" s="184" t="str">
        <f>IFERROR(IF(DEF[[#This Row],[OTRO PAGO]]=0,VLOOKUP(DEF[[#This Row],[CEDULA]],DATOS[],2,0),""),"")</f>
        <v>CARTAYA ISABEL</v>
      </c>
      <c r="C19" s="184" t="str">
        <f>IFERROR(VLOOKUP(DEF[[#This Row],[CEDULA]],DATOS[],5,0),"")</f>
        <v>PROFESIONAL</v>
      </c>
      <c r="D19" s="185" t="s">
        <v>819</v>
      </c>
      <c r="E19" s="186" t="str">
        <f>IFERROR(VLOOKUP(DEF[[#This Row],[CEDULA]],NCH!$B$7:$AU$229,10,0),"")</f>
        <v/>
      </c>
      <c r="F19" s="186" t="str">
        <f>IFERROR(VLOOKUP(DEF[[#This Row],[CEDULA]],NCH!$B$7:$AU$229,16,0),"")</f>
        <v/>
      </c>
      <c r="G19" s="186" t="str">
        <f>IFERROR(VLOOKUP(DEF[[#This Row],[CEDULA]],NCH!$B$7:$AU$229,22,0),"")</f>
        <v/>
      </c>
      <c r="H19" s="186" t="str">
        <f>IFERROR(VLOOKUP(DEF[[#This Row],[CEDULA]],NCH!$B$7:$AU$229,28,0),"")</f>
        <v/>
      </c>
      <c r="I19" s="186" t="str">
        <f>IFERROR(VLOOKUP(DEF[[#This Row],[CEDULA]],NCH!$B$7:$AU$229,34,0),"")</f>
        <v/>
      </c>
      <c r="J19" s="186" t="str">
        <f>IFERROR(VLOOKUP(DEF[[#This Row],[CEDULA]],NCH!$B$7:$AU$229,40,0),"")</f>
        <v/>
      </c>
      <c r="K19" s="186" t="str">
        <f>IFERROR(VLOOKUP(DEF[[#This Row],[CEDULA]],NCH!$B$7:$AU$229,46,0),"")</f>
        <v/>
      </c>
      <c r="L19" s="186" t="str">
        <f>IFERROR(VLOOKUP(DEF[CEDULA],METAS[],13,0),"")</f>
        <v/>
      </c>
      <c r="M19" s="187">
        <f>SUM(DEF[[#This Row],[L]:[V]])</f>
        <v>0</v>
      </c>
      <c r="N19" s="188">
        <f>SUM(DEF[[#This Row],[S]:[D]])</f>
        <v>0</v>
      </c>
      <c r="O19" s="188">
        <f>DEF[[#This Row],[TOTAL METAS L-V]]+DEF[[#This Row],[TOTAL METAS S-D-F]]</f>
        <v>0</v>
      </c>
      <c r="P19" s="188" t="e">
        <f>VLOOKUP(DEF[[#This Row],[CEDULA]],METAS[],17,0)</f>
        <v>#N/A</v>
      </c>
      <c r="Q1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9" s="190">
        <f>VLOOKUP(DEF[[#This Row],[CEDULA]],DATOS[],9,0)</f>
        <v>0</v>
      </c>
    </row>
    <row r="20" spans="1:18" hidden="1" x14ac:dyDescent="0.25">
      <c r="A20" s="183">
        <v>20838191</v>
      </c>
      <c r="B20" s="184" t="str">
        <f>IFERROR(IF(DEF[[#This Row],[OTRO PAGO]]=0,VLOOKUP(DEF[[#This Row],[CEDULA]],DATOS[],2,0),""),"")</f>
        <v>APARICIO MICAELA</v>
      </c>
      <c r="C20" s="184" t="str">
        <f>IFERROR(VLOOKUP(DEF[[#This Row],[CEDULA]],DATOS[],5,0),"")</f>
        <v>TECNICO</v>
      </c>
      <c r="D20" s="185" t="s">
        <v>819</v>
      </c>
      <c r="E20" s="186" t="str">
        <f>IFERROR(VLOOKUP(DEF[[#This Row],[CEDULA]],NCH!$B$7:$AU$229,10,0),"")</f>
        <v/>
      </c>
      <c r="F20" s="186" t="str">
        <f>IFERROR(VLOOKUP(DEF[[#This Row],[CEDULA]],NCH!$B$7:$AU$229,16,0),"")</f>
        <v/>
      </c>
      <c r="G20" s="186" t="str">
        <f>IFERROR(VLOOKUP(DEF[[#This Row],[CEDULA]],NCH!$B$7:$AU$229,22,0),"")</f>
        <v/>
      </c>
      <c r="H20" s="186" t="str">
        <f>IFERROR(VLOOKUP(DEF[[#This Row],[CEDULA]],NCH!$B$7:$AU$229,28,0),"")</f>
        <v/>
      </c>
      <c r="I20" s="186" t="str">
        <f>IFERROR(VLOOKUP(DEF[[#This Row],[CEDULA]],NCH!$B$7:$AU$229,34,0),"")</f>
        <v/>
      </c>
      <c r="J20" s="186" t="str">
        <f>IFERROR(VLOOKUP(DEF[[#This Row],[CEDULA]],NCH!$B$7:$AU$229,40,0),"")</f>
        <v/>
      </c>
      <c r="K20" s="186" t="str">
        <f>IFERROR(VLOOKUP(DEF[[#This Row],[CEDULA]],NCH!$B$7:$AU$229,46,0),"")</f>
        <v/>
      </c>
      <c r="L20" s="186" t="str">
        <f>IFERROR(VLOOKUP(DEF[CEDULA],METAS[],13,0),"")</f>
        <v/>
      </c>
      <c r="M20" s="187">
        <f>SUM(DEF[[#This Row],[L]:[V]])</f>
        <v>0</v>
      </c>
      <c r="N20" s="188">
        <f>SUM(DEF[[#This Row],[S]:[D]])</f>
        <v>0</v>
      </c>
      <c r="O20" s="188">
        <f>DEF[[#This Row],[TOTAL METAS L-V]]+DEF[[#This Row],[TOTAL METAS S-D-F]]</f>
        <v>0</v>
      </c>
      <c r="P20" s="188" t="e">
        <f>VLOOKUP(DEF[[#This Row],[CEDULA]],METAS[],17,0)</f>
        <v>#N/A</v>
      </c>
      <c r="Q2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0" s="190">
        <f>VLOOKUP(DEF[[#This Row],[CEDULA]],DATOS[],9,0)</f>
        <v>0</v>
      </c>
    </row>
    <row r="21" spans="1:18" hidden="1" x14ac:dyDescent="0.25">
      <c r="A21" s="183">
        <v>6916826</v>
      </c>
      <c r="B21" s="184" t="str">
        <f>IFERROR(IF(DEF[[#This Row],[OTRO PAGO]]=0,VLOOKUP(DEF[[#This Row],[CEDULA]],DATOS[],2,0),""),"")</f>
        <v>PARCERO HECTOR</v>
      </c>
      <c r="C21" s="184" t="str">
        <f>IFERROR(VLOOKUP(DEF[[#This Row],[CEDULA]],DATOS[],5,0),"")</f>
        <v>SUPERVISORIO</v>
      </c>
      <c r="D21" s="185" t="s">
        <v>819</v>
      </c>
      <c r="E21" s="186" t="str">
        <f>IFERROR(VLOOKUP(DEF[[#This Row],[CEDULA]],NCH!$B$7:$AU$229,10,0),"")</f>
        <v/>
      </c>
      <c r="F21" s="186" t="str">
        <f>IFERROR(VLOOKUP(DEF[[#This Row],[CEDULA]],NCH!$B$7:$AU$229,16,0),"")</f>
        <v/>
      </c>
      <c r="G21" s="186" t="str">
        <f>IFERROR(VLOOKUP(DEF[[#This Row],[CEDULA]],NCH!$B$7:$AU$229,22,0),"")</f>
        <v/>
      </c>
      <c r="H21" s="186" t="str">
        <f>IFERROR(VLOOKUP(DEF[[#This Row],[CEDULA]],NCH!$B$7:$AU$229,28,0),"")</f>
        <v/>
      </c>
      <c r="I21" s="186" t="str">
        <f>IFERROR(VLOOKUP(DEF[[#This Row],[CEDULA]],NCH!$B$7:$AU$229,34,0),"")</f>
        <v/>
      </c>
      <c r="J21" s="186" t="str">
        <f>IFERROR(VLOOKUP(DEF[[#This Row],[CEDULA]],NCH!$B$7:$AU$229,40,0),"")</f>
        <v/>
      </c>
      <c r="K21" s="186" t="str">
        <f>IFERROR(VLOOKUP(DEF[[#This Row],[CEDULA]],NCH!$B$7:$AU$229,46,0),"")</f>
        <v/>
      </c>
      <c r="L21" s="186" t="str">
        <f>IFERROR(VLOOKUP(DEF[CEDULA],METAS[],13,0),"")</f>
        <v/>
      </c>
      <c r="M21" s="187">
        <f>SUM(DEF[[#This Row],[L]:[V]])</f>
        <v>0</v>
      </c>
      <c r="N21" s="188">
        <f>SUM(DEF[[#This Row],[S]:[D]])</f>
        <v>0</v>
      </c>
      <c r="O21" s="188">
        <f>DEF[[#This Row],[TOTAL METAS L-V]]+DEF[[#This Row],[TOTAL METAS S-D-F]]</f>
        <v>0</v>
      </c>
      <c r="P21" s="188" t="e">
        <f>VLOOKUP(DEF[[#This Row],[CEDULA]],METAS[],17,0)</f>
        <v>#N/A</v>
      </c>
      <c r="Q2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1" s="190">
        <f>VLOOKUP(DEF[[#This Row],[CEDULA]],DATOS[],9,0)</f>
        <v>0</v>
      </c>
    </row>
    <row r="22" spans="1:18" hidden="1" x14ac:dyDescent="0.25">
      <c r="A22" s="183">
        <v>7928721</v>
      </c>
      <c r="B22" s="184" t="str">
        <f>IFERROR(IF(DEF[[#This Row],[OTRO PAGO]]=0,VLOOKUP(DEF[[#This Row],[CEDULA]],DATOS[],2,0),""),"")</f>
        <v>SANCHEZ DORIS</v>
      </c>
      <c r="C22" s="184" t="str">
        <f>IFERROR(VLOOKUP(DEF[[#This Row],[CEDULA]],DATOS[],5,0),"")</f>
        <v>PROFESIONAL</v>
      </c>
      <c r="D22" s="185" t="s">
        <v>819</v>
      </c>
      <c r="E22" s="186" t="str">
        <f>IFERROR(VLOOKUP(DEF[[#This Row],[CEDULA]],NCH!$B$7:$AU$229,10,0),"")</f>
        <v>No realizo Metas</v>
      </c>
      <c r="F22" s="186" t="str">
        <f>IFERROR(VLOOKUP(DEF[[#This Row],[CEDULA]],NCH!$B$7:$AU$229,16,0),"")</f>
        <v>No realizo Metas</v>
      </c>
      <c r="G22" s="186" t="str">
        <f>IFERROR(VLOOKUP(DEF[[#This Row],[CEDULA]],NCH!$B$7:$AU$229,22,0),"")</f>
        <v>No cumple H</v>
      </c>
      <c r="H22" s="186" t="str">
        <f>IFERROR(VLOOKUP(DEF[[#This Row],[CEDULA]],NCH!$B$7:$AU$229,28,0),"")</f>
        <v>No cumple H</v>
      </c>
      <c r="I22" s="186" t="str">
        <f>IFERROR(VLOOKUP(DEF[[#This Row],[CEDULA]],NCH!$B$7:$AU$229,34,0),"")</f>
        <v>No cumple H</v>
      </c>
      <c r="J22" s="186" t="str">
        <f>IFERROR(VLOOKUP(DEF[[#This Row],[CEDULA]],NCH!$B$7:$AU$229,40,0),"")</f>
        <v>No cumple H</v>
      </c>
      <c r="K22" s="186" t="str">
        <f>IFERROR(VLOOKUP(DEF[[#This Row],[CEDULA]],NCH!$B$7:$AU$229,46,0),"")</f>
        <v>No cumple H</v>
      </c>
      <c r="L22" s="186">
        <f>IFERROR(VLOOKUP(DEF[CEDULA],METAS[],13,0),"")</f>
        <v>1</v>
      </c>
      <c r="M22" s="187">
        <f>SUM(DEF[[#This Row],[L]:[V]])</f>
        <v>0</v>
      </c>
      <c r="N22" s="188">
        <f>SUM(DEF[[#This Row],[S]:[D]])</f>
        <v>0</v>
      </c>
      <c r="O22" s="188">
        <f>DEF[[#This Row],[TOTAL METAS L-V]]+DEF[[#This Row],[TOTAL METAS S-D-F]]</f>
        <v>0</v>
      </c>
      <c r="P22" s="188">
        <f>VLOOKUP(DEF[[#This Row],[CEDULA]],METAS[],17,0)</f>
        <v>258.75</v>
      </c>
      <c r="Q2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2" s="190">
        <f>VLOOKUP(DEF[[#This Row],[CEDULA]],DATOS[],9,0)</f>
        <v>0</v>
      </c>
    </row>
    <row r="23" spans="1:18" hidden="1" x14ac:dyDescent="0.25">
      <c r="A23" s="183">
        <v>7922201</v>
      </c>
      <c r="B23" s="184" t="str">
        <f>IFERROR(IF(DEF[[#This Row],[OTRO PAGO]]=0,VLOOKUP(DEF[[#This Row],[CEDULA]],DATOS[],2,0),""),"")</f>
        <v>NUNEZ ANGEL</v>
      </c>
      <c r="C23" s="184" t="str">
        <f>IFERROR(VLOOKUP(DEF[[#This Row],[CEDULA]],DATOS[],5,0),"")</f>
        <v>SUPERVISORIO</v>
      </c>
      <c r="D23" s="185" t="s">
        <v>819</v>
      </c>
      <c r="E23" s="186" t="str">
        <f>IFERROR(VLOOKUP(DEF[[#This Row],[CEDULA]],NCH!$B$7:$AU$229,10,0),"")</f>
        <v/>
      </c>
      <c r="F23" s="186" t="str">
        <f>IFERROR(VLOOKUP(DEF[[#This Row],[CEDULA]],NCH!$B$7:$AU$229,16,0),"")</f>
        <v/>
      </c>
      <c r="G23" s="186" t="str">
        <f>IFERROR(VLOOKUP(DEF[[#This Row],[CEDULA]],NCH!$B$7:$AU$229,22,0),"")</f>
        <v/>
      </c>
      <c r="H23" s="186" t="str">
        <f>IFERROR(VLOOKUP(DEF[[#This Row],[CEDULA]],NCH!$B$7:$AU$229,28,0),"")</f>
        <v/>
      </c>
      <c r="I23" s="186" t="str">
        <f>IFERROR(VLOOKUP(DEF[[#This Row],[CEDULA]],NCH!$B$7:$AU$229,34,0),"")</f>
        <v/>
      </c>
      <c r="J23" s="186" t="str">
        <f>IFERROR(VLOOKUP(DEF[[#This Row],[CEDULA]],NCH!$B$7:$AU$229,40,0),"")</f>
        <v/>
      </c>
      <c r="K23" s="186" t="str">
        <f>IFERROR(VLOOKUP(DEF[[#This Row],[CEDULA]],NCH!$B$7:$AU$229,46,0),"")</f>
        <v/>
      </c>
      <c r="L23" s="186" t="str">
        <f>IFERROR(VLOOKUP(DEF[CEDULA],METAS[],13,0),"")</f>
        <v/>
      </c>
      <c r="M23" s="187">
        <f>SUM(DEF[[#This Row],[L]:[V]])</f>
        <v>0</v>
      </c>
      <c r="N23" s="188">
        <f>SUM(DEF[[#This Row],[S]:[D]])</f>
        <v>0</v>
      </c>
      <c r="O23" s="188">
        <f>DEF[[#This Row],[TOTAL METAS L-V]]+DEF[[#This Row],[TOTAL METAS S-D-F]]</f>
        <v>0</v>
      </c>
      <c r="P23" s="188" t="e">
        <f>VLOOKUP(DEF[[#This Row],[CEDULA]],METAS[],17,0)</f>
        <v>#N/A</v>
      </c>
      <c r="Q2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3" s="190">
        <f>VLOOKUP(DEF[[#This Row],[CEDULA]],DATOS[],9,0)</f>
        <v>0</v>
      </c>
    </row>
    <row r="24" spans="1:18" hidden="1" x14ac:dyDescent="0.25">
      <c r="A24" s="183">
        <v>10817216</v>
      </c>
      <c r="B24" s="184" t="str">
        <f>IFERROR(IF(DEF[[#This Row],[OTRO PAGO]]=0,VLOOKUP(DEF[[#This Row],[CEDULA]],DATOS[],2,0),""),"")</f>
        <v>OLIVAR YATZURI</v>
      </c>
      <c r="C24" s="184" t="str">
        <f>IFERROR(VLOOKUP(DEF[[#This Row],[CEDULA]],DATOS[],5,0),"")</f>
        <v>PROFESIONAL</v>
      </c>
      <c r="D24" s="185" t="s">
        <v>819</v>
      </c>
      <c r="E24" s="186" t="str">
        <f>IFERROR(VLOOKUP(DEF[[#This Row],[CEDULA]],NCH!$B$7:$AU$229,10,0),"")</f>
        <v/>
      </c>
      <c r="F24" s="186" t="str">
        <f>IFERROR(VLOOKUP(DEF[[#This Row],[CEDULA]],NCH!$B$7:$AU$229,16,0),"")</f>
        <v/>
      </c>
      <c r="G24" s="186" t="str">
        <f>IFERROR(VLOOKUP(DEF[[#This Row],[CEDULA]],NCH!$B$7:$AU$229,22,0),"")</f>
        <v/>
      </c>
      <c r="H24" s="186" t="str">
        <f>IFERROR(VLOOKUP(DEF[[#This Row],[CEDULA]],NCH!$B$7:$AU$229,28,0),"")</f>
        <v/>
      </c>
      <c r="I24" s="186" t="str">
        <f>IFERROR(VLOOKUP(DEF[[#This Row],[CEDULA]],NCH!$B$7:$AU$229,34,0),"")</f>
        <v/>
      </c>
      <c r="J24" s="186" t="str">
        <f>IFERROR(VLOOKUP(DEF[[#This Row],[CEDULA]],NCH!$B$7:$AU$229,40,0),"")</f>
        <v/>
      </c>
      <c r="K24" s="186" t="str">
        <f>IFERROR(VLOOKUP(DEF[[#This Row],[CEDULA]],NCH!$B$7:$AU$229,46,0),"")</f>
        <v/>
      </c>
      <c r="L24" s="186" t="str">
        <f>IFERROR(VLOOKUP(DEF[CEDULA],METAS[],13,0),"")</f>
        <v/>
      </c>
      <c r="M24" s="187">
        <f>SUM(DEF[[#This Row],[L]:[V]])</f>
        <v>0</v>
      </c>
      <c r="N24" s="188">
        <f>SUM(DEF[[#This Row],[S]:[D]])</f>
        <v>0</v>
      </c>
      <c r="O24" s="188">
        <f>DEF[[#This Row],[TOTAL METAS L-V]]+DEF[[#This Row],[TOTAL METAS S-D-F]]</f>
        <v>0</v>
      </c>
      <c r="P24" s="188" t="e">
        <f>VLOOKUP(DEF[[#This Row],[CEDULA]],METAS[],17,0)</f>
        <v>#N/A</v>
      </c>
      <c r="Q2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4" s="190">
        <f>VLOOKUP(DEF[[#This Row],[CEDULA]],DATOS[],9,0)</f>
        <v>0</v>
      </c>
    </row>
    <row r="25" spans="1:18" hidden="1" x14ac:dyDescent="0.25">
      <c r="A25" s="183">
        <v>10794199</v>
      </c>
      <c r="B25" s="184" t="str">
        <f>IFERROR(IF(DEF[[#This Row],[OTRO PAGO]]=0,VLOOKUP(DEF[[#This Row],[CEDULA]],DATOS[],2,0),""),"")</f>
        <v>OLIVAR THAYNES</v>
      </c>
      <c r="C25" s="184" t="str">
        <f>IFERROR(VLOOKUP(DEF[[#This Row],[CEDULA]],DATOS[],5,0),"")</f>
        <v>PROFESIONAL</v>
      </c>
      <c r="D25" s="185" t="s">
        <v>819</v>
      </c>
      <c r="E25" s="186" t="str">
        <f>IFERROR(VLOOKUP(DEF[[#This Row],[CEDULA]],NCH!$B$7:$AU$229,10,0),"")</f>
        <v/>
      </c>
      <c r="F25" s="186" t="str">
        <f>IFERROR(VLOOKUP(DEF[[#This Row],[CEDULA]],NCH!$B$7:$AU$229,16,0),"")</f>
        <v/>
      </c>
      <c r="G25" s="186" t="str">
        <f>IFERROR(VLOOKUP(DEF[[#This Row],[CEDULA]],NCH!$B$7:$AU$229,22,0),"")</f>
        <v/>
      </c>
      <c r="H25" s="186" t="str">
        <f>IFERROR(VLOOKUP(DEF[[#This Row],[CEDULA]],NCH!$B$7:$AU$229,28,0),"")</f>
        <v/>
      </c>
      <c r="I25" s="186" t="str">
        <f>IFERROR(VLOOKUP(DEF[[#This Row],[CEDULA]],NCH!$B$7:$AU$229,34,0),"")</f>
        <v/>
      </c>
      <c r="J25" s="186" t="str">
        <f>IFERROR(VLOOKUP(DEF[[#This Row],[CEDULA]],NCH!$B$7:$AU$229,40,0),"")</f>
        <v/>
      </c>
      <c r="K25" s="186" t="str">
        <f>IFERROR(VLOOKUP(DEF[[#This Row],[CEDULA]],NCH!$B$7:$AU$229,46,0),"")</f>
        <v/>
      </c>
      <c r="L25" s="186" t="str">
        <f>IFERROR(VLOOKUP(DEF[CEDULA],METAS[],13,0),"")</f>
        <v/>
      </c>
      <c r="M25" s="187">
        <f>SUM(DEF[[#This Row],[L]:[V]])</f>
        <v>0</v>
      </c>
      <c r="N25" s="188">
        <f>SUM(DEF[[#This Row],[S]:[D]])</f>
        <v>0</v>
      </c>
      <c r="O25" s="188">
        <f>DEF[[#This Row],[TOTAL METAS L-V]]+DEF[[#This Row],[TOTAL METAS S-D-F]]</f>
        <v>0</v>
      </c>
      <c r="P25" s="188" t="e">
        <f>VLOOKUP(DEF[[#This Row],[CEDULA]],METAS[],17,0)</f>
        <v>#N/A</v>
      </c>
      <c r="Q2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5" s="190">
        <f>VLOOKUP(DEF[[#This Row],[CEDULA]],DATOS[],9,0)</f>
        <v>0</v>
      </c>
    </row>
    <row r="26" spans="1:18" hidden="1" x14ac:dyDescent="0.25">
      <c r="A26" s="183">
        <v>15821167</v>
      </c>
      <c r="B26" s="184" t="str">
        <f>IFERROR(IF(DEF[[#This Row],[OTRO PAGO]]=0,VLOOKUP(DEF[[#This Row],[CEDULA]],DATOS[],2,0),""),"")</f>
        <v>VELASQUEZ MAYERLING</v>
      </c>
      <c r="C26" s="184" t="str">
        <f>IFERROR(VLOOKUP(DEF[[#This Row],[CEDULA]],DATOS[],5,0),"")</f>
        <v>PROFESIONAL</v>
      </c>
      <c r="D26" s="185" t="s">
        <v>819</v>
      </c>
      <c r="E26" s="186" t="str">
        <f>IFERROR(VLOOKUP(DEF[[#This Row],[CEDULA]],NCH!$B$7:$AU$229,10,0),"")</f>
        <v/>
      </c>
      <c r="F26" s="186" t="str">
        <f>IFERROR(VLOOKUP(DEF[[#This Row],[CEDULA]],NCH!$B$7:$AU$229,16,0),"")</f>
        <v/>
      </c>
      <c r="G26" s="186" t="str">
        <f>IFERROR(VLOOKUP(DEF[[#This Row],[CEDULA]],NCH!$B$7:$AU$229,22,0),"")</f>
        <v/>
      </c>
      <c r="H26" s="186" t="str">
        <f>IFERROR(VLOOKUP(DEF[[#This Row],[CEDULA]],NCH!$B$7:$AU$229,28,0),"")</f>
        <v/>
      </c>
      <c r="I26" s="186" t="str">
        <f>IFERROR(VLOOKUP(DEF[[#This Row],[CEDULA]],NCH!$B$7:$AU$229,34,0),"")</f>
        <v/>
      </c>
      <c r="J26" s="186" t="str">
        <f>IFERROR(VLOOKUP(DEF[[#This Row],[CEDULA]],NCH!$B$7:$AU$229,40,0),"")</f>
        <v/>
      </c>
      <c r="K26" s="186" t="str">
        <f>IFERROR(VLOOKUP(DEF[[#This Row],[CEDULA]],NCH!$B$7:$AU$229,46,0),"")</f>
        <v/>
      </c>
      <c r="L26" s="186" t="str">
        <f>IFERROR(VLOOKUP(DEF[CEDULA],METAS[],13,0),"")</f>
        <v/>
      </c>
      <c r="M26" s="187">
        <f>SUM(DEF[[#This Row],[L]:[V]])</f>
        <v>0</v>
      </c>
      <c r="N26" s="188">
        <f>SUM(DEF[[#This Row],[S]:[D]])</f>
        <v>0</v>
      </c>
      <c r="O26" s="188">
        <f>DEF[[#This Row],[TOTAL METAS L-V]]+DEF[[#This Row],[TOTAL METAS S-D-F]]</f>
        <v>0</v>
      </c>
      <c r="P26" s="188" t="e">
        <f>VLOOKUP(DEF[[#This Row],[CEDULA]],METAS[],17,0)</f>
        <v>#N/A</v>
      </c>
      <c r="Q2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6" s="190">
        <f>VLOOKUP(DEF[[#This Row],[CEDULA]],DATOS[],9,0)</f>
        <v>0</v>
      </c>
    </row>
    <row r="27" spans="1:18" hidden="1" x14ac:dyDescent="0.25">
      <c r="A27" s="183">
        <v>27894304</v>
      </c>
      <c r="B27" s="184" t="str">
        <f>IFERROR(IF(DEF[[#This Row],[OTRO PAGO]]=0,VLOOKUP(DEF[[#This Row],[CEDULA]],DATOS[],2,0),""),"")</f>
        <v>ALVAREZ PIERANGELA</v>
      </c>
      <c r="C27" s="184" t="str">
        <f>IFERROR(VLOOKUP(DEF[[#This Row],[CEDULA]],DATOS[],5,0),"")</f>
        <v>TECNICO</v>
      </c>
      <c r="D27" s="185" t="s">
        <v>819</v>
      </c>
      <c r="E27" s="186" t="str">
        <f>IFERROR(VLOOKUP(DEF[[#This Row],[CEDULA]],NCH!$B$7:$AU$229,10,0),"")</f>
        <v/>
      </c>
      <c r="F27" s="186" t="str">
        <f>IFERROR(VLOOKUP(DEF[[#This Row],[CEDULA]],NCH!$B$7:$AU$229,16,0),"")</f>
        <v/>
      </c>
      <c r="G27" s="186" t="str">
        <f>IFERROR(VLOOKUP(DEF[[#This Row],[CEDULA]],NCH!$B$7:$AU$229,22,0),"")</f>
        <v/>
      </c>
      <c r="H27" s="186" t="str">
        <f>IFERROR(VLOOKUP(DEF[[#This Row],[CEDULA]],NCH!$B$7:$AU$229,28,0),"")</f>
        <v/>
      </c>
      <c r="I27" s="186" t="str">
        <f>IFERROR(VLOOKUP(DEF[[#This Row],[CEDULA]],NCH!$B$7:$AU$229,34,0),"")</f>
        <v/>
      </c>
      <c r="J27" s="186" t="str">
        <f>IFERROR(VLOOKUP(DEF[[#This Row],[CEDULA]],NCH!$B$7:$AU$229,40,0),"")</f>
        <v/>
      </c>
      <c r="K27" s="186" t="str">
        <f>IFERROR(VLOOKUP(DEF[[#This Row],[CEDULA]],NCH!$B$7:$AU$229,46,0),"")</f>
        <v/>
      </c>
      <c r="L27" s="186" t="str">
        <f>IFERROR(VLOOKUP(DEF[CEDULA],METAS[],13,0),"")</f>
        <v/>
      </c>
      <c r="M27" s="187">
        <f>SUM(DEF[[#This Row],[L]:[V]])</f>
        <v>0</v>
      </c>
      <c r="N27" s="188">
        <f>SUM(DEF[[#This Row],[S]:[D]])</f>
        <v>0</v>
      </c>
      <c r="O27" s="188">
        <f>DEF[[#This Row],[TOTAL METAS L-V]]+DEF[[#This Row],[TOTAL METAS S-D-F]]</f>
        <v>0</v>
      </c>
      <c r="P27" s="188" t="e">
        <f>VLOOKUP(DEF[[#This Row],[CEDULA]],METAS[],17,0)</f>
        <v>#N/A</v>
      </c>
      <c r="Q2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7" s="190">
        <f>VLOOKUP(DEF[[#This Row],[CEDULA]],DATOS[],9,0)</f>
        <v>0</v>
      </c>
    </row>
    <row r="28" spans="1:18" hidden="1" x14ac:dyDescent="0.25">
      <c r="A28" s="183">
        <v>4352901</v>
      </c>
      <c r="B28" s="184" t="str">
        <f>IFERROR(IF(DEF[[#This Row],[OTRO PAGO]]=0,VLOOKUP(DEF[[#This Row],[CEDULA]],DATOS[],2,0),""),"")</f>
        <v>LOPEZ CELINA</v>
      </c>
      <c r="C28" s="184" t="str">
        <f>IFERROR(VLOOKUP(DEF[[#This Row],[CEDULA]],DATOS[],5,0),"")</f>
        <v>SUPERVISORIO</v>
      </c>
      <c r="D28" s="185" t="s">
        <v>819</v>
      </c>
      <c r="E28" s="186" t="str">
        <f>IFERROR(VLOOKUP(DEF[[#This Row],[CEDULA]],NCH!$B$7:$AU$229,10,0),"")</f>
        <v/>
      </c>
      <c r="F28" s="186" t="str">
        <f>IFERROR(VLOOKUP(DEF[[#This Row],[CEDULA]],NCH!$B$7:$AU$229,16,0),"")</f>
        <v/>
      </c>
      <c r="G28" s="186" t="str">
        <f>IFERROR(VLOOKUP(DEF[[#This Row],[CEDULA]],NCH!$B$7:$AU$229,22,0),"")</f>
        <v/>
      </c>
      <c r="H28" s="186" t="str">
        <f>IFERROR(VLOOKUP(DEF[[#This Row],[CEDULA]],NCH!$B$7:$AU$229,28,0),"")</f>
        <v/>
      </c>
      <c r="I28" s="186" t="str">
        <f>IFERROR(VLOOKUP(DEF[[#This Row],[CEDULA]],NCH!$B$7:$AU$229,34,0),"")</f>
        <v/>
      </c>
      <c r="J28" s="186" t="str">
        <f>IFERROR(VLOOKUP(DEF[[#This Row],[CEDULA]],NCH!$B$7:$AU$229,40,0),"")</f>
        <v/>
      </c>
      <c r="K28" s="186" t="str">
        <f>IFERROR(VLOOKUP(DEF[[#This Row],[CEDULA]],NCH!$B$7:$AU$229,46,0),"")</f>
        <v/>
      </c>
      <c r="L28" s="186" t="str">
        <f>IFERROR(VLOOKUP(DEF[CEDULA],METAS[],13,0),"")</f>
        <v/>
      </c>
      <c r="M28" s="187">
        <f>SUM(DEF[[#This Row],[L]:[V]])</f>
        <v>0</v>
      </c>
      <c r="N28" s="188">
        <f>SUM(DEF[[#This Row],[S]:[D]])</f>
        <v>0</v>
      </c>
      <c r="O28" s="188">
        <f>DEF[[#This Row],[TOTAL METAS L-V]]+DEF[[#This Row],[TOTAL METAS S-D-F]]</f>
        <v>0</v>
      </c>
      <c r="P28" s="188" t="e">
        <f>VLOOKUP(DEF[[#This Row],[CEDULA]],METAS[],17,0)</f>
        <v>#N/A</v>
      </c>
      <c r="Q2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8" s="190">
        <f>VLOOKUP(DEF[[#This Row],[CEDULA]],DATOS[],9,0)</f>
        <v>0</v>
      </c>
    </row>
    <row r="29" spans="1:18" hidden="1" x14ac:dyDescent="0.25">
      <c r="A29" s="183">
        <v>14988295</v>
      </c>
      <c r="B29" s="184" t="str">
        <f>IFERROR(IF(DEF[[#This Row],[OTRO PAGO]]=0,VLOOKUP(DEF[[#This Row],[CEDULA]],DATOS[],2,0),""),"")</f>
        <v>SANCHEZ GLADYS</v>
      </c>
      <c r="C29" s="184" t="str">
        <f>IFERROR(VLOOKUP(DEF[[#This Row],[CEDULA]],DATOS[],5,0),"")</f>
        <v>SUPERVISORIO</v>
      </c>
      <c r="D29" s="185" t="s">
        <v>819</v>
      </c>
      <c r="E29" s="186" t="str">
        <f>IFERROR(VLOOKUP(DEF[[#This Row],[CEDULA]],NCH!$B$7:$AU$229,10,0),"")</f>
        <v/>
      </c>
      <c r="F29" s="186" t="str">
        <f>IFERROR(VLOOKUP(DEF[[#This Row],[CEDULA]],NCH!$B$7:$AU$229,16,0),"")</f>
        <v/>
      </c>
      <c r="G29" s="186" t="str">
        <f>IFERROR(VLOOKUP(DEF[[#This Row],[CEDULA]],NCH!$B$7:$AU$229,22,0),"")</f>
        <v/>
      </c>
      <c r="H29" s="186" t="str">
        <f>IFERROR(VLOOKUP(DEF[[#This Row],[CEDULA]],NCH!$B$7:$AU$229,28,0),"")</f>
        <v/>
      </c>
      <c r="I29" s="186" t="str">
        <f>IFERROR(VLOOKUP(DEF[[#This Row],[CEDULA]],NCH!$B$7:$AU$229,34,0),"")</f>
        <v/>
      </c>
      <c r="J29" s="186" t="str">
        <f>IFERROR(VLOOKUP(DEF[[#This Row],[CEDULA]],NCH!$B$7:$AU$229,40,0),"")</f>
        <v/>
      </c>
      <c r="K29" s="186" t="str">
        <f>IFERROR(VLOOKUP(DEF[[#This Row],[CEDULA]],NCH!$B$7:$AU$229,46,0),"")</f>
        <v/>
      </c>
      <c r="L29" s="186" t="str">
        <f>IFERROR(VLOOKUP(DEF[CEDULA],METAS[],13,0),"")</f>
        <v/>
      </c>
      <c r="M29" s="187">
        <f>SUM(DEF[[#This Row],[L]:[V]])</f>
        <v>0</v>
      </c>
      <c r="N29" s="188">
        <f>SUM(DEF[[#This Row],[S]:[D]])</f>
        <v>0</v>
      </c>
      <c r="O29" s="188">
        <f>DEF[[#This Row],[TOTAL METAS L-V]]+DEF[[#This Row],[TOTAL METAS S-D-F]]</f>
        <v>0</v>
      </c>
      <c r="P29" s="188" t="e">
        <f>VLOOKUP(DEF[[#This Row],[CEDULA]],METAS[],17,0)</f>
        <v>#N/A</v>
      </c>
      <c r="Q2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9" s="190">
        <f>VLOOKUP(DEF[[#This Row],[CEDULA]],DATOS[],9,0)</f>
        <v>0</v>
      </c>
    </row>
    <row r="30" spans="1:18" hidden="1" x14ac:dyDescent="0.25">
      <c r="A30" s="183">
        <v>14444039</v>
      </c>
      <c r="B30" s="184" t="str">
        <f>IFERROR(IF(DEF[[#This Row],[OTRO PAGO]]=0,VLOOKUP(DEF[[#This Row],[CEDULA]],DATOS[],2,0),""),"")</f>
        <v>ESTRANO ANA</v>
      </c>
      <c r="C30" s="184" t="str">
        <f>IFERROR(VLOOKUP(DEF[[#This Row],[CEDULA]],DATOS[],5,0),"")</f>
        <v>SUPERVISORIO</v>
      </c>
      <c r="D30" s="185" t="s">
        <v>819</v>
      </c>
      <c r="E30" s="186" t="str">
        <f>IFERROR(VLOOKUP(DEF[[#This Row],[CEDULA]],NCH!$B$7:$AU$229,10,0),"")</f>
        <v/>
      </c>
      <c r="F30" s="186" t="str">
        <f>IFERROR(VLOOKUP(DEF[[#This Row],[CEDULA]],NCH!$B$7:$AU$229,16,0),"")</f>
        <v/>
      </c>
      <c r="G30" s="186" t="str">
        <f>IFERROR(VLOOKUP(DEF[[#This Row],[CEDULA]],NCH!$B$7:$AU$229,22,0),"")</f>
        <v/>
      </c>
      <c r="H30" s="186" t="str">
        <f>IFERROR(VLOOKUP(DEF[[#This Row],[CEDULA]],NCH!$B$7:$AU$229,28,0),"")</f>
        <v/>
      </c>
      <c r="I30" s="186" t="str">
        <f>IFERROR(VLOOKUP(DEF[[#This Row],[CEDULA]],NCH!$B$7:$AU$229,34,0),"")</f>
        <v/>
      </c>
      <c r="J30" s="186" t="str">
        <f>IFERROR(VLOOKUP(DEF[[#This Row],[CEDULA]],NCH!$B$7:$AU$229,40,0),"")</f>
        <v/>
      </c>
      <c r="K30" s="186" t="str">
        <f>IFERROR(VLOOKUP(DEF[[#This Row],[CEDULA]],NCH!$B$7:$AU$229,46,0),"")</f>
        <v/>
      </c>
      <c r="L30" s="186" t="str">
        <f>IFERROR(VLOOKUP(DEF[CEDULA],METAS[],13,0),"")</f>
        <v/>
      </c>
      <c r="M30" s="187">
        <f>SUM(DEF[[#This Row],[L]:[V]])</f>
        <v>0</v>
      </c>
      <c r="N30" s="188">
        <f>SUM(DEF[[#This Row],[S]:[D]])</f>
        <v>0</v>
      </c>
      <c r="O30" s="188">
        <f>DEF[[#This Row],[TOTAL METAS L-V]]+DEF[[#This Row],[TOTAL METAS S-D-F]]</f>
        <v>0</v>
      </c>
      <c r="P30" s="188" t="e">
        <f>VLOOKUP(DEF[[#This Row],[CEDULA]],METAS[],17,0)</f>
        <v>#N/A</v>
      </c>
      <c r="Q3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30" s="190">
        <f>VLOOKUP(DEF[[#This Row],[CEDULA]],DATOS[],9,0)</f>
        <v>0</v>
      </c>
    </row>
    <row r="31" spans="1:18" hidden="1" x14ac:dyDescent="0.25">
      <c r="A31" s="183">
        <v>6020230</v>
      </c>
      <c r="B31" s="184" t="str">
        <f>IFERROR(IF(DEF[[#This Row],[OTRO PAGO]]=0,VLOOKUP(DEF[[#This Row],[CEDULA]],DATOS[],2,0),""),"")</f>
        <v>OCHOA RENE</v>
      </c>
      <c r="C31" s="184" t="str">
        <f>IFERROR(VLOOKUP(DEF[[#This Row],[CEDULA]],DATOS[],5,0),"")</f>
        <v>ADMINISTRATIVO</v>
      </c>
      <c r="D31" s="185" t="s">
        <v>819</v>
      </c>
      <c r="E31" s="186" t="str">
        <f>IFERROR(VLOOKUP(DEF[[#This Row],[CEDULA]],NCH!$B$7:$AU$229,10,0),"")</f>
        <v/>
      </c>
      <c r="F31" s="186" t="str">
        <f>IFERROR(VLOOKUP(DEF[[#This Row],[CEDULA]],NCH!$B$7:$AU$229,16,0),"")</f>
        <v/>
      </c>
      <c r="G31" s="186" t="str">
        <f>IFERROR(VLOOKUP(DEF[[#This Row],[CEDULA]],NCH!$B$7:$AU$229,22,0),"")</f>
        <v/>
      </c>
      <c r="H31" s="186" t="str">
        <f>IFERROR(VLOOKUP(DEF[[#This Row],[CEDULA]],NCH!$B$7:$AU$229,28,0),"")</f>
        <v/>
      </c>
      <c r="I31" s="186" t="str">
        <f>IFERROR(VLOOKUP(DEF[[#This Row],[CEDULA]],NCH!$B$7:$AU$229,34,0),"")</f>
        <v/>
      </c>
      <c r="J31" s="186" t="str">
        <f>IFERROR(VLOOKUP(DEF[[#This Row],[CEDULA]],NCH!$B$7:$AU$229,40,0),"")</f>
        <v/>
      </c>
      <c r="K31" s="186" t="str">
        <f>IFERROR(VLOOKUP(DEF[[#This Row],[CEDULA]],NCH!$B$7:$AU$229,46,0),"")</f>
        <v/>
      </c>
      <c r="L31" s="186" t="str">
        <f>IFERROR(VLOOKUP(DEF[CEDULA],METAS[],13,0),"")</f>
        <v/>
      </c>
      <c r="M31" s="187">
        <f>SUM(DEF[[#This Row],[L]:[V]])</f>
        <v>0</v>
      </c>
      <c r="N31" s="188">
        <f>SUM(DEF[[#This Row],[S]:[D]])</f>
        <v>0</v>
      </c>
      <c r="O31" s="188">
        <f>DEF[[#This Row],[TOTAL METAS L-V]]+DEF[[#This Row],[TOTAL METAS S-D-F]]</f>
        <v>0</v>
      </c>
      <c r="P31" s="188" t="e">
        <f>VLOOKUP(DEF[[#This Row],[CEDULA]],METAS[],17,0)</f>
        <v>#N/A</v>
      </c>
      <c r="Q3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31" s="190">
        <f>VLOOKUP(DEF[[#This Row],[CEDULA]],DATOS[],9,0)</f>
        <v>0</v>
      </c>
    </row>
    <row r="32" spans="1:18" hidden="1" x14ac:dyDescent="0.25">
      <c r="A32" s="183">
        <v>12398275</v>
      </c>
      <c r="B32" s="184" t="str">
        <f>IFERROR(IF(DEF[[#This Row],[OTRO PAGO]]=0,VLOOKUP(DEF[[#This Row],[CEDULA]],DATOS[],2,0),""),"")</f>
        <v>DOS RAMOS LIZ</v>
      </c>
      <c r="C32" s="184" t="str">
        <f>IFERROR(VLOOKUP(DEF[[#This Row],[CEDULA]],DATOS[],5,0),"")</f>
        <v>TECNICO</v>
      </c>
      <c r="D32" s="185" t="s">
        <v>819</v>
      </c>
      <c r="E32" s="186" t="str">
        <f>IFERROR(VLOOKUP(DEF[[#This Row],[CEDULA]],NCH!$B$7:$AU$229,10,0),"")</f>
        <v/>
      </c>
      <c r="F32" s="186" t="str">
        <f>IFERROR(VLOOKUP(DEF[[#This Row],[CEDULA]],NCH!$B$7:$AU$229,16,0),"")</f>
        <v/>
      </c>
      <c r="G32" s="186" t="str">
        <f>IFERROR(VLOOKUP(DEF[[#This Row],[CEDULA]],NCH!$B$7:$AU$229,22,0),"")</f>
        <v/>
      </c>
      <c r="H32" s="186" t="str">
        <f>IFERROR(VLOOKUP(DEF[[#This Row],[CEDULA]],NCH!$B$7:$AU$229,28,0),"")</f>
        <v/>
      </c>
      <c r="I32" s="186" t="str">
        <f>IFERROR(VLOOKUP(DEF[[#This Row],[CEDULA]],NCH!$B$7:$AU$229,34,0),"")</f>
        <v/>
      </c>
      <c r="J32" s="186" t="str">
        <f>IFERROR(VLOOKUP(DEF[[#This Row],[CEDULA]],NCH!$B$7:$AU$229,40,0),"")</f>
        <v/>
      </c>
      <c r="K32" s="186" t="str">
        <f>IFERROR(VLOOKUP(DEF[[#This Row],[CEDULA]],NCH!$B$7:$AU$229,46,0),"")</f>
        <v/>
      </c>
      <c r="L32" s="186" t="str">
        <f>IFERROR(VLOOKUP(DEF[CEDULA],METAS[],13,0),"")</f>
        <v/>
      </c>
      <c r="M32" s="187">
        <f>SUM(DEF[[#This Row],[L]:[V]])</f>
        <v>0</v>
      </c>
      <c r="N32" s="188">
        <f>SUM(DEF[[#This Row],[S]:[D]])</f>
        <v>0</v>
      </c>
      <c r="O32" s="188">
        <f>DEF[[#This Row],[TOTAL METAS L-V]]+DEF[[#This Row],[TOTAL METAS S-D-F]]</f>
        <v>0</v>
      </c>
      <c r="P32" s="188" t="e">
        <f>VLOOKUP(DEF[[#This Row],[CEDULA]],METAS[],17,0)</f>
        <v>#N/A</v>
      </c>
      <c r="Q3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32" s="190">
        <f>VLOOKUP(DEF[[#This Row],[CEDULA]],DATOS[],9,0)</f>
        <v>0</v>
      </c>
    </row>
    <row r="33" spans="1:18" hidden="1" x14ac:dyDescent="0.25">
      <c r="A33" s="183">
        <v>11095271</v>
      </c>
      <c r="B33" s="184" t="str">
        <f>IFERROR(IF(DEF[[#This Row],[OTRO PAGO]]=0,VLOOKUP(DEF[[#This Row],[CEDULA]],DATOS[],2,0),""),"")</f>
        <v>GRIMAN ZORAIDA</v>
      </c>
      <c r="C33" s="184" t="str">
        <f>IFERROR(VLOOKUP(DEF[[#This Row],[CEDULA]],DATOS[],5,0),"")</f>
        <v>OBRERO</v>
      </c>
      <c r="D33" s="185" t="s">
        <v>819</v>
      </c>
      <c r="E33" s="186" t="str">
        <f>IFERROR(VLOOKUP(DEF[[#This Row],[CEDULA]],NCH!$B$7:$AU$229,10,0),"")</f>
        <v/>
      </c>
      <c r="F33" s="186" t="str">
        <f>IFERROR(VLOOKUP(DEF[[#This Row],[CEDULA]],NCH!$B$7:$AU$229,16,0),"")</f>
        <v/>
      </c>
      <c r="G33" s="186" t="str">
        <f>IFERROR(VLOOKUP(DEF[[#This Row],[CEDULA]],NCH!$B$7:$AU$229,22,0),"")</f>
        <v/>
      </c>
      <c r="H33" s="186" t="str">
        <f>IFERROR(VLOOKUP(DEF[[#This Row],[CEDULA]],NCH!$B$7:$AU$229,28,0),"")</f>
        <v/>
      </c>
      <c r="I33" s="186" t="str">
        <f>IFERROR(VLOOKUP(DEF[[#This Row],[CEDULA]],NCH!$B$7:$AU$229,34,0),"")</f>
        <v/>
      </c>
      <c r="J33" s="186" t="str">
        <f>IFERROR(VLOOKUP(DEF[[#This Row],[CEDULA]],NCH!$B$7:$AU$229,40,0),"")</f>
        <v/>
      </c>
      <c r="K33" s="186" t="str">
        <f>IFERROR(VLOOKUP(DEF[[#This Row],[CEDULA]],NCH!$B$7:$AU$229,46,0),"")</f>
        <v/>
      </c>
      <c r="L33" s="186" t="str">
        <f>IFERROR(VLOOKUP(DEF[CEDULA],METAS[],13,0),"")</f>
        <v/>
      </c>
      <c r="M33" s="187">
        <f>SUM(DEF[[#This Row],[L]:[V]])</f>
        <v>0</v>
      </c>
      <c r="N33" s="188">
        <f>SUM(DEF[[#This Row],[S]:[D]])</f>
        <v>0</v>
      </c>
      <c r="O33" s="188">
        <f>DEF[[#This Row],[TOTAL METAS L-V]]+DEF[[#This Row],[TOTAL METAS S-D-F]]</f>
        <v>0</v>
      </c>
      <c r="P33" s="188" t="e">
        <f>VLOOKUP(DEF[[#This Row],[CEDULA]],METAS[],17,0)</f>
        <v>#N/A</v>
      </c>
      <c r="Q3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33" s="190">
        <f>VLOOKUP(DEF[[#This Row],[CEDULA]],DATOS[],9,0)</f>
        <v>0</v>
      </c>
    </row>
    <row r="34" spans="1:18" hidden="1" x14ac:dyDescent="0.25">
      <c r="A34" s="183">
        <v>13615404</v>
      </c>
      <c r="B34" s="184" t="str">
        <f>IFERROR(IF(DEF[[#This Row],[OTRO PAGO]]=0,VLOOKUP(DEF[[#This Row],[CEDULA]],DATOS[],2,0),""),"")</f>
        <v>SALAZAR JOSE</v>
      </c>
      <c r="C34" s="184" t="str">
        <f>IFERROR(VLOOKUP(DEF[[#This Row],[CEDULA]],DATOS[],5,0),"")</f>
        <v>OBRERO</v>
      </c>
      <c r="D34" s="185" t="s">
        <v>819</v>
      </c>
      <c r="E34" s="186" t="str">
        <f>IFERROR(VLOOKUP(DEF[[#This Row],[CEDULA]],NCH!$B$7:$AU$229,10,0),"")</f>
        <v>No realizo Metas</v>
      </c>
      <c r="F34" s="186" t="str">
        <f>IFERROR(VLOOKUP(DEF[[#This Row],[CEDULA]],NCH!$B$7:$AU$229,16,0),"")</f>
        <v>No realizo Metas</v>
      </c>
      <c r="G34" s="186" t="str">
        <f>IFERROR(VLOOKUP(DEF[[#This Row],[CEDULA]],NCH!$B$7:$AU$229,22,0),"")</f>
        <v>No cumple H</v>
      </c>
      <c r="H34" s="186" t="str">
        <f>IFERROR(VLOOKUP(DEF[[#This Row],[CEDULA]],NCH!$B$7:$AU$229,28,0),"")</f>
        <v>No cumple H</v>
      </c>
      <c r="I34" s="186" t="str">
        <f>IFERROR(VLOOKUP(DEF[[#This Row],[CEDULA]],NCH!$B$7:$AU$229,34,0),"")</f>
        <v>No cumple H</v>
      </c>
      <c r="J34" s="186" t="str">
        <f>IFERROR(VLOOKUP(DEF[[#This Row],[CEDULA]],NCH!$B$7:$AU$229,40,0),"")</f>
        <v>No cumple H</v>
      </c>
      <c r="K34" s="186" t="str">
        <f>IFERROR(VLOOKUP(DEF[[#This Row],[CEDULA]],NCH!$B$7:$AU$229,46,0),"")</f>
        <v>No cumple H</v>
      </c>
      <c r="L34" s="186">
        <f>IFERROR(VLOOKUP(DEF[CEDULA],METAS[],13,0),"")</f>
        <v>0</v>
      </c>
      <c r="M34" s="187">
        <f>SUM(DEF[[#This Row],[L]:[V]])</f>
        <v>0</v>
      </c>
      <c r="N34" s="188">
        <f>SUM(DEF[[#This Row],[S]:[D]])</f>
        <v>0</v>
      </c>
      <c r="O34" s="188">
        <f>DEF[[#This Row],[TOTAL METAS L-V]]+DEF[[#This Row],[TOTAL METAS S-D-F]]</f>
        <v>0</v>
      </c>
      <c r="P34" s="188">
        <f>VLOOKUP(DEF[[#This Row],[CEDULA]],METAS[],17,0)</f>
        <v>0</v>
      </c>
      <c r="Q3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34" s="190">
        <f>VLOOKUP(DEF[[#This Row],[CEDULA]],DATOS[],9,0)</f>
        <v>0</v>
      </c>
    </row>
    <row r="35" spans="1:18" hidden="1" x14ac:dyDescent="0.25">
      <c r="A35" s="183">
        <v>13631359</v>
      </c>
      <c r="B35" s="184" t="str">
        <f>IFERROR(IF(DEF[[#This Row],[OTRO PAGO]]=0,VLOOKUP(DEF[[#This Row],[CEDULA]],DATOS[],2,0),""),"")</f>
        <v>CASTILLO BLANCA</v>
      </c>
      <c r="C35" s="184" t="str">
        <f>IFERROR(VLOOKUP(DEF[[#This Row],[CEDULA]],DATOS[],5,0),"")</f>
        <v>OBRERO</v>
      </c>
      <c r="D35" s="185" t="s">
        <v>819</v>
      </c>
      <c r="E35" s="186" t="str">
        <f>IFERROR(VLOOKUP(DEF[[#This Row],[CEDULA]],NCH!$B$7:$AU$229,10,0),"")</f>
        <v/>
      </c>
      <c r="F35" s="186" t="str">
        <f>IFERROR(VLOOKUP(DEF[[#This Row],[CEDULA]],NCH!$B$7:$AU$229,16,0),"")</f>
        <v/>
      </c>
      <c r="G35" s="186" t="str">
        <f>IFERROR(VLOOKUP(DEF[[#This Row],[CEDULA]],NCH!$B$7:$AU$229,22,0),"")</f>
        <v/>
      </c>
      <c r="H35" s="186" t="str">
        <f>IFERROR(VLOOKUP(DEF[[#This Row],[CEDULA]],NCH!$B$7:$AU$229,28,0),"")</f>
        <v/>
      </c>
      <c r="I35" s="186" t="str">
        <f>IFERROR(VLOOKUP(DEF[[#This Row],[CEDULA]],NCH!$B$7:$AU$229,34,0),"")</f>
        <v/>
      </c>
      <c r="J35" s="186" t="str">
        <f>IFERROR(VLOOKUP(DEF[[#This Row],[CEDULA]],NCH!$B$7:$AU$229,40,0),"")</f>
        <v/>
      </c>
      <c r="K35" s="186" t="str">
        <f>IFERROR(VLOOKUP(DEF[[#This Row],[CEDULA]],NCH!$B$7:$AU$229,46,0),"")</f>
        <v/>
      </c>
      <c r="L35" s="186" t="str">
        <f>IFERROR(VLOOKUP(DEF[CEDULA],METAS[],13,0),"")</f>
        <v/>
      </c>
      <c r="M35" s="187">
        <f>SUM(DEF[[#This Row],[L]:[V]])</f>
        <v>0</v>
      </c>
      <c r="N35" s="188">
        <f>SUM(DEF[[#This Row],[S]:[D]])</f>
        <v>0</v>
      </c>
      <c r="O35" s="188">
        <f>DEF[[#This Row],[TOTAL METAS L-V]]+DEF[[#This Row],[TOTAL METAS S-D-F]]</f>
        <v>0</v>
      </c>
      <c r="P35" s="188" t="e">
        <f>VLOOKUP(DEF[[#This Row],[CEDULA]],METAS[],17,0)</f>
        <v>#N/A</v>
      </c>
      <c r="Q3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35" s="190">
        <f>VLOOKUP(DEF[[#This Row],[CEDULA]],DATOS[],9,0)</f>
        <v>0</v>
      </c>
    </row>
    <row r="36" spans="1:18" hidden="1" x14ac:dyDescent="0.25">
      <c r="A36" s="183">
        <v>12281806</v>
      </c>
      <c r="B36" s="184" t="str">
        <f>IFERROR(IF(DEF[[#This Row],[OTRO PAGO]]=0,VLOOKUP(DEF[[#This Row],[CEDULA]],DATOS[],2,0),""),"")</f>
        <v>ALVARADO ZORAIDA</v>
      </c>
      <c r="C36" s="184" t="str">
        <f>IFERROR(VLOOKUP(DEF[[#This Row],[CEDULA]],DATOS[],5,0),"")</f>
        <v>ADMINISTRATIVO</v>
      </c>
      <c r="D36" s="185" t="s">
        <v>819</v>
      </c>
      <c r="E36" s="186" t="str">
        <f>IFERROR(VLOOKUP(DEF[[#This Row],[CEDULA]],NCH!$B$7:$AU$229,10,0),"")</f>
        <v/>
      </c>
      <c r="F36" s="186" t="str">
        <f>IFERROR(VLOOKUP(DEF[[#This Row],[CEDULA]],NCH!$B$7:$AU$229,16,0),"")</f>
        <v/>
      </c>
      <c r="G36" s="186" t="str">
        <f>IFERROR(VLOOKUP(DEF[[#This Row],[CEDULA]],NCH!$B$7:$AU$229,22,0),"")</f>
        <v/>
      </c>
      <c r="H36" s="186" t="str">
        <f>IFERROR(VLOOKUP(DEF[[#This Row],[CEDULA]],NCH!$B$7:$AU$229,28,0),"")</f>
        <v/>
      </c>
      <c r="I36" s="186" t="str">
        <f>IFERROR(VLOOKUP(DEF[[#This Row],[CEDULA]],NCH!$B$7:$AU$229,34,0),"")</f>
        <v/>
      </c>
      <c r="J36" s="186" t="str">
        <f>IFERROR(VLOOKUP(DEF[[#This Row],[CEDULA]],NCH!$B$7:$AU$229,40,0),"")</f>
        <v/>
      </c>
      <c r="K36" s="186" t="str">
        <f>IFERROR(VLOOKUP(DEF[[#This Row],[CEDULA]],NCH!$B$7:$AU$229,46,0),"")</f>
        <v/>
      </c>
      <c r="L36" s="186" t="str">
        <f>IFERROR(VLOOKUP(DEF[CEDULA],METAS[],13,0),"")</f>
        <v/>
      </c>
      <c r="M36" s="187">
        <f>SUM(DEF[[#This Row],[L]:[V]])</f>
        <v>0</v>
      </c>
      <c r="N36" s="188">
        <f>SUM(DEF[[#This Row],[S]:[D]])</f>
        <v>0</v>
      </c>
      <c r="O36" s="188">
        <f>DEF[[#This Row],[TOTAL METAS L-V]]+DEF[[#This Row],[TOTAL METAS S-D-F]]</f>
        <v>0</v>
      </c>
      <c r="P36" s="188" t="e">
        <f>VLOOKUP(DEF[[#This Row],[CEDULA]],METAS[],17,0)</f>
        <v>#N/A</v>
      </c>
      <c r="Q3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36" s="190">
        <f>VLOOKUP(DEF[[#This Row],[CEDULA]],DATOS[],9,0)</f>
        <v>0</v>
      </c>
    </row>
    <row r="37" spans="1:18" hidden="1" x14ac:dyDescent="0.25">
      <c r="A37" s="183">
        <v>9981671</v>
      </c>
      <c r="B37" s="184" t="str">
        <f>IFERROR(IF(DEF[[#This Row],[OTRO PAGO]]=0,VLOOKUP(DEF[[#This Row],[CEDULA]],DATOS[],2,0),""),"")</f>
        <v>BERMUDEZ NEREIDA</v>
      </c>
      <c r="C37" s="184" t="str">
        <f>IFERROR(VLOOKUP(DEF[[#This Row],[CEDULA]],DATOS[],5,0),"")</f>
        <v>OBRERO</v>
      </c>
      <c r="D37" s="185" t="s">
        <v>819</v>
      </c>
      <c r="E37" s="186" t="str">
        <f>IFERROR(VLOOKUP(DEF[[#This Row],[CEDULA]],NCH!$B$7:$AU$229,10,0),"")</f>
        <v/>
      </c>
      <c r="F37" s="186" t="str">
        <f>IFERROR(VLOOKUP(DEF[[#This Row],[CEDULA]],NCH!$B$7:$AU$229,16,0),"")</f>
        <v/>
      </c>
      <c r="G37" s="186" t="str">
        <f>IFERROR(VLOOKUP(DEF[[#This Row],[CEDULA]],NCH!$B$7:$AU$229,22,0),"")</f>
        <v/>
      </c>
      <c r="H37" s="186" t="str">
        <f>IFERROR(VLOOKUP(DEF[[#This Row],[CEDULA]],NCH!$B$7:$AU$229,28,0),"")</f>
        <v/>
      </c>
      <c r="I37" s="186" t="str">
        <f>IFERROR(VLOOKUP(DEF[[#This Row],[CEDULA]],NCH!$B$7:$AU$229,34,0),"")</f>
        <v/>
      </c>
      <c r="J37" s="186" t="str">
        <f>IFERROR(VLOOKUP(DEF[[#This Row],[CEDULA]],NCH!$B$7:$AU$229,40,0),"")</f>
        <v/>
      </c>
      <c r="K37" s="186" t="str">
        <f>IFERROR(VLOOKUP(DEF[[#This Row],[CEDULA]],NCH!$B$7:$AU$229,46,0),"")</f>
        <v/>
      </c>
      <c r="L37" s="186" t="str">
        <f>IFERROR(VLOOKUP(DEF[CEDULA],METAS[],13,0),"")</f>
        <v/>
      </c>
      <c r="M37" s="187">
        <f>SUM(DEF[[#This Row],[L]:[V]])</f>
        <v>0</v>
      </c>
      <c r="N37" s="188">
        <f>SUM(DEF[[#This Row],[S]:[D]])</f>
        <v>0</v>
      </c>
      <c r="O37" s="188">
        <f>DEF[[#This Row],[TOTAL METAS L-V]]+DEF[[#This Row],[TOTAL METAS S-D-F]]</f>
        <v>0</v>
      </c>
      <c r="P37" s="188" t="e">
        <f>VLOOKUP(DEF[[#This Row],[CEDULA]],METAS[],17,0)</f>
        <v>#N/A</v>
      </c>
      <c r="Q3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37" s="190">
        <f>VLOOKUP(DEF[[#This Row],[CEDULA]],DATOS[],9,0)</f>
        <v>0</v>
      </c>
    </row>
    <row r="38" spans="1:18" hidden="1" x14ac:dyDescent="0.25">
      <c r="A38" s="183">
        <v>17167810</v>
      </c>
      <c r="B38" s="184" t="str">
        <f>IFERROR(IF(DEF[[#This Row],[OTRO PAGO]]=0,VLOOKUP(DEF[[#This Row],[CEDULA]],DATOS[],2,0),""),"")</f>
        <v>OCHOA ZOILA</v>
      </c>
      <c r="C38" s="184" t="str">
        <f>IFERROR(VLOOKUP(DEF[[#This Row],[CEDULA]],DATOS[],5,0),"")</f>
        <v>OBRERO</v>
      </c>
      <c r="D38" s="185" t="s">
        <v>819</v>
      </c>
      <c r="E38" s="186" t="str">
        <f>IFERROR(VLOOKUP(DEF[[#This Row],[CEDULA]],NCH!$B$7:$AU$229,10,0),"")</f>
        <v/>
      </c>
      <c r="F38" s="186" t="str">
        <f>IFERROR(VLOOKUP(DEF[[#This Row],[CEDULA]],NCH!$B$7:$AU$229,16,0),"")</f>
        <v/>
      </c>
      <c r="G38" s="186" t="str">
        <f>IFERROR(VLOOKUP(DEF[[#This Row],[CEDULA]],NCH!$B$7:$AU$229,22,0),"")</f>
        <v/>
      </c>
      <c r="H38" s="186" t="str">
        <f>IFERROR(VLOOKUP(DEF[[#This Row],[CEDULA]],NCH!$B$7:$AU$229,28,0),"")</f>
        <v/>
      </c>
      <c r="I38" s="186" t="str">
        <f>IFERROR(VLOOKUP(DEF[[#This Row],[CEDULA]],NCH!$B$7:$AU$229,34,0),"")</f>
        <v/>
      </c>
      <c r="J38" s="186" t="str">
        <f>IFERROR(VLOOKUP(DEF[[#This Row],[CEDULA]],NCH!$B$7:$AU$229,40,0),"")</f>
        <v/>
      </c>
      <c r="K38" s="186" t="str">
        <f>IFERROR(VLOOKUP(DEF[[#This Row],[CEDULA]],NCH!$B$7:$AU$229,46,0),"")</f>
        <v/>
      </c>
      <c r="L38" s="186" t="str">
        <f>IFERROR(VLOOKUP(DEF[CEDULA],METAS[],13,0),"")</f>
        <v/>
      </c>
      <c r="M38" s="187">
        <f>SUM(DEF[[#This Row],[L]:[V]])</f>
        <v>0</v>
      </c>
      <c r="N38" s="188">
        <f>SUM(DEF[[#This Row],[S]:[D]])</f>
        <v>0</v>
      </c>
      <c r="O38" s="188">
        <f>DEF[[#This Row],[TOTAL METAS L-V]]+DEF[[#This Row],[TOTAL METAS S-D-F]]</f>
        <v>0</v>
      </c>
      <c r="P38" s="188" t="e">
        <f>VLOOKUP(DEF[[#This Row],[CEDULA]],METAS[],17,0)</f>
        <v>#N/A</v>
      </c>
      <c r="Q3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38" s="190">
        <f>VLOOKUP(DEF[[#This Row],[CEDULA]],DATOS[],9,0)</f>
        <v>0</v>
      </c>
    </row>
    <row r="39" spans="1:18" hidden="1" x14ac:dyDescent="0.25">
      <c r="A39" s="183">
        <v>6448274</v>
      </c>
      <c r="B39" s="184" t="str">
        <f>IFERROR(IF(DEF[[#This Row],[OTRO PAGO]]=0,VLOOKUP(DEF[[#This Row],[CEDULA]],DATOS[],2,0),""),"")</f>
        <v>RANGEL LILIA</v>
      </c>
      <c r="C39" s="184" t="str">
        <f>IFERROR(VLOOKUP(DEF[[#This Row],[CEDULA]],DATOS[],5,0),"")</f>
        <v>OBRERO</v>
      </c>
      <c r="D39" s="185" t="s">
        <v>819</v>
      </c>
      <c r="E39" s="186" t="str">
        <f>IFERROR(VLOOKUP(DEF[[#This Row],[CEDULA]],NCH!$B$7:$AU$229,10,0),"")</f>
        <v/>
      </c>
      <c r="F39" s="186" t="str">
        <f>IFERROR(VLOOKUP(DEF[[#This Row],[CEDULA]],NCH!$B$7:$AU$229,16,0),"")</f>
        <v/>
      </c>
      <c r="G39" s="186" t="str">
        <f>IFERROR(VLOOKUP(DEF[[#This Row],[CEDULA]],NCH!$B$7:$AU$229,22,0),"")</f>
        <v/>
      </c>
      <c r="H39" s="186" t="str">
        <f>IFERROR(VLOOKUP(DEF[[#This Row],[CEDULA]],NCH!$B$7:$AU$229,28,0),"")</f>
        <v/>
      </c>
      <c r="I39" s="186" t="str">
        <f>IFERROR(VLOOKUP(DEF[[#This Row],[CEDULA]],NCH!$B$7:$AU$229,34,0),"")</f>
        <v/>
      </c>
      <c r="J39" s="186" t="str">
        <f>IFERROR(VLOOKUP(DEF[[#This Row],[CEDULA]],NCH!$B$7:$AU$229,40,0),"")</f>
        <v/>
      </c>
      <c r="K39" s="186" t="str">
        <f>IFERROR(VLOOKUP(DEF[[#This Row],[CEDULA]],NCH!$B$7:$AU$229,46,0),"")</f>
        <v/>
      </c>
      <c r="L39" s="186" t="str">
        <f>IFERROR(VLOOKUP(DEF[CEDULA],METAS[],13,0),"")</f>
        <v/>
      </c>
      <c r="M39" s="187">
        <f>SUM(DEF[[#This Row],[L]:[V]])</f>
        <v>0</v>
      </c>
      <c r="N39" s="188">
        <f>SUM(DEF[[#This Row],[S]:[D]])</f>
        <v>0</v>
      </c>
      <c r="O39" s="188">
        <f>DEF[[#This Row],[TOTAL METAS L-V]]+DEF[[#This Row],[TOTAL METAS S-D-F]]</f>
        <v>0</v>
      </c>
      <c r="P39" s="188" t="e">
        <f>VLOOKUP(DEF[[#This Row],[CEDULA]],METAS[],17,0)</f>
        <v>#N/A</v>
      </c>
      <c r="Q3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39" s="190">
        <f>VLOOKUP(DEF[[#This Row],[CEDULA]],DATOS[],9,0)</f>
        <v>0</v>
      </c>
    </row>
    <row r="40" spans="1:18" hidden="1" x14ac:dyDescent="0.25">
      <c r="A40" s="183">
        <v>7948797</v>
      </c>
      <c r="B40" s="184" t="str">
        <f>IFERROR(IF(DEF[[#This Row],[OTRO PAGO]]=0,VLOOKUP(DEF[[#This Row],[CEDULA]],DATOS[],2,0),""),"")</f>
        <v>OLIVARES MARIA</v>
      </c>
      <c r="C40" s="184" t="str">
        <f>IFERROR(VLOOKUP(DEF[[#This Row],[CEDULA]],DATOS[],5,0),"")</f>
        <v>OBRERO</v>
      </c>
      <c r="D40" s="185" t="s">
        <v>819</v>
      </c>
      <c r="E40" s="186" t="str">
        <f>IFERROR(VLOOKUP(DEF[[#This Row],[CEDULA]],NCH!$B$7:$AU$229,10,0),"")</f>
        <v>No realizo Metas</v>
      </c>
      <c r="F40" s="186" t="str">
        <f>IFERROR(VLOOKUP(DEF[[#This Row],[CEDULA]],NCH!$B$7:$AU$229,16,0),"")</f>
        <v>No realizo Metas</v>
      </c>
      <c r="G40" s="186" t="str">
        <f>IFERROR(VLOOKUP(DEF[[#This Row],[CEDULA]],NCH!$B$7:$AU$229,22,0),"")</f>
        <v>No cumple H</v>
      </c>
      <c r="H40" s="186" t="str">
        <f>IFERROR(VLOOKUP(DEF[[#This Row],[CEDULA]],NCH!$B$7:$AU$229,28,0),"")</f>
        <v>No cumple H</v>
      </c>
      <c r="I40" s="186" t="str">
        <f>IFERROR(VLOOKUP(DEF[[#This Row],[CEDULA]],NCH!$B$7:$AU$229,34,0),"")</f>
        <v>No cumple H</v>
      </c>
      <c r="J40" s="186" t="str">
        <f>IFERROR(VLOOKUP(DEF[[#This Row],[CEDULA]],NCH!$B$7:$AU$229,40,0),"")</f>
        <v>No cumple H</v>
      </c>
      <c r="K40" s="186" t="str">
        <f>IFERROR(VLOOKUP(DEF[[#This Row],[CEDULA]],NCH!$B$7:$AU$229,46,0),"")</f>
        <v>No cumple H</v>
      </c>
      <c r="L40" s="186">
        <f>IFERROR(VLOOKUP(DEF[CEDULA],METAS[],13,0),"")</f>
        <v>0</v>
      </c>
      <c r="M40" s="187">
        <f>SUM(DEF[[#This Row],[L]:[V]])</f>
        <v>0</v>
      </c>
      <c r="N40" s="188">
        <f>SUM(DEF[[#This Row],[S]:[D]])</f>
        <v>0</v>
      </c>
      <c r="O40" s="188">
        <f>DEF[[#This Row],[TOTAL METAS L-V]]+DEF[[#This Row],[TOTAL METAS S-D-F]]</f>
        <v>0</v>
      </c>
      <c r="P40" s="188">
        <f>VLOOKUP(DEF[[#This Row],[CEDULA]],METAS[],17,0)</f>
        <v>0</v>
      </c>
      <c r="Q4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40" s="190">
        <f>VLOOKUP(DEF[[#This Row],[CEDULA]],DATOS[],9,0)</f>
        <v>0</v>
      </c>
    </row>
    <row r="41" spans="1:18" hidden="1" x14ac:dyDescent="0.25">
      <c r="A41" s="183">
        <v>3759325</v>
      </c>
      <c r="B41" s="184" t="str">
        <f>IFERROR(IF(DEF[[#This Row],[OTRO PAGO]]=0,VLOOKUP(DEF[[#This Row],[CEDULA]],DATOS[],2,0),""),"")</f>
        <v>LINARES JOSE</v>
      </c>
      <c r="C41" s="184" t="str">
        <f>IFERROR(VLOOKUP(DEF[[#This Row],[CEDULA]],DATOS[],5,0),"")</f>
        <v>OBRERO</v>
      </c>
      <c r="D41" s="185" t="s">
        <v>819</v>
      </c>
      <c r="E41" s="186" t="str">
        <f>IFERROR(VLOOKUP(DEF[[#This Row],[CEDULA]],NCH!$B$7:$AU$229,10,0),"")</f>
        <v>No realizo Metas</v>
      </c>
      <c r="F41" s="186" t="str">
        <f>IFERROR(VLOOKUP(DEF[[#This Row],[CEDULA]],NCH!$B$7:$AU$229,16,0),"")</f>
        <v>No realizo Metas</v>
      </c>
      <c r="G41" s="186" t="str">
        <f>IFERROR(VLOOKUP(DEF[[#This Row],[CEDULA]],NCH!$B$7:$AU$229,22,0),"")</f>
        <v>No cumple H</v>
      </c>
      <c r="H41" s="186" t="str">
        <f>IFERROR(VLOOKUP(DEF[[#This Row],[CEDULA]],NCH!$B$7:$AU$229,28,0),"")</f>
        <v>No cumple H</v>
      </c>
      <c r="I41" s="186" t="str">
        <f>IFERROR(VLOOKUP(DEF[[#This Row],[CEDULA]],NCH!$B$7:$AU$229,34,0),"")</f>
        <v>No cumple H</v>
      </c>
      <c r="J41" s="186" t="str">
        <f>IFERROR(VLOOKUP(DEF[[#This Row],[CEDULA]],NCH!$B$7:$AU$229,40,0),"")</f>
        <v>No cumple H</v>
      </c>
      <c r="K41" s="186" t="str">
        <f>IFERROR(VLOOKUP(DEF[[#This Row],[CEDULA]],NCH!$B$7:$AU$229,46,0),"")</f>
        <v>No cumple H</v>
      </c>
      <c r="L41" s="186">
        <f>IFERROR(VLOOKUP(DEF[CEDULA],METAS[],13,0),"")</f>
        <v>0</v>
      </c>
      <c r="M41" s="187">
        <f>SUM(DEF[[#This Row],[L]:[V]])</f>
        <v>0</v>
      </c>
      <c r="N41" s="188">
        <f>SUM(DEF[[#This Row],[S]:[D]])</f>
        <v>0</v>
      </c>
      <c r="O41" s="188">
        <f>DEF[[#This Row],[TOTAL METAS L-V]]+DEF[[#This Row],[TOTAL METAS S-D-F]]</f>
        <v>0</v>
      </c>
      <c r="P41" s="188">
        <f>VLOOKUP(DEF[[#This Row],[CEDULA]],METAS[],17,0)</f>
        <v>0</v>
      </c>
      <c r="Q4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41" s="190">
        <f>VLOOKUP(DEF[[#This Row],[CEDULA]],DATOS[],9,0)</f>
        <v>0</v>
      </c>
    </row>
    <row r="42" spans="1:18" hidden="1" x14ac:dyDescent="0.25">
      <c r="A42" s="183">
        <v>13374879</v>
      </c>
      <c r="B42" s="184" t="str">
        <f>IFERROR(IF(DEF[[#This Row],[OTRO PAGO]]=0,VLOOKUP(DEF[[#This Row],[CEDULA]],DATOS[],2,0),""),"")</f>
        <v>PORRAS CIRO</v>
      </c>
      <c r="C42" s="184" t="str">
        <f>IFERROR(VLOOKUP(DEF[[#This Row],[CEDULA]],DATOS[],5,0),"")</f>
        <v>OBRERO</v>
      </c>
      <c r="D42" s="185" t="s">
        <v>819</v>
      </c>
      <c r="E42" s="186" t="str">
        <f>IFERROR(VLOOKUP(DEF[[#This Row],[CEDULA]],NCH!$B$7:$AU$229,10,0),"")</f>
        <v/>
      </c>
      <c r="F42" s="186" t="str">
        <f>IFERROR(VLOOKUP(DEF[[#This Row],[CEDULA]],NCH!$B$7:$AU$229,16,0),"")</f>
        <v/>
      </c>
      <c r="G42" s="186" t="str">
        <f>IFERROR(VLOOKUP(DEF[[#This Row],[CEDULA]],NCH!$B$7:$AU$229,22,0),"")</f>
        <v/>
      </c>
      <c r="H42" s="186" t="str">
        <f>IFERROR(VLOOKUP(DEF[[#This Row],[CEDULA]],NCH!$B$7:$AU$229,28,0),"")</f>
        <v/>
      </c>
      <c r="I42" s="186" t="str">
        <f>IFERROR(VLOOKUP(DEF[[#This Row],[CEDULA]],NCH!$B$7:$AU$229,34,0),"")</f>
        <v/>
      </c>
      <c r="J42" s="186" t="str">
        <f>IFERROR(VLOOKUP(DEF[[#This Row],[CEDULA]],NCH!$B$7:$AU$229,40,0),"")</f>
        <v/>
      </c>
      <c r="K42" s="186" t="str">
        <f>IFERROR(VLOOKUP(DEF[[#This Row],[CEDULA]],NCH!$B$7:$AU$229,46,0),"")</f>
        <v/>
      </c>
      <c r="L42" s="186" t="str">
        <f>IFERROR(VLOOKUP(DEF[CEDULA],METAS[],13,0),"")</f>
        <v/>
      </c>
      <c r="M42" s="187">
        <f>SUM(DEF[[#This Row],[L]:[V]])</f>
        <v>0</v>
      </c>
      <c r="N42" s="188">
        <f>SUM(DEF[[#This Row],[S]:[D]])</f>
        <v>0</v>
      </c>
      <c r="O42" s="188">
        <f>DEF[[#This Row],[TOTAL METAS L-V]]+DEF[[#This Row],[TOTAL METAS S-D-F]]</f>
        <v>0</v>
      </c>
      <c r="P42" s="188" t="e">
        <f>VLOOKUP(DEF[[#This Row],[CEDULA]],METAS[],17,0)</f>
        <v>#N/A</v>
      </c>
      <c r="Q4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42" s="190">
        <f>VLOOKUP(DEF[[#This Row],[CEDULA]],DATOS[],9,0)</f>
        <v>0</v>
      </c>
    </row>
    <row r="43" spans="1:18" hidden="1" x14ac:dyDescent="0.25">
      <c r="A43" s="183">
        <v>8050347</v>
      </c>
      <c r="B43" s="184" t="str">
        <f>IFERROR(IF(DEF[[#This Row],[OTRO PAGO]]=0,VLOOKUP(DEF[[#This Row],[CEDULA]],DATOS[],2,0),""),"")</f>
        <v>GUEDEZ ELITA</v>
      </c>
      <c r="C43" s="184" t="str">
        <f>IFERROR(VLOOKUP(DEF[[#This Row],[CEDULA]],DATOS[],5,0),"")</f>
        <v>OBRERO</v>
      </c>
      <c r="D43" s="185" t="s">
        <v>819</v>
      </c>
      <c r="E43" s="186" t="str">
        <f>IFERROR(VLOOKUP(DEF[[#This Row],[CEDULA]],NCH!$B$7:$AU$229,10,0),"")</f>
        <v/>
      </c>
      <c r="F43" s="186" t="str">
        <f>IFERROR(VLOOKUP(DEF[[#This Row],[CEDULA]],NCH!$B$7:$AU$229,16,0),"")</f>
        <v/>
      </c>
      <c r="G43" s="186" t="str">
        <f>IFERROR(VLOOKUP(DEF[[#This Row],[CEDULA]],NCH!$B$7:$AU$229,22,0),"")</f>
        <v/>
      </c>
      <c r="H43" s="186" t="str">
        <f>IFERROR(VLOOKUP(DEF[[#This Row],[CEDULA]],NCH!$B$7:$AU$229,28,0),"")</f>
        <v/>
      </c>
      <c r="I43" s="186" t="str">
        <f>IFERROR(VLOOKUP(DEF[[#This Row],[CEDULA]],NCH!$B$7:$AU$229,34,0),"")</f>
        <v/>
      </c>
      <c r="J43" s="186" t="str">
        <f>IFERROR(VLOOKUP(DEF[[#This Row],[CEDULA]],NCH!$B$7:$AU$229,40,0),"")</f>
        <v/>
      </c>
      <c r="K43" s="186" t="str">
        <f>IFERROR(VLOOKUP(DEF[[#This Row],[CEDULA]],NCH!$B$7:$AU$229,46,0),"")</f>
        <v/>
      </c>
      <c r="L43" s="186" t="str">
        <f>IFERROR(VLOOKUP(DEF[CEDULA],METAS[],13,0),"")</f>
        <v/>
      </c>
      <c r="M43" s="187">
        <f>SUM(DEF[[#This Row],[L]:[V]])</f>
        <v>0</v>
      </c>
      <c r="N43" s="188">
        <f>SUM(DEF[[#This Row],[S]:[D]])</f>
        <v>0</v>
      </c>
      <c r="O43" s="188">
        <f>DEF[[#This Row],[TOTAL METAS L-V]]+DEF[[#This Row],[TOTAL METAS S-D-F]]</f>
        <v>0</v>
      </c>
      <c r="P43" s="188" t="e">
        <f>VLOOKUP(DEF[[#This Row],[CEDULA]],METAS[],17,0)</f>
        <v>#N/A</v>
      </c>
      <c r="Q4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43" s="190">
        <f>VLOOKUP(DEF[[#This Row],[CEDULA]],DATOS[],9,0)</f>
        <v>0</v>
      </c>
    </row>
    <row r="44" spans="1:18" hidden="1" x14ac:dyDescent="0.25">
      <c r="A44" s="183">
        <v>11704074</v>
      </c>
      <c r="B44" s="184" t="str">
        <f>IFERROR(IF(DEF[[#This Row],[OTRO PAGO]]=0,VLOOKUP(DEF[[#This Row],[CEDULA]],DATOS[],2,0),""),"")</f>
        <v/>
      </c>
      <c r="C44" s="184" t="str">
        <f>IFERROR(VLOOKUP(DEF[[#This Row],[CEDULA]],DATOS[],5,0),"")</f>
        <v/>
      </c>
      <c r="D44" s="185" t="s">
        <v>819</v>
      </c>
      <c r="E44" s="186" t="str">
        <f>IFERROR(VLOOKUP(DEF[[#This Row],[CEDULA]],NCH!$B$7:$AU$229,10,0),"")</f>
        <v/>
      </c>
      <c r="F44" s="186" t="str">
        <f>IFERROR(VLOOKUP(DEF[[#This Row],[CEDULA]],NCH!$B$7:$AU$229,16,0),"")</f>
        <v/>
      </c>
      <c r="G44" s="186" t="str">
        <f>IFERROR(VLOOKUP(DEF[[#This Row],[CEDULA]],NCH!$B$7:$AU$229,22,0),"")</f>
        <v/>
      </c>
      <c r="H44" s="186" t="str">
        <f>IFERROR(VLOOKUP(DEF[[#This Row],[CEDULA]],NCH!$B$7:$AU$229,28,0),"")</f>
        <v/>
      </c>
      <c r="I44" s="186" t="str">
        <f>IFERROR(VLOOKUP(DEF[[#This Row],[CEDULA]],NCH!$B$7:$AU$229,34,0),"")</f>
        <v/>
      </c>
      <c r="J44" s="186" t="str">
        <f>IFERROR(VLOOKUP(DEF[[#This Row],[CEDULA]],NCH!$B$7:$AU$229,40,0),"")</f>
        <v/>
      </c>
      <c r="K44" s="186" t="str">
        <f>IFERROR(VLOOKUP(DEF[[#This Row],[CEDULA]],NCH!$B$7:$AU$229,46,0),"")</f>
        <v/>
      </c>
      <c r="L44" s="186" t="str">
        <f>IFERROR(VLOOKUP(DEF[CEDULA],METAS[],13,0),"")</f>
        <v/>
      </c>
      <c r="M44" s="187">
        <f>SUM(DEF[[#This Row],[L]:[V]])</f>
        <v>0</v>
      </c>
      <c r="N44" s="188">
        <f>SUM(DEF[[#This Row],[S]:[D]])</f>
        <v>0</v>
      </c>
      <c r="O44" s="188">
        <f>DEF[[#This Row],[TOTAL METAS L-V]]+DEF[[#This Row],[TOTAL METAS S-D-F]]</f>
        <v>0</v>
      </c>
      <c r="P44" s="188" t="e">
        <f>VLOOKUP(DEF[[#This Row],[CEDULA]],METAS[],17,0)</f>
        <v>#N/A</v>
      </c>
      <c r="Q4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44" s="190" t="e">
        <f>VLOOKUP(DEF[[#This Row],[CEDULA]],DATOS[],9,0)</f>
        <v>#N/A</v>
      </c>
    </row>
    <row r="45" spans="1:18" hidden="1" x14ac:dyDescent="0.25">
      <c r="A45" s="183">
        <v>11413554</v>
      </c>
      <c r="B45" s="184" t="str">
        <f>IFERROR(IF(DEF[[#This Row],[OTRO PAGO]]=0,VLOOKUP(DEF[[#This Row],[CEDULA]],DATOS[],2,0),""),"")</f>
        <v>ORTIZ NEREIDA</v>
      </c>
      <c r="C45" s="184" t="str">
        <f>IFERROR(VLOOKUP(DEF[[#This Row],[CEDULA]],DATOS[],5,0),"")</f>
        <v>OBRERO</v>
      </c>
      <c r="D45" s="185" t="s">
        <v>819</v>
      </c>
      <c r="E45" s="186" t="str">
        <f>IFERROR(VLOOKUP(DEF[[#This Row],[CEDULA]],NCH!$B$7:$AU$229,10,0),"")</f>
        <v/>
      </c>
      <c r="F45" s="186" t="str">
        <f>IFERROR(VLOOKUP(DEF[[#This Row],[CEDULA]],NCH!$B$7:$AU$229,16,0),"")</f>
        <v/>
      </c>
      <c r="G45" s="186" t="str">
        <f>IFERROR(VLOOKUP(DEF[[#This Row],[CEDULA]],NCH!$B$7:$AU$229,22,0),"")</f>
        <v/>
      </c>
      <c r="H45" s="186" t="str">
        <f>IFERROR(VLOOKUP(DEF[[#This Row],[CEDULA]],NCH!$B$7:$AU$229,28,0),"")</f>
        <v/>
      </c>
      <c r="I45" s="186" t="str">
        <f>IFERROR(VLOOKUP(DEF[[#This Row],[CEDULA]],NCH!$B$7:$AU$229,34,0),"")</f>
        <v/>
      </c>
      <c r="J45" s="186" t="str">
        <f>IFERROR(VLOOKUP(DEF[[#This Row],[CEDULA]],NCH!$B$7:$AU$229,40,0),"")</f>
        <v/>
      </c>
      <c r="K45" s="186" t="str">
        <f>IFERROR(VLOOKUP(DEF[[#This Row],[CEDULA]],NCH!$B$7:$AU$229,46,0),"")</f>
        <v/>
      </c>
      <c r="L45" s="186" t="str">
        <f>IFERROR(VLOOKUP(DEF[CEDULA],METAS[],13,0),"")</f>
        <v/>
      </c>
      <c r="M45" s="187">
        <f>SUM(DEF[[#This Row],[L]:[V]])</f>
        <v>0</v>
      </c>
      <c r="N45" s="188">
        <f>SUM(DEF[[#This Row],[S]:[D]])</f>
        <v>0</v>
      </c>
      <c r="O45" s="188">
        <f>DEF[[#This Row],[TOTAL METAS L-V]]+DEF[[#This Row],[TOTAL METAS S-D-F]]</f>
        <v>0</v>
      </c>
      <c r="P45" s="188" t="e">
        <f>VLOOKUP(DEF[[#This Row],[CEDULA]],METAS[],17,0)</f>
        <v>#N/A</v>
      </c>
      <c r="Q4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45" s="190">
        <f>VLOOKUP(DEF[[#This Row],[CEDULA]],DATOS[],9,0)</f>
        <v>0</v>
      </c>
    </row>
    <row r="46" spans="1:18" hidden="1" x14ac:dyDescent="0.25">
      <c r="A46" s="183">
        <v>12287719</v>
      </c>
      <c r="B46" s="184" t="str">
        <f>IFERROR(IF(DEF[[#This Row],[OTRO PAGO]]=0,VLOOKUP(DEF[[#This Row],[CEDULA]],DATOS[],2,0),""),"")</f>
        <v>GOMEZ DAISY</v>
      </c>
      <c r="C46" s="184" t="str">
        <f>IFERROR(VLOOKUP(DEF[[#This Row],[CEDULA]],DATOS[],5,0),"")</f>
        <v>OBRERO</v>
      </c>
      <c r="D46" s="185" t="s">
        <v>819</v>
      </c>
      <c r="E46" s="186" t="str">
        <f>IFERROR(VLOOKUP(DEF[[#This Row],[CEDULA]],NCH!$B$7:$AU$229,10,0),"")</f>
        <v>No realizo Metas</v>
      </c>
      <c r="F46" s="186" t="str">
        <f>IFERROR(VLOOKUP(DEF[[#This Row],[CEDULA]],NCH!$B$7:$AU$229,16,0),"")</f>
        <v>No realizo Metas</v>
      </c>
      <c r="G46" s="186" t="str">
        <f>IFERROR(VLOOKUP(DEF[[#This Row],[CEDULA]],NCH!$B$7:$AU$229,22,0),"")</f>
        <v>No cumple H</v>
      </c>
      <c r="H46" s="186" t="str">
        <f>IFERROR(VLOOKUP(DEF[[#This Row],[CEDULA]],NCH!$B$7:$AU$229,28,0),"")</f>
        <v>No cumple H</v>
      </c>
      <c r="I46" s="186" t="str">
        <f>IFERROR(VLOOKUP(DEF[[#This Row],[CEDULA]],NCH!$B$7:$AU$229,34,0),"")</f>
        <v>No cumple H</v>
      </c>
      <c r="J46" s="186" t="str">
        <f>IFERROR(VLOOKUP(DEF[[#This Row],[CEDULA]],NCH!$B$7:$AU$229,40,0),"")</f>
        <v>No cumple H</v>
      </c>
      <c r="K46" s="186" t="str">
        <f>IFERROR(VLOOKUP(DEF[[#This Row],[CEDULA]],NCH!$B$7:$AU$229,46,0),"")</f>
        <v>No cumple H</v>
      </c>
      <c r="L46" s="186">
        <f>IFERROR(VLOOKUP(DEF[CEDULA],METAS[],13,0),"")</f>
        <v>0</v>
      </c>
      <c r="M46" s="187">
        <f>SUM(DEF[[#This Row],[L]:[V]])</f>
        <v>0</v>
      </c>
      <c r="N46" s="188">
        <f>SUM(DEF[[#This Row],[S]:[D]])</f>
        <v>0</v>
      </c>
      <c r="O46" s="188">
        <f>DEF[[#This Row],[TOTAL METAS L-V]]+DEF[[#This Row],[TOTAL METAS S-D-F]]</f>
        <v>0</v>
      </c>
      <c r="P46" s="188">
        <f>VLOOKUP(DEF[[#This Row],[CEDULA]],METAS[],17,0)</f>
        <v>0</v>
      </c>
      <c r="Q4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46" s="190">
        <f>VLOOKUP(DEF[[#This Row],[CEDULA]],DATOS[],9,0)</f>
        <v>0</v>
      </c>
    </row>
    <row r="47" spans="1:18" hidden="1" x14ac:dyDescent="0.25">
      <c r="A47" s="183">
        <v>19821716</v>
      </c>
      <c r="B47" s="184" t="str">
        <f>IFERROR(IF(DEF[[#This Row],[OTRO PAGO]]=0,VLOOKUP(DEF[[#This Row],[CEDULA]],DATOS[],2,0),""),"")</f>
        <v/>
      </c>
      <c r="C47" s="184" t="str">
        <f>IFERROR(VLOOKUP(DEF[[#This Row],[CEDULA]],DATOS[],5,0),"")</f>
        <v/>
      </c>
      <c r="D47" s="185" t="s">
        <v>819</v>
      </c>
      <c r="E47" s="186" t="str">
        <f>IFERROR(VLOOKUP(DEF[[#This Row],[CEDULA]],NCH!$B$7:$AU$229,10,0),"")</f>
        <v/>
      </c>
      <c r="F47" s="186" t="str">
        <f>IFERROR(VLOOKUP(DEF[[#This Row],[CEDULA]],NCH!$B$7:$AU$229,16,0),"")</f>
        <v/>
      </c>
      <c r="G47" s="186" t="str">
        <f>IFERROR(VLOOKUP(DEF[[#This Row],[CEDULA]],NCH!$B$7:$AU$229,22,0),"")</f>
        <v/>
      </c>
      <c r="H47" s="186" t="str">
        <f>IFERROR(VLOOKUP(DEF[[#This Row],[CEDULA]],NCH!$B$7:$AU$229,28,0),"")</f>
        <v/>
      </c>
      <c r="I47" s="186" t="str">
        <f>IFERROR(VLOOKUP(DEF[[#This Row],[CEDULA]],NCH!$B$7:$AU$229,34,0),"")</f>
        <v/>
      </c>
      <c r="J47" s="186" t="str">
        <f>IFERROR(VLOOKUP(DEF[[#This Row],[CEDULA]],NCH!$B$7:$AU$229,40,0),"")</f>
        <v/>
      </c>
      <c r="K47" s="186" t="str">
        <f>IFERROR(VLOOKUP(DEF[[#This Row],[CEDULA]],NCH!$B$7:$AU$229,46,0),"")</f>
        <v/>
      </c>
      <c r="L47" s="186" t="str">
        <f>IFERROR(VLOOKUP(DEF[CEDULA],METAS[],13,0),"")</f>
        <v/>
      </c>
      <c r="M47" s="187">
        <f>SUM(DEF[[#This Row],[L]:[V]])</f>
        <v>0</v>
      </c>
      <c r="N47" s="188">
        <f>SUM(DEF[[#This Row],[S]:[D]])</f>
        <v>0</v>
      </c>
      <c r="O47" s="188">
        <f>DEF[[#This Row],[TOTAL METAS L-V]]+DEF[[#This Row],[TOTAL METAS S-D-F]]</f>
        <v>0</v>
      </c>
      <c r="P47" s="188" t="e">
        <f>VLOOKUP(DEF[[#This Row],[CEDULA]],METAS[],17,0)</f>
        <v>#N/A</v>
      </c>
      <c r="Q4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47" s="190" t="e">
        <f>VLOOKUP(DEF[[#This Row],[CEDULA]],DATOS[],9,0)</f>
        <v>#N/A</v>
      </c>
    </row>
    <row r="48" spans="1:18" hidden="1" x14ac:dyDescent="0.25">
      <c r="A48" s="183">
        <v>18760583</v>
      </c>
      <c r="B48" s="184" t="str">
        <f>IFERROR(IF(DEF[[#This Row],[OTRO PAGO]]=0,VLOOKUP(DEF[[#This Row],[CEDULA]],DATOS[],2,0),""),"")</f>
        <v>RONDON ANDREA</v>
      </c>
      <c r="C48" s="184" t="str">
        <f>IFERROR(VLOOKUP(DEF[[#This Row],[CEDULA]],DATOS[],5,0),"")</f>
        <v>OBRERO</v>
      </c>
      <c r="D48" s="185" t="s">
        <v>819</v>
      </c>
      <c r="E48" s="186" t="str">
        <f>IFERROR(VLOOKUP(DEF[[#This Row],[CEDULA]],NCH!$B$7:$AU$229,10,0),"")</f>
        <v/>
      </c>
      <c r="F48" s="186" t="str">
        <f>IFERROR(VLOOKUP(DEF[[#This Row],[CEDULA]],NCH!$B$7:$AU$229,16,0),"")</f>
        <v/>
      </c>
      <c r="G48" s="186" t="str">
        <f>IFERROR(VLOOKUP(DEF[[#This Row],[CEDULA]],NCH!$B$7:$AU$229,22,0),"")</f>
        <v/>
      </c>
      <c r="H48" s="186" t="str">
        <f>IFERROR(VLOOKUP(DEF[[#This Row],[CEDULA]],NCH!$B$7:$AU$229,28,0),"")</f>
        <v/>
      </c>
      <c r="I48" s="186" t="str">
        <f>IFERROR(VLOOKUP(DEF[[#This Row],[CEDULA]],NCH!$B$7:$AU$229,34,0),"")</f>
        <v/>
      </c>
      <c r="J48" s="186" t="str">
        <f>IFERROR(VLOOKUP(DEF[[#This Row],[CEDULA]],NCH!$B$7:$AU$229,40,0),"")</f>
        <v/>
      </c>
      <c r="K48" s="186" t="str">
        <f>IFERROR(VLOOKUP(DEF[[#This Row],[CEDULA]],NCH!$B$7:$AU$229,46,0),"")</f>
        <v/>
      </c>
      <c r="L48" s="186" t="str">
        <f>IFERROR(VLOOKUP(DEF[CEDULA],METAS[],13,0),"")</f>
        <v/>
      </c>
      <c r="M48" s="187">
        <f>SUM(DEF[[#This Row],[L]:[V]])</f>
        <v>0</v>
      </c>
      <c r="N48" s="188">
        <f>SUM(DEF[[#This Row],[S]:[D]])</f>
        <v>0</v>
      </c>
      <c r="O48" s="188">
        <f>DEF[[#This Row],[TOTAL METAS L-V]]+DEF[[#This Row],[TOTAL METAS S-D-F]]</f>
        <v>0</v>
      </c>
      <c r="P48" s="188" t="e">
        <f>VLOOKUP(DEF[[#This Row],[CEDULA]],METAS[],17,0)</f>
        <v>#N/A</v>
      </c>
      <c r="Q4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48" s="190">
        <f>VLOOKUP(DEF[[#This Row],[CEDULA]],DATOS[],9,0)</f>
        <v>0</v>
      </c>
    </row>
    <row r="49" spans="1:18" hidden="1" x14ac:dyDescent="0.25">
      <c r="A49" s="183">
        <v>19349783</v>
      </c>
      <c r="B49" s="184" t="str">
        <f>IFERROR(IF(DEF[[#This Row],[OTRO PAGO]]=0,VLOOKUP(DEF[[#This Row],[CEDULA]],DATOS[],2,0),""),"")</f>
        <v>MILLAN ROSA</v>
      </c>
      <c r="C49" s="184" t="str">
        <f>IFERROR(VLOOKUP(DEF[[#This Row],[CEDULA]],DATOS[],5,0),"")</f>
        <v>OBRERO</v>
      </c>
      <c r="D49" s="185" t="s">
        <v>819</v>
      </c>
      <c r="E49" s="186" t="str">
        <f>IFERROR(VLOOKUP(DEF[[#This Row],[CEDULA]],NCH!$B$7:$AU$229,10,0),"")</f>
        <v/>
      </c>
      <c r="F49" s="186" t="str">
        <f>IFERROR(VLOOKUP(DEF[[#This Row],[CEDULA]],NCH!$B$7:$AU$229,16,0),"")</f>
        <v/>
      </c>
      <c r="G49" s="186" t="str">
        <f>IFERROR(VLOOKUP(DEF[[#This Row],[CEDULA]],NCH!$B$7:$AU$229,22,0),"")</f>
        <v/>
      </c>
      <c r="H49" s="186" t="str">
        <f>IFERROR(VLOOKUP(DEF[[#This Row],[CEDULA]],NCH!$B$7:$AU$229,28,0),"")</f>
        <v/>
      </c>
      <c r="I49" s="186" t="str">
        <f>IFERROR(VLOOKUP(DEF[[#This Row],[CEDULA]],NCH!$B$7:$AU$229,34,0),"")</f>
        <v/>
      </c>
      <c r="J49" s="186" t="str">
        <f>IFERROR(VLOOKUP(DEF[[#This Row],[CEDULA]],NCH!$B$7:$AU$229,40,0),"")</f>
        <v/>
      </c>
      <c r="K49" s="186" t="str">
        <f>IFERROR(VLOOKUP(DEF[[#This Row],[CEDULA]],NCH!$B$7:$AU$229,46,0),"")</f>
        <v/>
      </c>
      <c r="L49" s="186" t="str">
        <f>IFERROR(VLOOKUP(DEF[CEDULA],METAS[],13,0),"")</f>
        <v/>
      </c>
      <c r="M49" s="187">
        <f>SUM(DEF[[#This Row],[L]:[V]])</f>
        <v>0</v>
      </c>
      <c r="N49" s="188">
        <f>SUM(DEF[[#This Row],[S]:[D]])</f>
        <v>0</v>
      </c>
      <c r="O49" s="188">
        <f>DEF[[#This Row],[TOTAL METAS L-V]]+DEF[[#This Row],[TOTAL METAS S-D-F]]</f>
        <v>0</v>
      </c>
      <c r="P49" s="188" t="e">
        <f>VLOOKUP(DEF[[#This Row],[CEDULA]],METAS[],17,0)</f>
        <v>#N/A</v>
      </c>
      <c r="Q4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49" s="190">
        <f>VLOOKUP(DEF[[#This Row],[CEDULA]],DATOS[],9,0)</f>
        <v>0</v>
      </c>
    </row>
    <row r="50" spans="1:18" hidden="1" x14ac:dyDescent="0.25">
      <c r="A50" s="183">
        <v>13717013</v>
      </c>
      <c r="B50" s="184" t="str">
        <f>IFERROR(IF(DEF[[#This Row],[OTRO PAGO]]=0,VLOOKUP(DEF[[#This Row],[CEDULA]],DATOS[],2,0),""),"")</f>
        <v>AREVALO YASMIN</v>
      </c>
      <c r="C50" s="184" t="str">
        <f>IFERROR(VLOOKUP(DEF[[#This Row],[CEDULA]],DATOS[],5,0),"")</f>
        <v>SUPERVISORIO</v>
      </c>
      <c r="D50" s="185" t="s">
        <v>819</v>
      </c>
      <c r="E50" s="186" t="str">
        <f>IFERROR(VLOOKUP(DEF[[#This Row],[CEDULA]],NCH!$B$7:$AU$229,10,0),"")</f>
        <v>No realizo Metas</v>
      </c>
      <c r="F50" s="186" t="str">
        <f>IFERROR(VLOOKUP(DEF[[#This Row],[CEDULA]],NCH!$B$7:$AU$229,16,0),"")</f>
        <v>No realizo Metas</v>
      </c>
      <c r="G50" s="186" t="str">
        <f>IFERROR(VLOOKUP(DEF[[#This Row],[CEDULA]],NCH!$B$7:$AU$229,22,0),"")</f>
        <v>No cumple H</v>
      </c>
      <c r="H50" s="186" t="str">
        <f>IFERROR(VLOOKUP(DEF[[#This Row],[CEDULA]],NCH!$B$7:$AU$229,28,0),"")</f>
        <v>No cumple H</v>
      </c>
      <c r="I50" s="186" t="str">
        <f>IFERROR(VLOOKUP(DEF[[#This Row],[CEDULA]],NCH!$B$7:$AU$229,34,0),"")</f>
        <v>No cumple H</v>
      </c>
      <c r="J50" s="186" t="str">
        <f>IFERROR(VLOOKUP(DEF[[#This Row],[CEDULA]],NCH!$B$7:$AU$229,40,0),"")</f>
        <v>No cumple H</v>
      </c>
      <c r="K50" s="186" t="str">
        <f>IFERROR(VLOOKUP(DEF[[#This Row],[CEDULA]],NCH!$B$7:$AU$229,46,0),"")</f>
        <v>No cumple H</v>
      </c>
      <c r="L50" s="186">
        <f>IFERROR(VLOOKUP(DEF[CEDULA],METAS[],13,0),"")</f>
        <v>0</v>
      </c>
      <c r="M50" s="187">
        <f>SUM(DEF[[#This Row],[L]:[V]])</f>
        <v>0</v>
      </c>
      <c r="N50" s="188">
        <f>SUM(DEF[[#This Row],[S]:[D]])</f>
        <v>0</v>
      </c>
      <c r="O50" s="188">
        <f>DEF[[#This Row],[TOTAL METAS L-V]]+DEF[[#This Row],[TOTAL METAS S-D-F]]</f>
        <v>0</v>
      </c>
      <c r="P50" s="188">
        <f>VLOOKUP(DEF[[#This Row],[CEDULA]],METAS[],17,0)</f>
        <v>0</v>
      </c>
      <c r="Q5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50" s="190">
        <f>VLOOKUP(DEF[[#This Row],[CEDULA]],DATOS[],9,0)</f>
        <v>0</v>
      </c>
    </row>
    <row r="51" spans="1:18" hidden="1" x14ac:dyDescent="0.25">
      <c r="A51" s="183">
        <v>8040854</v>
      </c>
      <c r="B51" s="184" t="str">
        <f>IFERROR(IF(DEF[[#This Row],[OTRO PAGO]]=0,VLOOKUP(DEF[[#This Row],[CEDULA]],DATOS[],2,0),""),"")</f>
        <v>DIAZ MIRIAM</v>
      </c>
      <c r="C51" s="184" t="str">
        <f>IFERROR(VLOOKUP(DEF[[#This Row],[CEDULA]],DATOS[],5,0),"")</f>
        <v>OBRERO</v>
      </c>
      <c r="D51" s="185" t="s">
        <v>819</v>
      </c>
      <c r="E51" s="186" t="str">
        <f>IFERROR(VLOOKUP(DEF[[#This Row],[CEDULA]],NCH!$B$7:$AU$229,10,0),"")</f>
        <v/>
      </c>
      <c r="F51" s="186" t="str">
        <f>IFERROR(VLOOKUP(DEF[[#This Row],[CEDULA]],NCH!$B$7:$AU$229,16,0),"")</f>
        <v/>
      </c>
      <c r="G51" s="186" t="str">
        <f>IFERROR(VLOOKUP(DEF[[#This Row],[CEDULA]],NCH!$B$7:$AU$229,22,0),"")</f>
        <v/>
      </c>
      <c r="H51" s="186" t="str">
        <f>IFERROR(VLOOKUP(DEF[[#This Row],[CEDULA]],NCH!$B$7:$AU$229,28,0),"")</f>
        <v/>
      </c>
      <c r="I51" s="186" t="str">
        <f>IFERROR(VLOOKUP(DEF[[#This Row],[CEDULA]],NCH!$B$7:$AU$229,34,0),"")</f>
        <v/>
      </c>
      <c r="J51" s="186" t="str">
        <f>IFERROR(VLOOKUP(DEF[[#This Row],[CEDULA]],NCH!$B$7:$AU$229,40,0),"")</f>
        <v/>
      </c>
      <c r="K51" s="186" t="str">
        <f>IFERROR(VLOOKUP(DEF[[#This Row],[CEDULA]],NCH!$B$7:$AU$229,46,0),"")</f>
        <v/>
      </c>
      <c r="L51" s="186" t="str">
        <f>IFERROR(VLOOKUP(DEF[CEDULA],METAS[],13,0),"")</f>
        <v/>
      </c>
      <c r="M51" s="187">
        <f>SUM(DEF[[#This Row],[L]:[V]])</f>
        <v>0</v>
      </c>
      <c r="N51" s="188">
        <f>SUM(DEF[[#This Row],[S]:[D]])</f>
        <v>0</v>
      </c>
      <c r="O51" s="188">
        <f>DEF[[#This Row],[TOTAL METAS L-V]]+DEF[[#This Row],[TOTAL METAS S-D-F]]</f>
        <v>0</v>
      </c>
      <c r="P51" s="188" t="e">
        <f>VLOOKUP(DEF[[#This Row],[CEDULA]],METAS[],17,0)</f>
        <v>#N/A</v>
      </c>
      <c r="Q5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51" s="190">
        <f>VLOOKUP(DEF[[#This Row],[CEDULA]],DATOS[],9,0)</f>
        <v>0</v>
      </c>
    </row>
    <row r="52" spans="1:18" hidden="1" x14ac:dyDescent="0.25">
      <c r="A52" s="183">
        <v>13319654</v>
      </c>
      <c r="B52" s="184" t="str">
        <f>IFERROR(IF(DEF[[#This Row],[OTRO PAGO]]=0,VLOOKUP(DEF[[#This Row],[CEDULA]],DATOS[],2,0),""),"")</f>
        <v>MONJES YESICA</v>
      </c>
      <c r="C52" s="184" t="str">
        <f>IFERROR(VLOOKUP(DEF[[#This Row],[CEDULA]],DATOS[],5,0),"")</f>
        <v>OBRERO</v>
      </c>
      <c r="D52" s="185" t="s">
        <v>819</v>
      </c>
      <c r="E52" s="186" t="str">
        <f>IFERROR(VLOOKUP(DEF[[#This Row],[CEDULA]],NCH!$B$7:$AU$229,10,0),"")</f>
        <v/>
      </c>
      <c r="F52" s="186" t="str">
        <f>IFERROR(VLOOKUP(DEF[[#This Row],[CEDULA]],NCH!$B$7:$AU$229,16,0),"")</f>
        <v/>
      </c>
      <c r="G52" s="186" t="str">
        <f>IFERROR(VLOOKUP(DEF[[#This Row],[CEDULA]],NCH!$B$7:$AU$229,22,0),"")</f>
        <v/>
      </c>
      <c r="H52" s="186" t="str">
        <f>IFERROR(VLOOKUP(DEF[[#This Row],[CEDULA]],NCH!$B$7:$AU$229,28,0),"")</f>
        <v/>
      </c>
      <c r="I52" s="186" t="str">
        <f>IFERROR(VLOOKUP(DEF[[#This Row],[CEDULA]],NCH!$B$7:$AU$229,34,0),"")</f>
        <v/>
      </c>
      <c r="J52" s="186" t="str">
        <f>IFERROR(VLOOKUP(DEF[[#This Row],[CEDULA]],NCH!$B$7:$AU$229,40,0),"")</f>
        <v/>
      </c>
      <c r="K52" s="186" t="str">
        <f>IFERROR(VLOOKUP(DEF[[#This Row],[CEDULA]],NCH!$B$7:$AU$229,46,0),"")</f>
        <v/>
      </c>
      <c r="L52" s="186" t="str">
        <f>IFERROR(VLOOKUP(DEF[CEDULA],METAS[],13,0),"")</f>
        <v/>
      </c>
      <c r="M52" s="187">
        <f>SUM(DEF[[#This Row],[L]:[V]])</f>
        <v>0</v>
      </c>
      <c r="N52" s="188">
        <f>SUM(DEF[[#This Row],[S]:[D]])</f>
        <v>0</v>
      </c>
      <c r="O52" s="188">
        <f>DEF[[#This Row],[TOTAL METAS L-V]]+DEF[[#This Row],[TOTAL METAS S-D-F]]</f>
        <v>0</v>
      </c>
      <c r="P52" s="188" t="e">
        <f>VLOOKUP(DEF[[#This Row],[CEDULA]],METAS[],17,0)</f>
        <v>#N/A</v>
      </c>
      <c r="Q5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52" s="190">
        <f>VLOOKUP(DEF[[#This Row],[CEDULA]],DATOS[],9,0)</f>
        <v>0</v>
      </c>
    </row>
    <row r="53" spans="1:18" hidden="1" x14ac:dyDescent="0.25">
      <c r="A53" s="183">
        <v>15040130</v>
      </c>
      <c r="B53" s="184" t="str">
        <f>IFERROR(IF(DEF[[#This Row],[OTRO PAGO]]=0,VLOOKUP(DEF[[#This Row],[CEDULA]],DATOS[],2,0),""),"")</f>
        <v>HUIZ JOHN</v>
      </c>
      <c r="C53" s="184" t="str">
        <f>IFERROR(VLOOKUP(DEF[[#This Row],[CEDULA]],DATOS[],5,0),"")</f>
        <v>OBRERO</v>
      </c>
      <c r="D53" s="185" t="s">
        <v>819</v>
      </c>
      <c r="E53" s="186" t="str">
        <f>IFERROR(VLOOKUP(DEF[[#This Row],[CEDULA]],NCH!$B$7:$AU$229,10,0),"")</f>
        <v/>
      </c>
      <c r="F53" s="186" t="str">
        <f>IFERROR(VLOOKUP(DEF[[#This Row],[CEDULA]],NCH!$B$7:$AU$229,16,0),"")</f>
        <v/>
      </c>
      <c r="G53" s="186" t="str">
        <f>IFERROR(VLOOKUP(DEF[[#This Row],[CEDULA]],NCH!$B$7:$AU$229,22,0),"")</f>
        <v/>
      </c>
      <c r="H53" s="186" t="str">
        <f>IFERROR(VLOOKUP(DEF[[#This Row],[CEDULA]],NCH!$B$7:$AU$229,28,0),"")</f>
        <v/>
      </c>
      <c r="I53" s="186" t="str">
        <f>IFERROR(VLOOKUP(DEF[[#This Row],[CEDULA]],NCH!$B$7:$AU$229,34,0),"")</f>
        <v/>
      </c>
      <c r="J53" s="186" t="str">
        <f>IFERROR(VLOOKUP(DEF[[#This Row],[CEDULA]],NCH!$B$7:$AU$229,40,0),"")</f>
        <v/>
      </c>
      <c r="K53" s="186" t="str">
        <f>IFERROR(VLOOKUP(DEF[[#This Row],[CEDULA]],NCH!$B$7:$AU$229,46,0),"")</f>
        <v/>
      </c>
      <c r="L53" s="186" t="str">
        <f>IFERROR(VLOOKUP(DEF[CEDULA],METAS[],13,0),"")</f>
        <v/>
      </c>
      <c r="M53" s="187">
        <f>SUM(DEF[[#This Row],[L]:[V]])</f>
        <v>0</v>
      </c>
      <c r="N53" s="188">
        <f>SUM(DEF[[#This Row],[S]:[D]])</f>
        <v>0</v>
      </c>
      <c r="O53" s="188">
        <f>DEF[[#This Row],[TOTAL METAS L-V]]+DEF[[#This Row],[TOTAL METAS S-D-F]]</f>
        <v>0</v>
      </c>
      <c r="P53" s="188" t="e">
        <f>VLOOKUP(DEF[[#This Row],[CEDULA]],METAS[],17,0)</f>
        <v>#N/A</v>
      </c>
      <c r="Q5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53" s="190">
        <f>VLOOKUP(DEF[[#This Row],[CEDULA]],DATOS[],9,0)</f>
        <v>0</v>
      </c>
    </row>
    <row r="54" spans="1:18" hidden="1" x14ac:dyDescent="0.25">
      <c r="A54" s="183">
        <v>14156230</v>
      </c>
      <c r="B54" s="184" t="str">
        <f>IFERROR(IF(DEF[[#This Row],[OTRO PAGO]]=0,VLOOKUP(DEF[[#This Row],[CEDULA]],DATOS[],2,0),""),"")</f>
        <v>NUNEZ ANGIE</v>
      </c>
      <c r="C54" s="184" t="str">
        <f>IFERROR(VLOOKUP(DEF[[#This Row],[CEDULA]],DATOS[],5,0),"")</f>
        <v>ADMINISTRATIVO</v>
      </c>
      <c r="D54" s="185" t="s">
        <v>866</v>
      </c>
      <c r="E54" s="186" t="str">
        <f>IFERROR(VLOOKUP(DEF[[#This Row],[CEDULA]],NCH!$B$7:$AU$229,10,0),"")</f>
        <v/>
      </c>
      <c r="F54" s="186" t="str">
        <f>IFERROR(VLOOKUP(DEF[[#This Row],[CEDULA]],NCH!$B$7:$AU$229,16,0),"")</f>
        <v/>
      </c>
      <c r="G54" s="186" t="str">
        <f>IFERROR(VLOOKUP(DEF[[#This Row],[CEDULA]],NCH!$B$7:$AU$229,22,0),"")</f>
        <v/>
      </c>
      <c r="H54" s="186" t="str">
        <f>IFERROR(VLOOKUP(DEF[[#This Row],[CEDULA]],NCH!$B$7:$AU$229,28,0),"")</f>
        <v/>
      </c>
      <c r="I54" s="186" t="str">
        <f>IFERROR(VLOOKUP(DEF[[#This Row],[CEDULA]],NCH!$B$7:$AU$229,34,0),"")</f>
        <v/>
      </c>
      <c r="J54" s="186" t="str">
        <f>IFERROR(VLOOKUP(DEF[[#This Row],[CEDULA]],NCH!$B$7:$AU$229,40,0),"")</f>
        <v/>
      </c>
      <c r="K54" s="186" t="str">
        <f>IFERROR(VLOOKUP(DEF[[#This Row],[CEDULA]],NCH!$B$7:$AU$229,46,0),"")</f>
        <v/>
      </c>
      <c r="L54" s="186" t="str">
        <f>IFERROR(VLOOKUP(DEF[CEDULA],METAS[],13,0),"")</f>
        <v/>
      </c>
      <c r="M54" s="187">
        <f>SUM(DEF[[#This Row],[L]:[V]])</f>
        <v>0</v>
      </c>
      <c r="N54" s="188">
        <f>SUM(DEF[[#This Row],[S]:[D]])</f>
        <v>0</v>
      </c>
      <c r="O54" s="188">
        <f>DEF[[#This Row],[TOTAL METAS L-V]]+DEF[[#This Row],[TOTAL METAS S-D-F]]</f>
        <v>0</v>
      </c>
      <c r="P54" s="188" t="e">
        <f>VLOOKUP(DEF[[#This Row],[CEDULA]],METAS[],17,0)</f>
        <v>#N/A</v>
      </c>
      <c r="Q5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54" s="190">
        <f>VLOOKUP(DEF[[#This Row],[CEDULA]],DATOS[],9,0)</f>
        <v>0</v>
      </c>
    </row>
    <row r="55" spans="1:18" hidden="1" x14ac:dyDescent="0.25">
      <c r="A55" s="183">
        <v>12561193</v>
      </c>
      <c r="B55" s="184" t="str">
        <f>IFERROR(IF(DEF[[#This Row],[OTRO PAGO]]=0,VLOOKUP(DEF[[#This Row],[CEDULA]],DATOS[],2,0),""),"")</f>
        <v>SALAS LEILA</v>
      </c>
      <c r="C55" s="184" t="str">
        <f>IFERROR(VLOOKUP(DEF[[#This Row],[CEDULA]],DATOS[],5,0),"")</f>
        <v>TECNICO</v>
      </c>
      <c r="D55" s="185" t="s">
        <v>866</v>
      </c>
      <c r="E55" s="186" t="str">
        <f>IFERROR(VLOOKUP(DEF[[#This Row],[CEDULA]],NCH!$B$7:$AU$229,10,0),"")</f>
        <v>No cumple H</v>
      </c>
      <c r="F55" s="186" t="str">
        <f>IFERROR(VLOOKUP(DEF[[#This Row],[CEDULA]],NCH!$B$7:$AU$229,16,0),"")</f>
        <v>Horario Metas</v>
      </c>
      <c r="G55" s="186" t="str">
        <f>IFERROR(VLOOKUP(DEF[[#This Row],[CEDULA]],NCH!$B$7:$AU$229,22,0),"")</f>
        <v>No cumple H</v>
      </c>
      <c r="H55" s="186" t="str">
        <f>IFERROR(VLOOKUP(DEF[[#This Row],[CEDULA]],NCH!$B$7:$AU$229,28,0),"")</f>
        <v>No cumple H</v>
      </c>
      <c r="I55" s="186" t="str">
        <f>IFERROR(VLOOKUP(DEF[[#This Row],[CEDULA]],NCH!$B$7:$AU$229,34,0),"")</f>
        <v>No cumple H</v>
      </c>
      <c r="J55" s="186" t="str">
        <f>IFERROR(VLOOKUP(DEF[[#This Row],[CEDULA]],NCH!$B$7:$AU$229,40,0),"")</f>
        <v>No cumple H</v>
      </c>
      <c r="K55" s="186" t="str">
        <f>IFERROR(VLOOKUP(DEF[[#This Row],[CEDULA]],NCH!$B$7:$AU$229,46,0),"")</f>
        <v>No cumple H</v>
      </c>
      <c r="L55" s="186">
        <f>IFERROR(VLOOKUP(DEF[CEDULA],METAS[],13,0),"")</f>
        <v>0</v>
      </c>
      <c r="M55" s="187">
        <f>SUM(DEF[[#This Row],[L]:[V]])</f>
        <v>0</v>
      </c>
      <c r="N55" s="188">
        <f>SUM(DEF[[#This Row],[S]:[D]])</f>
        <v>0</v>
      </c>
      <c r="O55" s="188">
        <f>DEF[[#This Row],[TOTAL METAS L-V]]+DEF[[#This Row],[TOTAL METAS S-D-F]]</f>
        <v>0</v>
      </c>
      <c r="P55" s="188">
        <f>VLOOKUP(DEF[[#This Row],[CEDULA]],METAS[],17,0)</f>
        <v>0</v>
      </c>
      <c r="Q5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55" s="190">
        <f>VLOOKUP(DEF[[#This Row],[CEDULA]],DATOS[],9,0)</f>
        <v>0</v>
      </c>
    </row>
    <row r="56" spans="1:18" hidden="1" x14ac:dyDescent="0.25">
      <c r="A56" s="183">
        <v>12854512</v>
      </c>
      <c r="B56" s="184" t="str">
        <f>IFERROR(IF(DEF[[#This Row],[OTRO PAGO]]=0,VLOOKUP(DEF[[#This Row],[CEDULA]],DATOS[],2,0),""),"")</f>
        <v>BREA JUAN</v>
      </c>
      <c r="C56" s="184" t="str">
        <f>IFERROR(VLOOKUP(DEF[[#This Row],[CEDULA]],DATOS[],5,0),"")</f>
        <v>SUPERVISORIO</v>
      </c>
      <c r="D56" s="185" t="s">
        <v>866</v>
      </c>
      <c r="E56" s="186" t="str">
        <f>IFERROR(VLOOKUP(DEF[[#This Row],[CEDULA]],NCH!$B$7:$AU$229,10,0),"")</f>
        <v/>
      </c>
      <c r="F56" s="186" t="str">
        <f>IFERROR(VLOOKUP(DEF[[#This Row],[CEDULA]],NCH!$B$7:$AU$229,16,0),"")</f>
        <v/>
      </c>
      <c r="G56" s="186" t="str">
        <f>IFERROR(VLOOKUP(DEF[[#This Row],[CEDULA]],NCH!$B$7:$AU$229,22,0),"")</f>
        <v/>
      </c>
      <c r="H56" s="186" t="str">
        <f>IFERROR(VLOOKUP(DEF[[#This Row],[CEDULA]],NCH!$B$7:$AU$229,28,0),"")</f>
        <v/>
      </c>
      <c r="I56" s="186" t="str">
        <f>IFERROR(VLOOKUP(DEF[[#This Row],[CEDULA]],NCH!$B$7:$AU$229,34,0),"")</f>
        <v/>
      </c>
      <c r="J56" s="186" t="str">
        <f>IFERROR(VLOOKUP(DEF[[#This Row],[CEDULA]],NCH!$B$7:$AU$229,40,0),"")</f>
        <v/>
      </c>
      <c r="K56" s="186" t="str">
        <f>IFERROR(VLOOKUP(DEF[[#This Row],[CEDULA]],NCH!$B$7:$AU$229,46,0),"")</f>
        <v/>
      </c>
      <c r="L56" s="186" t="str">
        <f>IFERROR(VLOOKUP(DEF[CEDULA],METAS[],13,0),"")</f>
        <v/>
      </c>
      <c r="M56" s="187">
        <f>SUM(DEF[[#This Row],[L]:[V]])</f>
        <v>0</v>
      </c>
      <c r="N56" s="188">
        <f>SUM(DEF[[#This Row],[S]:[D]])</f>
        <v>0</v>
      </c>
      <c r="O56" s="188">
        <f>DEF[[#This Row],[TOTAL METAS L-V]]+DEF[[#This Row],[TOTAL METAS S-D-F]]</f>
        <v>0</v>
      </c>
      <c r="P56" s="188" t="e">
        <f>VLOOKUP(DEF[[#This Row],[CEDULA]],METAS[],17,0)</f>
        <v>#N/A</v>
      </c>
      <c r="Q5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56" s="190">
        <f>VLOOKUP(DEF[[#This Row],[CEDULA]],DATOS[],9,0)</f>
        <v>0</v>
      </c>
    </row>
    <row r="57" spans="1:18" hidden="1" x14ac:dyDescent="0.25">
      <c r="A57" s="183">
        <v>6178411</v>
      </c>
      <c r="B57" s="184" t="str">
        <f>IFERROR(IF(DEF[[#This Row],[OTRO PAGO]]=0,VLOOKUP(DEF[[#This Row],[CEDULA]],DATOS[],2,0),""),"")</f>
        <v>DURAN GERARDO</v>
      </c>
      <c r="C57" s="184" t="str">
        <f>IFERROR(VLOOKUP(DEF[[#This Row],[CEDULA]],DATOS[],5,0),"")</f>
        <v>SUPERVISORIO</v>
      </c>
      <c r="D57" s="185" t="s">
        <v>818</v>
      </c>
      <c r="E57" s="186" t="str">
        <f>IFERROR(VLOOKUP(DEF[[#This Row],[CEDULA]],NCH!$B$7:$AU$229,10,0),"")</f>
        <v/>
      </c>
      <c r="F57" s="186" t="str">
        <f>IFERROR(VLOOKUP(DEF[[#This Row],[CEDULA]],NCH!$B$7:$AU$229,16,0),"")</f>
        <v/>
      </c>
      <c r="G57" s="186" t="str">
        <f>IFERROR(VLOOKUP(DEF[[#This Row],[CEDULA]],NCH!$B$7:$AU$229,22,0),"")</f>
        <v/>
      </c>
      <c r="H57" s="186" t="str">
        <f>IFERROR(VLOOKUP(DEF[[#This Row],[CEDULA]],NCH!$B$7:$AU$229,28,0),"")</f>
        <v/>
      </c>
      <c r="I57" s="186" t="str">
        <f>IFERROR(VLOOKUP(DEF[[#This Row],[CEDULA]],NCH!$B$7:$AU$229,34,0),"")</f>
        <v/>
      </c>
      <c r="J57" s="186" t="str">
        <f>IFERROR(VLOOKUP(DEF[[#This Row],[CEDULA]],NCH!$B$7:$AU$229,40,0),"")</f>
        <v/>
      </c>
      <c r="K57" s="186" t="str">
        <f>IFERROR(VLOOKUP(DEF[[#This Row],[CEDULA]],NCH!$B$7:$AU$229,46,0),"")</f>
        <v/>
      </c>
      <c r="L57" s="186" t="str">
        <f>IFERROR(VLOOKUP(DEF[CEDULA],METAS[],13,0),"")</f>
        <v/>
      </c>
      <c r="M57" s="187">
        <f>SUM(DEF[[#This Row],[L]:[V]])</f>
        <v>0</v>
      </c>
      <c r="N57" s="188">
        <f>SUM(DEF[[#This Row],[S]:[D]])</f>
        <v>0</v>
      </c>
      <c r="O57" s="188">
        <f>DEF[[#This Row],[TOTAL METAS L-V]]+DEF[[#This Row],[TOTAL METAS S-D-F]]</f>
        <v>0</v>
      </c>
      <c r="P57" s="188" t="e">
        <f>VLOOKUP(DEF[[#This Row],[CEDULA]],METAS[],17,0)</f>
        <v>#N/A</v>
      </c>
      <c r="Q5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57" s="190">
        <f>VLOOKUP(DEF[[#This Row],[CEDULA]],DATOS[],9,0)</f>
        <v>0</v>
      </c>
    </row>
    <row r="58" spans="1:18" hidden="1" x14ac:dyDescent="0.25">
      <c r="A58" s="183">
        <v>10625420</v>
      </c>
      <c r="B58" s="184" t="str">
        <f>IFERROR(IF(DEF[[#This Row],[OTRO PAGO]]=0,VLOOKUP(DEF[[#This Row],[CEDULA]],DATOS[],2,0),""),"")</f>
        <v>VEGAS YSELA</v>
      </c>
      <c r="C58" s="184" t="str">
        <f>IFERROR(VLOOKUP(DEF[[#This Row],[CEDULA]],DATOS[],5,0),"")</f>
        <v>TECNICO</v>
      </c>
      <c r="D58" s="185" t="s">
        <v>818</v>
      </c>
      <c r="E58" s="186" t="str">
        <f>IFERROR(VLOOKUP(DEF[[#This Row],[CEDULA]],NCH!$B$7:$AU$229,10,0),"")</f>
        <v/>
      </c>
      <c r="F58" s="186" t="str">
        <f>IFERROR(VLOOKUP(DEF[[#This Row],[CEDULA]],NCH!$B$7:$AU$229,16,0),"")</f>
        <v/>
      </c>
      <c r="G58" s="186" t="str">
        <f>IFERROR(VLOOKUP(DEF[[#This Row],[CEDULA]],NCH!$B$7:$AU$229,22,0),"")</f>
        <v/>
      </c>
      <c r="H58" s="186" t="str">
        <f>IFERROR(VLOOKUP(DEF[[#This Row],[CEDULA]],NCH!$B$7:$AU$229,28,0),"")</f>
        <v/>
      </c>
      <c r="I58" s="186" t="str">
        <f>IFERROR(VLOOKUP(DEF[[#This Row],[CEDULA]],NCH!$B$7:$AU$229,34,0),"")</f>
        <v/>
      </c>
      <c r="J58" s="186" t="str">
        <f>IFERROR(VLOOKUP(DEF[[#This Row],[CEDULA]],NCH!$B$7:$AU$229,40,0),"")</f>
        <v/>
      </c>
      <c r="K58" s="186" t="str">
        <f>IFERROR(VLOOKUP(DEF[[#This Row],[CEDULA]],NCH!$B$7:$AU$229,46,0),"")</f>
        <v/>
      </c>
      <c r="L58" s="186" t="str">
        <f>IFERROR(VLOOKUP(DEF[CEDULA],METAS[],13,0),"")</f>
        <v/>
      </c>
      <c r="M58" s="187">
        <f>SUM(DEF[[#This Row],[L]:[V]])</f>
        <v>0</v>
      </c>
      <c r="N58" s="188">
        <f>SUM(DEF[[#This Row],[S]:[D]])</f>
        <v>0</v>
      </c>
      <c r="O58" s="188">
        <f>DEF[[#This Row],[TOTAL METAS L-V]]+DEF[[#This Row],[TOTAL METAS S-D-F]]</f>
        <v>0</v>
      </c>
      <c r="P58" s="188" t="e">
        <f>VLOOKUP(DEF[[#This Row],[CEDULA]],METAS[],17,0)</f>
        <v>#N/A</v>
      </c>
      <c r="Q5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58" s="190">
        <f>VLOOKUP(DEF[[#This Row],[CEDULA]],DATOS[],9,0)</f>
        <v>0</v>
      </c>
    </row>
    <row r="59" spans="1:18" hidden="1" x14ac:dyDescent="0.25">
      <c r="A59" s="183">
        <v>7990710</v>
      </c>
      <c r="B59" s="184" t="str">
        <f>IFERROR(IF(DEF[[#This Row],[OTRO PAGO]]=0,VLOOKUP(DEF[[#This Row],[CEDULA]],DATOS[],2,0),""),"")</f>
        <v>DOMINGUEZ MIGUEL</v>
      </c>
      <c r="C59" s="184" t="str">
        <f>IFERROR(VLOOKUP(DEF[[#This Row],[CEDULA]],DATOS[],5,0),"")</f>
        <v>TECNICO</v>
      </c>
      <c r="D59" s="185" t="s">
        <v>818</v>
      </c>
      <c r="E59" s="186" t="str">
        <f>IFERROR(VLOOKUP(DEF[[#This Row],[CEDULA]],NCH!$B$7:$AU$229,10,0),"")</f>
        <v/>
      </c>
      <c r="F59" s="186" t="str">
        <f>IFERROR(VLOOKUP(DEF[[#This Row],[CEDULA]],NCH!$B$7:$AU$229,16,0),"")</f>
        <v/>
      </c>
      <c r="G59" s="186" t="str">
        <f>IFERROR(VLOOKUP(DEF[[#This Row],[CEDULA]],NCH!$B$7:$AU$229,22,0),"")</f>
        <v/>
      </c>
      <c r="H59" s="186" t="str">
        <f>IFERROR(VLOOKUP(DEF[[#This Row],[CEDULA]],NCH!$B$7:$AU$229,28,0),"")</f>
        <v/>
      </c>
      <c r="I59" s="186" t="str">
        <f>IFERROR(VLOOKUP(DEF[[#This Row],[CEDULA]],NCH!$B$7:$AU$229,34,0),"")</f>
        <v/>
      </c>
      <c r="J59" s="186" t="str">
        <f>IFERROR(VLOOKUP(DEF[[#This Row],[CEDULA]],NCH!$B$7:$AU$229,40,0),"")</f>
        <v/>
      </c>
      <c r="K59" s="186" t="str">
        <f>IFERROR(VLOOKUP(DEF[[#This Row],[CEDULA]],NCH!$B$7:$AU$229,46,0),"")</f>
        <v/>
      </c>
      <c r="L59" s="186" t="str">
        <f>IFERROR(VLOOKUP(DEF[CEDULA],METAS[],13,0),"")</f>
        <v/>
      </c>
      <c r="M59" s="187">
        <f>SUM(DEF[[#This Row],[L]:[V]])</f>
        <v>0</v>
      </c>
      <c r="N59" s="188">
        <f>SUM(DEF[[#This Row],[S]:[D]])</f>
        <v>0</v>
      </c>
      <c r="O59" s="188">
        <f>DEF[[#This Row],[TOTAL METAS L-V]]+DEF[[#This Row],[TOTAL METAS S-D-F]]</f>
        <v>0</v>
      </c>
      <c r="P59" s="188" t="e">
        <f>VLOOKUP(DEF[[#This Row],[CEDULA]],METAS[],17,0)</f>
        <v>#N/A</v>
      </c>
      <c r="Q5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59" s="190">
        <f>VLOOKUP(DEF[[#This Row],[CEDULA]],DATOS[],9,0)</f>
        <v>0</v>
      </c>
    </row>
    <row r="60" spans="1:18" hidden="1" x14ac:dyDescent="0.25">
      <c r="A60" s="183">
        <v>14387454</v>
      </c>
      <c r="B60" s="184" t="str">
        <f>IFERROR(IF(DEF[[#This Row],[OTRO PAGO]]=0,VLOOKUP(DEF[[#This Row],[CEDULA]],DATOS[],2,0),""),"")</f>
        <v>RODRIGUEZ LUIS</v>
      </c>
      <c r="C60" s="184" t="str">
        <f>IFERROR(VLOOKUP(DEF[[#This Row],[CEDULA]],DATOS[],5,0),"")</f>
        <v>SUPERVISORIO</v>
      </c>
      <c r="D60" s="185" t="s">
        <v>818</v>
      </c>
      <c r="E60" s="186" t="str">
        <f>IFERROR(VLOOKUP(DEF[[#This Row],[CEDULA]],NCH!$B$7:$AU$229,10,0),"")</f>
        <v/>
      </c>
      <c r="F60" s="186" t="str">
        <f>IFERROR(VLOOKUP(DEF[[#This Row],[CEDULA]],NCH!$B$7:$AU$229,16,0),"")</f>
        <v/>
      </c>
      <c r="G60" s="186" t="str">
        <f>IFERROR(VLOOKUP(DEF[[#This Row],[CEDULA]],NCH!$B$7:$AU$229,22,0),"")</f>
        <v/>
      </c>
      <c r="H60" s="186" t="str">
        <f>IFERROR(VLOOKUP(DEF[[#This Row],[CEDULA]],NCH!$B$7:$AU$229,28,0),"")</f>
        <v/>
      </c>
      <c r="I60" s="186" t="str">
        <f>IFERROR(VLOOKUP(DEF[[#This Row],[CEDULA]],NCH!$B$7:$AU$229,34,0),"")</f>
        <v/>
      </c>
      <c r="J60" s="186" t="str">
        <f>IFERROR(VLOOKUP(DEF[[#This Row],[CEDULA]],NCH!$B$7:$AU$229,40,0),"")</f>
        <v/>
      </c>
      <c r="K60" s="186" t="str">
        <f>IFERROR(VLOOKUP(DEF[[#This Row],[CEDULA]],NCH!$B$7:$AU$229,46,0),"")</f>
        <v/>
      </c>
      <c r="L60" s="186" t="str">
        <f>IFERROR(VLOOKUP(DEF[CEDULA],METAS[],13,0),"")</f>
        <v/>
      </c>
      <c r="M60" s="187">
        <f>SUM(DEF[[#This Row],[L]:[V]])</f>
        <v>0</v>
      </c>
      <c r="N60" s="188">
        <f>SUM(DEF[[#This Row],[S]:[D]])</f>
        <v>0</v>
      </c>
      <c r="O60" s="188">
        <f>DEF[[#This Row],[TOTAL METAS L-V]]+DEF[[#This Row],[TOTAL METAS S-D-F]]</f>
        <v>0</v>
      </c>
      <c r="P60" s="188" t="e">
        <f>VLOOKUP(DEF[[#This Row],[CEDULA]],METAS[],17,0)</f>
        <v>#N/A</v>
      </c>
      <c r="Q6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60" s="190">
        <f>VLOOKUP(DEF[[#This Row],[CEDULA]],DATOS[],9,0)</f>
        <v>0</v>
      </c>
    </row>
    <row r="61" spans="1:18" hidden="1" x14ac:dyDescent="0.25">
      <c r="A61" s="183">
        <v>15886515</v>
      </c>
      <c r="B61" s="184" t="str">
        <f>IFERROR(IF(DEF[[#This Row],[OTRO PAGO]]=0,VLOOKUP(DEF[[#This Row],[CEDULA]],DATOS[],2,0),""),"")</f>
        <v>PETIT EDILIDA</v>
      </c>
      <c r="C61" s="184" t="str">
        <f>IFERROR(VLOOKUP(DEF[[#This Row],[CEDULA]],DATOS[],5,0),"")</f>
        <v>SUPERVISORIO</v>
      </c>
      <c r="D61" s="185" t="s">
        <v>872</v>
      </c>
      <c r="E61" s="186" t="str">
        <f>IFERROR(VLOOKUP(DEF[[#This Row],[CEDULA]],NCH!$B$7:$AU$229,10,0),"")</f>
        <v/>
      </c>
      <c r="F61" s="186" t="str">
        <f>IFERROR(VLOOKUP(DEF[[#This Row],[CEDULA]],NCH!$B$7:$AU$229,16,0),"")</f>
        <v/>
      </c>
      <c r="G61" s="186" t="str">
        <f>IFERROR(VLOOKUP(DEF[[#This Row],[CEDULA]],NCH!$B$7:$AU$229,22,0),"")</f>
        <v/>
      </c>
      <c r="H61" s="186" t="str">
        <f>IFERROR(VLOOKUP(DEF[[#This Row],[CEDULA]],NCH!$B$7:$AU$229,28,0),"")</f>
        <v/>
      </c>
      <c r="I61" s="186" t="str">
        <f>IFERROR(VLOOKUP(DEF[[#This Row],[CEDULA]],NCH!$B$7:$AU$229,34,0),"")</f>
        <v/>
      </c>
      <c r="J61" s="186" t="str">
        <f>IFERROR(VLOOKUP(DEF[[#This Row],[CEDULA]],NCH!$B$7:$AU$229,40,0),"")</f>
        <v/>
      </c>
      <c r="K61" s="186" t="str">
        <f>IFERROR(VLOOKUP(DEF[[#This Row],[CEDULA]],NCH!$B$7:$AU$229,46,0),"")</f>
        <v/>
      </c>
      <c r="L61" s="186" t="str">
        <f>IFERROR(VLOOKUP(DEF[CEDULA],METAS[],13,0),"")</f>
        <v/>
      </c>
      <c r="M61" s="187">
        <f>SUM(DEF[[#This Row],[L]:[V]])</f>
        <v>0</v>
      </c>
      <c r="N61" s="188">
        <f>SUM(DEF[[#This Row],[S]:[D]])</f>
        <v>0</v>
      </c>
      <c r="O61" s="188">
        <f>DEF[[#This Row],[TOTAL METAS L-V]]+DEF[[#This Row],[TOTAL METAS S-D-F]]</f>
        <v>0</v>
      </c>
      <c r="P61" s="188" t="e">
        <f>VLOOKUP(DEF[[#This Row],[CEDULA]],METAS[],17,0)</f>
        <v>#N/A</v>
      </c>
      <c r="Q6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61" s="190">
        <f>VLOOKUP(DEF[[#This Row],[CEDULA]],DATOS[],9,0)</f>
        <v>0</v>
      </c>
    </row>
    <row r="62" spans="1:18" hidden="1" x14ac:dyDescent="0.25">
      <c r="A62" s="183">
        <v>8641323</v>
      </c>
      <c r="B62" s="184" t="str">
        <f>IFERROR(IF(DEF[[#This Row],[OTRO PAGO]]=0,VLOOKUP(DEF[[#This Row],[CEDULA]],DATOS[],2,0),""),"")</f>
        <v>RENGEL MARIBEL</v>
      </c>
      <c r="C62" s="184" t="str">
        <f>IFERROR(VLOOKUP(DEF[[#This Row],[CEDULA]],DATOS[],5,0),"")</f>
        <v>PROFESIONAL</v>
      </c>
      <c r="D62" s="185" t="s">
        <v>860</v>
      </c>
      <c r="E62" s="186" t="str">
        <f>IFERROR(VLOOKUP(DEF[[#This Row],[CEDULA]],NCH!$B$7:$AU$229,10,0),"")</f>
        <v/>
      </c>
      <c r="F62" s="186" t="str">
        <f>IFERROR(VLOOKUP(DEF[[#This Row],[CEDULA]],NCH!$B$7:$AU$229,16,0),"")</f>
        <v/>
      </c>
      <c r="G62" s="186" t="str">
        <f>IFERROR(VLOOKUP(DEF[[#This Row],[CEDULA]],NCH!$B$7:$AU$229,22,0),"")</f>
        <v/>
      </c>
      <c r="H62" s="186" t="str">
        <f>IFERROR(VLOOKUP(DEF[[#This Row],[CEDULA]],NCH!$B$7:$AU$229,28,0),"")</f>
        <v/>
      </c>
      <c r="I62" s="186" t="str">
        <f>IFERROR(VLOOKUP(DEF[[#This Row],[CEDULA]],NCH!$B$7:$AU$229,34,0),"")</f>
        <v/>
      </c>
      <c r="J62" s="186" t="str">
        <f>IFERROR(VLOOKUP(DEF[[#This Row],[CEDULA]],NCH!$B$7:$AU$229,40,0),"")</f>
        <v/>
      </c>
      <c r="K62" s="186" t="str">
        <f>IFERROR(VLOOKUP(DEF[[#This Row],[CEDULA]],NCH!$B$7:$AU$229,46,0),"")</f>
        <v/>
      </c>
      <c r="L62" s="186" t="str">
        <f>IFERROR(VLOOKUP(DEF[CEDULA],METAS[],13,0),"")</f>
        <v/>
      </c>
      <c r="M62" s="187">
        <f>SUM(DEF[[#This Row],[L]:[V]])</f>
        <v>0</v>
      </c>
      <c r="N62" s="188">
        <f>SUM(DEF[[#This Row],[S]:[D]])</f>
        <v>0</v>
      </c>
      <c r="O62" s="188">
        <f>DEF[[#This Row],[TOTAL METAS L-V]]+DEF[[#This Row],[TOTAL METAS S-D-F]]</f>
        <v>0</v>
      </c>
      <c r="P62" s="188" t="e">
        <f>VLOOKUP(DEF[[#This Row],[CEDULA]],METAS[],17,0)</f>
        <v>#N/A</v>
      </c>
      <c r="Q6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62" s="190">
        <f>VLOOKUP(DEF[[#This Row],[CEDULA]],DATOS[],9,0)</f>
        <v>0</v>
      </c>
    </row>
    <row r="63" spans="1:18" hidden="1" x14ac:dyDescent="0.25">
      <c r="A63" s="183">
        <v>5320227</v>
      </c>
      <c r="B63" s="184" t="str">
        <f>IFERROR(IF(DEF[[#This Row],[OTRO PAGO]]=0,VLOOKUP(DEF[[#This Row],[CEDULA]],DATOS[],2,0),""),"")</f>
        <v>RODRIGUEZ NUBIA</v>
      </c>
      <c r="C63" s="184" t="str">
        <f>IFERROR(VLOOKUP(DEF[[#This Row],[CEDULA]],DATOS[],5,0),"")</f>
        <v>PROFESIONAL</v>
      </c>
      <c r="D63" s="185" t="s">
        <v>860</v>
      </c>
      <c r="E63" s="186" t="str">
        <f>IFERROR(VLOOKUP(DEF[[#This Row],[CEDULA]],NCH!$B$7:$AU$229,10,0),"")</f>
        <v/>
      </c>
      <c r="F63" s="186" t="str">
        <f>IFERROR(VLOOKUP(DEF[[#This Row],[CEDULA]],NCH!$B$7:$AU$229,16,0),"")</f>
        <v/>
      </c>
      <c r="G63" s="186" t="str">
        <f>IFERROR(VLOOKUP(DEF[[#This Row],[CEDULA]],NCH!$B$7:$AU$229,22,0),"")</f>
        <v/>
      </c>
      <c r="H63" s="186" t="str">
        <f>IFERROR(VLOOKUP(DEF[[#This Row],[CEDULA]],NCH!$B$7:$AU$229,28,0),"")</f>
        <v/>
      </c>
      <c r="I63" s="186" t="str">
        <f>IFERROR(VLOOKUP(DEF[[#This Row],[CEDULA]],NCH!$B$7:$AU$229,34,0),"")</f>
        <v/>
      </c>
      <c r="J63" s="186" t="str">
        <f>IFERROR(VLOOKUP(DEF[[#This Row],[CEDULA]],NCH!$B$7:$AU$229,40,0),"")</f>
        <v/>
      </c>
      <c r="K63" s="186" t="str">
        <f>IFERROR(VLOOKUP(DEF[[#This Row],[CEDULA]],NCH!$B$7:$AU$229,46,0),"")</f>
        <v/>
      </c>
      <c r="L63" s="186" t="str">
        <f>IFERROR(VLOOKUP(DEF[CEDULA],METAS[],13,0),"")</f>
        <v/>
      </c>
      <c r="M63" s="187">
        <f>SUM(DEF[[#This Row],[L]:[V]])</f>
        <v>0</v>
      </c>
      <c r="N63" s="188">
        <f>SUM(DEF[[#This Row],[S]:[D]])</f>
        <v>0</v>
      </c>
      <c r="O63" s="188">
        <f>DEF[[#This Row],[TOTAL METAS L-V]]+DEF[[#This Row],[TOTAL METAS S-D-F]]</f>
        <v>0</v>
      </c>
      <c r="P63" s="188" t="e">
        <f>VLOOKUP(DEF[[#This Row],[CEDULA]],METAS[],17,0)</f>
        <v>#N/A</v>
      </c>
      <c r="Q6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63" s="190">
        <f>VLOOKUP(DEF[[#This Row],[CEDULA]],DATOS[],9,0)</f>
        <v>0</v>
      </c>
    </row>
    <row r="64" spans="1:18" hidden="1" x14ac:dyDescent="0.25">
      <c r="A64" s="183">
        <v>4681253</v>
      </c>
      <c r="B64" s="184" t="str">
        <f>IFERROR(IF(DEF[[#This Row],[OTRO PAGO]]=0,VLOOKUP(DEF[[#This Row],[CEDULA]],DATOS[],2,0),""),"")</f>
        <v>LUCES JUDITH</v>
      </c>
      <c r="C64" s="184" t="str">
        <f>IFERROR(VLOOKUP(DEF[[#This Row],[CEDULA]],DATOS[],5,0),"")</f>
        <v>SUPERVISORIO</v>
      </c>
      <c r="D64" s="185" t="s">
        <v>860</v>
      </c>
      <c r="E64" s="186" t="str">
        <f>IFERROR(VLOOKUP(DEF[[#This Row],[CEDULA]],NCH!$B$7:$AU$229,10,0),"")</f>
        <v/>
      </c>
      <c r="F64" s="186" t="str">
        <f>IFERROR(VLOOKUP(DEF[[#This Row],[CEDULA]],NCH!$B$7:$AU$229,16,0),"")</f>
        <v/>
      </c>
      <c r="G64" s="186" t="str">
        <f>IFERROR(VLOOKUP(DEF[[#This Row],[CEDULA]],NCH!$B$7:$AU$229,22,0),"")</f>
        <v/>
      </c>
      <c r="H64" s="186" t="str">
        <f>IFERROR(VLOOKUP(DEF[[#This Row],[CEDULA]],NCH!$B$7:$AU$229,28,0),"")</f>
        <v/>
      </c>
      <c r="I64" s="186" t="str">
        <f>IFERROR(VLOOKUP(DEF[[#This Row],[CEDULA]],NCH!$B$7:$AU$229,34,0),"")</f>
        <v/>
      </c>
      <c r="J64" s="186" t="str">
        <f>IFERROR(VLOOKUP(DEF[[#This Row],[CEDULA]],NCH!$B$7:$AU$229,40,0),"")</f>
        <v/>
      </c>
      <c r="K64" s="186" t="str">
        <f>IFERROR(VLOOKUP(DEF[[#This Row],[CEDULA]],NCH!$B$7:$AU$229,46,0),"")</f>
        <v/>
      </c>
      <c r="L64" s="186" t="str">
        <f>IFERROR(VLOOKUP(DEF[CEDULA],METAS[],13,0),"")</f>
        <v/>
      </c>
      <c r="M64" s="187">
        <f>SUM(DEF[[#This Row],[L]:[V]])</f>
        <v>0</v>
      </c>
      <c r="N64" s="188">
        <f>SUM(DEF[[#This Row],[S]:[D]])</f>
        <v>0</v>
      </c>
      <c r="O64" s="188">
        <f>DEF[[#This Row],[TOTAL METAS L-V]]+DEF[[#This Row],[TOTAL METAS S-D-F]]</f>
        <v>0</v>
      </c>
      <c r="P64" s="188" t="e">
        <f>VLOOKUP(DEF[[#This Row],[CEDULA]],METAS[],17,0)</f>
        <v>#N/A</v>
      </c>
      <c r="Q6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64" s="190">
        <f>VLOOKUP(DEF[[#This Row],[CEDULA]],DATOS[],9,0)</f>
        <v>0</v>
      </c>
    </row>
    <row r="65" spans="1:18" hidden="1" x14ac:dyDescent="0.25">
      <c r="A65" s="183">
        <v>5527108</v>
      </c>
      <c r="B65" s="184" t="str">
        <f>IFERROR(IF(DEF[[#This Row],[OTRO PAGO]]=0,VLOOKUP(DEF[[#This Row],[CEDULA]],DATOS[],2,0),""),"")</f>
        <v>PINTO BELQUIS</v>
      </c>
      <c r="C65" s="184" t="str">
        <f>IFERROR(VLOOKUP(DEF[[#This Row],[CEDULA]],DATOS[],5,0),"")</f>
        <v>PROFESIONAL</v>
      </c>
      <c r="D65" s="185" t="s">
        <v>867</v>
      </c>
      <c r="E65" s="186" t="str">
        <f>IFERROR(VLOOKUP(DEF[[#This Row],[CEDULA]],NCH!$B$7:$AU$229,10,0),"")</f>
        <v/>
      </c>
      <c r="F65" s="186" t="str">
        <f>IFERROR(VLOOKUP(DEF[[#This Row],[CEDULA]],NCH!$B$7:$AU$229,16,0),"")</f>
        <v/>
      </c>
      <c r="G65" s="186" t="str">
        <f>IFERROR(VLOOKUP(DEF[[#This Row],[CEDULA]],NCH!$B$7:$AU$229,22,0),"")</f>
        <v/>
      </c>
      <c r="H65" s="186" t="str">
        <f>IFERROR(VLOOKUP(DEF[[#This Row],[CEDULA]],NCH!$B$7:$AU$229,28,0),"")</f>
        <v/>
      </c>
      <c r="I65" s="186" t="str">
        <f>IFERROR(VLOOKUP(DEF[[#This Row],[CEDULA]],NCH!$B$7:$AU$229,34,0),"")</f>
        <v/>
      </c>
      <c r="J65" s="186" t="str">
        <f>IFERROR(VLOOKUP(DEF[[#This Row],[CEDULA]],NCH!$B$7:$AU$229,40,0),"")</f>
        <v/>
      </c>
      <c r="K65" s="186" t="str">
        <f>IFERROR(VLOOKUP(DEF[[#This Row],[CEDULA]],NCH!$B$7:$AU$229,46,0),"")</f>
        <v/>
      </c>
      <c r="L65" s="186" t="str">
        <f>IFERROR(VLOOKUP(DEF[CEDULA],METAS[],13,0),"")</f>
        <v/>
      </c>
      <c r="M65" s="187">
        <f>SUM(DEF[[#This Row],[L]:[V]])</f>
        <v>0</v>
      </c>
      <c r="N65" s="188">
        <f>SUM(DEF[[#This Row],[S]:[D]])</f>
        <v>0</v>
      </c>
      <c r="O65" s="188">
        <f>DEF[[#This Row],[TOTAL METAS L-V]]+DEF[[#This Row],[TOTAL METAS S-D-F]]</f>
        <v>0</v>
      </c>
      <c r="P65" s="188" t="e">
        <f>VLOOKUP(DEF[[#This Row],[CEDULA]],METAS[],17,0)</f>
        <v>#N/A</v>
      </c>
      <c r="Q6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65" s="190">
        <f>VLOOKUP(DEF[[#This Row],[CEDULA]],DATOS[],9,0)</f>
        <v>0</v>
      </c>
    </row>
    <row r="66" spans="1:18" hidden="1" x14ac:dyDescent="0.25">
      <c r="A66" s="183">
        <v>6692650</v>
      </c>
      <c r="B66" s="184" t="str">
        <f>IFERROR(IF(DEF[[#This Row],[OTRO PAGO]]=0,VLOOKUP(DEF[[#This Row],[CEDULA]],DATOS[],2,0),""),"")</f>
        <v>BARRETO FRANK</v>
      </c>
      <c r="C66" s="184" t="str">
        <f>IFERROR(VLOOKUP(DEF[[#This Row],[CEDULA]],DATOS[],5,0),"")</f>
        <v>ADMINISTRATIVO</v>
      </c>
      <c r="D66" s="185" t="s">
        <v>867</v>
      </c>
      <c r="E66" s="186" t="str">
        <f>IFERROR(VLOOKUP(DEF[[#This Row],[CEDULA]],NCH!$B$7:$AU$229,10,0),"")</f>
        <v/>
      </c>
      <c r="F66" s="186" t="str">
        <f>IFERROR(VLOOKUP(DEF[[#This Row],[CEDULA]],NCH!$B$7:$AU$229,16,0),"")</f>
        <v/>
      </c>
      <c r="G66" s="186" t="str">
        <f>IFERROR(VLOOKUP(DEF[[#This Row],[CEDULA]],NCH!$B$7:$AU$229,22,0),"")</f>
        <v/>
      </c>
      <c r="H66" s="186" t="str">
        <f>IFERROR(VLOOKUP(DEF[[#This Row],[CEDULA]],NCH!$B$7:$AU$229,28,0),"")</f>
        <v/>
      </c>
      <c r="I66" s="186" t="str">
        <f>IFERROR(VLOOKUP(DEF[[#This Row],[CEDULA]],NCH!$B$7:$AU$229,34,0),"")</f>
        <v/>
      </c>
      <c r="J66" s="186" t="str">
        <f>IFERROR(VLOOKUP(DEF[[#This Row],[CEDULA]],NCH!$B$7:$AU$229,40,0),"")</f>
        <v/>
      </c>
      <c r="K66" s="186" t="str">
        <f>IFERROR(VLOOKUP(DEF[[#This Row],[CEDULA]],NCH!$B$7:$AU$229,46,0),"")</f>
        <v/>
      </c>
      <c r="L66" s="186" t="str">
        <f>IFERROR(VLOOKUP(DEF[CEDULA],METAS[],13,0),"")</f>
        <v/>
      </c>
      <c r="M66" s="187">
        <f>SUM(DEF[[#This Row],[L]:[V]])</f>
        <v>0</v>
      </c>
      <c r="N66" s="188">
        <f>SUM(DEF[[#This Row],[S]:[D]])</f>
        <v>0</v>
      </c>
      <c r="O66" s="188">
        <f>DEF[[#This Row],[TOTAL METAS L-V]]+DEF[[#This Row],[TOTAL METAS S-D-F]]</f>
        <v>0</v>
      </c>
      <c r="P66" s="188" t="e">
        <f>VLOOKUP(DEF[[#This Row],[CEDULA]],METAS[],17,0)</f>
        <v>#N/A</v>
      </c>
      <c r="Q6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66" s="190">
        <f>VLOOKUP(DEF[[#This Row],[CEDULA]],DATOS[],9,0)</f>
        <v>0</v>
      </c>
    </row>
    <row r="67" spans="1:18" hidden="1" x14ac:dyDescent="0.25">
      <c r="A67" s="183">
        <v>17464764</v>
      </c>
      <c r="B67" s="184" t="str">
        <f>IFERROR(IF(DEF[[#This Row],[OTRO PAGO]]=0,VLOOKUP(DEF[[#This Row],[CEDULA]],DATOS[],2,0),""),"")</f>
        <v/>
      </c>
      <c r="C67" s="184" t="str">
        <f>IFERROR(VLOOKUP(DEF[[#This Row],[CEDULA]],DATOS[],5,0),"")</f>
        <v/>
      </c>
      <c r="D67" s="185" t="s">
        <v>867</v>
      </c>
      <c r="E67" s="186" t="str">
        <f>IFERROR(VLOOKUP(DEF[[#This Row],[CEDULA]],NCH!$B$7:$AU$229,10,0),"")</f>
        <v/>
      </c>
      <c r="F67" s="186" t="str">
        <f>IFERROR(VLOOKUP(DEF[[#This Row],[CEDULA]],NCH!$B$7:$AU$229,16,0),"")</f>
        <v/>
      </c>
      <c r="G67" s="186" t="str">
        <f>IFERROR(VLOOKUP(DEF[[#This Row],[CEDULA]],NCH!$B$7:$AU$229,22,0),"")</f>
        <v/>
      </c>
      <c r="H67" s="186" t="str">
        <f>IFERROR(VLOOKUP(DEF[[#This Row],[CEDULA]],NCH!$B$7:$AU$229,28,0),"")</f>
        <v/>
      </c>
      <c r="I67" s="186" t="str">
        <f>IFERROR(VLOOKUP(DEF[[#This Row],[CEDULA]],NCH!$B$7:$AU$229,34,0),"")</f>
        <v/>
      </c>
      <c r="J67" s="186" t="str">
        <f>IFERROR(VLOOKUP(DEF[[#This Row],[CEDULA]],NCH!$B$7:$AU$229,40,0),"")</f>
        <v/>
      </c>
      <c r="K67" s="186" t="str">
        <f>IFERROR(VLOOKUP(DEF[[#This Row],[CEDULA]],NCH!$B$7:$AU$229,46,0),"")</f>
        <v/>
      </c>
      <c r="L67" s="186" t="str">
        <f>IFERROR(VLOOKUP(DEF[CEDULA],METAS[],13,0),"")</f>
        <v/>
      </c>
      <c r="M67" s="187">
        <f>SUM(DEF[[#This Row],[L]:[V]])</f>
        <v>0</v>
      </c>
      <c r="N67" s="188">
        <f>SUM(DEF[[#This Row],[S]:[D]])</f>
        <v>0</v>
      </c>
      <c r="O67" s="188">
        <f>DEF[[#This Row],[TOTAL METAS L-V]]+DEF[[#This Row],[TOTAL METAS S-D-F]]</f>
        <v>0</v>
      </c>
      <c r="P67" s="188" t="e">
        <f>VLOOKUP(DEF[[#This Row],[CEDULA]],METAS[],17,0)</f>
        <v>#N/A</v>
      </c>
      <c r="Q6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67" s="190" t="e">
        <f>VLOOKUP(DEF[[#This Row],[CEDULA]],DATOS[],9,0)</f>
        <v>#N/A</v>
      </c>
    </row>
    <row r="68" spans="1:18" hidden="1" x14ac:dyDescent="0.25">
      <c r="A68" s="183">
        <v>11666812</v>
      </c>
      <c r="B68" s="184" t="str">
        <f>IFERROR(IF(DEF[[#This Row],[OTRO PAGO]]=0,VLOOKUP(DEF[[#This Row],[CEDULA]],DATOS[],2,0),""),"")</f>
        <v>MONSALVE IRAIMA</v>
      </c>
      <c r="C68" s="184" t="str">
        <f>IFERROR(VLOOKUP(DEF[[#This Row],[CEDULA]],DATOS[],5,0),"")</f>
        <v>PROFESIONAL</v>
      </c>
      <c r="D68" s="185" t="s">
        <v>867</v>
      </c>
      <c r="E68" s="186" t="str">
        <f>IFERROR(VLOOKUP(DEF[[#This Row],[CEDULA]],NCH!$B$7:$AU$229,10,0),"")</f>
        <v/>
      </c>
      <c r="F68" s="186" t="str">
        <f>IFERROR(VLOOKUP(DEF[[#This Row],[CEDULA]],NCH!$B$7:$AU$229,16,0),"")</f>
        <v/>
      </c>
      <c r="G68" s="186" t="str">
        <f>IFERROR(VLOOKUP(DEF[[#This Row],[CEDULA]],NCH!$B$7:$AU$229,22,0),"")</f>
        <v/>
      </c>
      <c r="H68" s="186" t="str">
        <f>IFERROR(VLOOKUP(DEF[[#This Row],[CEDULA]],NCH!$B$7:$AU$229,28,0),"")</f>
        <v/>
      </c>
      <c r="I68" s="186" t="str">
        <f>IFERROR(VLOOKUP(DEF[[#This Row],[CEDULA]],NCH!$B$7:$AU$229,34,0),"")</f>
        <v/>
      </c>
      <c r="J68" s="186" t="str">
        <f>IFERROR(VLOOKUP(DEF[[#This Row],[CEDULA]],NCH!$B$7:$AU$229,40,0),"")</f>
        <v/>
      </c>
      <c r="K68" s="186" t="str">
        <f>IFERROR(VLOOKUP(DEF[[#This Row],[CEDULA]],NCH!$B$7:$AU$229,46,0),"")</f>
        <v/>
      </c>
      <c r="L68" s="186" t="str">
        <f>IFERROR(VLOOKUP(DEF[CEDULA],METAS[],13,0),"")</f>
        <v/>
      </c>
      <c r="M68" s="187">
        <f>SUM(DEF[[#This Row],[L]:[V]])</f>
        <v>0</v>
      </c>
      <c r="N68" s="188">
        <f>SUM(DEF[[#This Row],[S]:[D]])</f>
        <v>0</v>
      </c>
      <c r="O68" s="188">
        <f>DEF[[#This Row],[TOTAL METAS L-V]]+DEF[[#This Row],[TOTAL METAS S-D-F]]</f>
        <v>0</v>
      </c>
      <c r="P68" s="188" t="e">
        <f>VLOOKUP(DEF[[#This Row],[CEDULA]],METAS[],17,0)</f>
        <v>#N/A</v>
      </c>
      <c r="Q6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68" s="190">
        <f>VLOOKUP(DEF[[#This Row],[CEDULA]],DATOS[],9,0)</f>
        <v>0</v>
      </c>
    </row>
    <row r="69" spans="1:18" hidden="1" x14ac:dyDescent="0.25">
      <c r="A69" s="183">
        <v>11689884</v>
      </c>
      <c r="B69" s="184" t="str">
        <f>IFERROR(IF(DEF[[#This Row],[OTRO PAGO]]=0,VLOOKUP(DEF[[#This Row],[CEDULA]],DATOS[],2,0),""),"")</f>
        <v>SANCHEZ DONEYLA</v>
      </c>
      <c r="C69" s="184" t="str">
        <f>IFERROR(VLOOKUP(DEF[[#This Row],[CEDULA]],DATOS[],5,0),"")</f>
        <v>PROFESIONAL</v>
      </c>
      <c r="D69" s="185" t="s">
        <v>867</v>
      </c>
      <c r="E69" s="186" t="str">
        <f>IFERROR(VLOOKUP(DEF[[#This Row],[CEDULA]],NCH!$B$7:$AU$229,10,0),"")</f>
        <v/>
      </c>
      <c r="F69" s="186" t="str">
        <f>IFERROR(VLOOKUP(DEF[[#This Row],[CEDULA]],NCH!$B$7:$AU$229,16,0),"")</f>
        <v/>
      </c>
      <c r="G69" s="186" t="str">
        <f>IFERROR(VLOOKUP(DEF[[#This Row],[CEDULA]],NCH!$B$7:$AU$229,22,0),"")</f>
        <v/>
      </c>
      <c r="H69" s="186" t="str">
        <f>IFERROR(VLOOKUP(DEF[[#This Row],[CEDULA]],NCH!$B$7:$AU$229,28,0),"")</f>
        <v/>
      </c>
      <c r="I69" s="186" t="str">
        <f>IFERROR(VLOOKUP(DEF[[#This Row],[CEDULA]],NCH!$B$7:$AU$229,34,0),"")</f>
        <v/>
      </c>
      <c r="J69" s="186" t="str">
        <f>IFERROR(VLOOKUP(DEF[[#This Row],[CEDULA]],NCH!$B$7:$AU$229,40,0),"")</f>
        <v/>
      </c>
      <c r="K69" s="186" t="str">
        <f>IFERROR(VLOOKUP(DEF[[#This Row],[CEDULA]],NCH!$B$7:$AU$229,46,0),"")</f>
        <v/>
      </c>
      <c r="L69" s="186" t="str">
        <f>IFERROR(VLOOKUP(DEF[CEDULA],METAS[],13,0),"")</f>
        <v/>
      </c>
      <c r="M69" s="187">
        <f>SUM(DEF[[#This Row],[L]:[V]])</f>
        <v>0</v>
      </c>
      <c r="N69" s="188">
        <f>SUM(DEF[[#This Row],[S]:[D]])</f>
        <v>0</v>
      </c>
      <c r="O69" s="188">
        <f>DEF[[#This Row],[TOTAL METAS L-V]]+DEF[[#This Row],[TOTAL METAS S-D-F]]</f>
        <v>0</v>
      </c>
      <c r="P69" s="188" t="e">
        <f>VLOOKUP(DEF[[#This Row],[CEDULA]],METAS[],17,0)</f>
        <v>#N/A</v>
      </c>
      <c r="Q6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69" s="190">
        <f>VLOOKUP(DEF[[#This Row],[CEDULA]],DATOS[],9,0)</f>
        <v>0</v>
      </c>
    </row>
    <row r="70" spans="1:18" hidden="1" x14ac:dyDescent="0.25">
      <c r="A70" s="183">
        <v>11923611</v>
      </c>
      <c r="B70" s="184" t="str">
        <f>IFERROR(IF(DEF[[#This Row],[OTRO PAGO]]=0,VLOOKUP(DEF[[#This Row],[CEDULA]],DATOS[],2,0),""),"")</f>
        <v>CASTILLO MAILYNG</v>
      </c>
      <c r="C70" s="184" t="str">
        <f>IFERROR(VLOOKUP(DEF[[#This Row],[CEDULA]],DATOS[],5,0),"")</f>
        <v>ADMINISTRATIVO</v>
      </c>
      <c r="D70" s="185" t="s">
        <v>867</v>
      </c>
      <c r="E70" s="186" t="str">
        <f>IFERROR(VLOOKUP(DEF[[#This Row],[CEDULA]],NCH!$B$7:$AU$229,10,0),"")</f>
        <v/>
      </c>
      <c r="F70" s="186" t="str">
        <f>IFERROR(VLOOKUP(DEF[[#This Row],[CEDULA]],NCH!$B$7:$AU$229,16,0),"")</f>
        <v/>
      </c>
      <c r="G70" s="186" t="str">
        <f>IFERROR(VLOOKUP(DEF[[#This Row],[CEDULA]],NCH!$B$7:$AU$229,22,0),"")</f>
        <v/>
      </c>
      <c r="H70" s="186" t="str">
        <f>IFERROR(VLOOKUP(DEF[[#This Row],[CEDULA]],NCH!$B$7:$AU$229,28,0),"")</f>
        <v/>
      </c>
      <c r="I70" s="186" t="str">
        <f>IFERROR(VLOOKUP(DEF[[#This Row],[CEDULA]],NCH!$B$7:$AU$229,34,0),"")</f>
        <v/>
      </c>
      <c r="J70" s="186" t="str">
        <f>IFERROR(VLOOKUP(DEF[[#This Row],[CEDULA]],NCH!$B$7:$AU$229,40,0),"")</f>
        <v/>
      </c>
      <c r="K70" s="186" t="str">
        <f>IFERROR(VLOOKUP(DEF[[#This Row],[CEDULA]],NCH!$B$7:$AU$229,46,0),"")</f>
        <v/>
      </c>
      <c r="L70" s="186" t="str">
        <f>IFERROR(VLOOKUP(DEF[CEDULA],METAS[],13,0),"")</f>
        <v/>
      </c>
      <c r="M70" s="187">
        <f>SUM(DEF[[#This Row],[L]:[V]])</f>
        <v>0</v>
      </c>
      <c r="N70" s="188">
        <f>SUM(DEF[[#This Row],[S]:[D]])</f>
        <v>0</v>
      </c>
      <c r="O70" s="188">
        <f>DEF[[#This Row],[TOTAL METAS L-V]]+DEF[[#This Row],[TOTAL METAS S-D-F]]</f>
        <v>0</v>
      </c>
      <c r="P70" s="188" t="e">
        <f>VLOOKUP(DEF[[#This Row],[CEDULA]],METAS[],17,0)</f>
        <v>#N/A</v>
      </c>
      <c r="Q7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70" s="190">
        <f>VLOOKUP(DEF[[#This Row],[CEDULA]],DATOS[],9,0)</f>
        <v>0</v>
      </c>
    </row>
    <row r="71" spans="1:18" hidden="1" x14ac:dyDescent="0.25">
      <c r="A71" s="183">
        <v>13873369</v>
      </c>
      <c r="B71" s="184" t="str">
        <f>IFERROR(IF(DEF[[#This Row],[OTRO PAGO]]=0,VLOOKUP(DEF[[#This Row],[CEDULA]],DATOS[],2,0),""),"")</f>
        <v>JIMENEZ NAIRY</v>
      </c>
      <c r="C71" s="184" t="str">
        <f>IFERROR(VLOOKUP(DEF[[#This Row],[CEDULA]],DATOS[],5,0),"")</f>
        <v>ADMINISTRATIVO</v>
      </c>
      <c r="D71" s="185" t="s">
        <v>867</v>
      </c>
      <c r="E71" s="186" t="str">
        <f>IFERROR(VLOOKUP(DEF[[#This Row],[CEDULA]],NCH!$B$7:$AU$229,10,0),"")</f>
        <v/>
      </c>
      <c r="F71" s="186" t="str">
        <f>IFERROR(VLOOKUP(DEF[[#This Row],[CEDULA]],NCH!$B$7:$AU$229,16,0),"")</f>
        <v/>
      </c>
      <c r="G71" s="186" t="str">
        <f>IFERROR(VLOOKUP(DEF[[#This Row],[CEDULA]],NCH!$B$7:$AU$229,22,0),"")</f>
        <v/>
      </c>
      <c r="H71" s="186" t="str">
        <f>IFERROR(VLOOKUP(DEF[[#This Row],[CEDULA]],NCH!$B$7:$AU$229,28,0),"")</f>
        <v/>
      </c>
      <c r="I71" s="186" t="str">
        <f>IFERROR(VLOOKUP(DEF[[#This Row],[CEDULA]],NCH!$B$7:$AU$229,34,0),"")</f>
        <v/>
      </c>
      <c r="J71" s="186" t="str">
        <f>IFERROR(VLOOKUP(DEF[[#This Row],[CEDULA]],NCH!$B$7:$AU$229,40,0),"")</f>
        <v/>
      </c>
      <c r="K71" s="186" t="str">
        <f>IFERROR(VLOOKUP(DEF[[#This Row],[CEDULA]],NCH!$B$7:$AU$229,46,0),"")</f>
        <v/>
      </c>
      <c r="L71" s="186" t="str">
        <f>IFERROR(VLOOKUP(DEF[CEDULA],METAS[],13,0),"")</f>
        <v/>
      </c>
      <c r="M71" s="187">
        <f>SUM(DEF[[#This Row],[L]:[V]])</f>
        <v>0</v>
      </c>
      <c r="N71" s="188">
        <f>SUM(DEF[[#This Row],[S]:[D]])</f>
        <v>0</v>
      </c>
      <c r="O71" s="188">
        <f>DEF[[#This Row],[TOTAL METAS L-V]]+DEF[[#This Row],[TOTAL METAS S-D-F]]</f>
        <v>0</v>
      </c>
      <c r="P71" s="188" t="e">
        <f>VLOOKUP(DEF[[#This Row],[CEDULA]],METAS[],17,0)</f>
        <v>#N/A</v>
      </c>
      <c r="Q7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71" s="190">
        <f>VLOOKUP(DEF[[#This Row],[CEDULA]],DATOS[],9,0)</f>
        <v>0</v>
      </c>
    </row>
    <row r="72" spans="1:18" hidden="1" x14ac:dyDescent="0.25">
      <c r="A72" s="183">
        <v>12867339</v>
      </c>
      <c r="B72" s="184" t="str">
        <f>IFERROR(IF(DEF[[#This Row],[OTRO PAGO]]=0,VLOOKUP(DEF[[#This Row],[CEDULA]],DATOS[],2,0),""),"")</f>
        <v>AGUILAR MARWAN</v>
      </c>
      <c r="C72" s="184" t="str">
        <f>IFERROR(VLOOKUP(DEF[[#This Row],[CEDULA]],DATOS[],5,0),"")</f>
        <v>PROFESIONAL</v>
      </c>
      <c r="D72" s="185" t="s">
        <v>867</v>
      </c>
      <c r="E72" s="186" t="str">
        <f>IFERROR(VLOOKUP(DEF[[#This Row],[CEDULA]],NCH!$B$7:$AU$229,10,0),"")</f>
        <v/>
      </c>
      <c r="F72" s="186" t="str">
        <f>IFERROR(VLOOKUP(DEF[[#This Row],[CEDULA]],NCH!$B$7:$AU$229,16,0),"")</f>
        <v/>
      </c>
      <c r="G72" s="186" t="str">
        <f>IFERROR(VLOOKUP(DEF[[#This Row],[CEDULA]],NCH!$B$7:$AU$229,22,0),"")</f>
        <v/>
      </c>
      <c r="H72" s="186" t="str">
        <f>IFERROR(VLOOKUP(DEF[[#This Row],[CEDULA]],NCH!$B$7:$AU$229,28,0),"")</f>
        <v/>
      </c>
      <c r="I72" s="186" t="str">
        <f>IFERROR(VLOOKUP(DEF[[#This Row],[CEDULA]],NCH!$B$7:$AU$229,34,0),"")</f>
        <v/>
      </c>
      <c r="J72" s="186" t="str">
        <f>IFERROR(VLOOKUP(DEF[[#This Row],[CEDULA]],NCH!$B$7:$AU$229,40,0),"")</f>
        <v/>
      </c>
      <c r="K72" s="186" t="str">
        <f>IFERROR(VLOOKUP(DEF[[#This Row],[CEDULA]],NCH!$B$7:$AU$229,46,0),"")</f>
        <v/>
      </c>
      <c r="L72" s="186" t="str">
        <f>IFERROR(VLOOKUP(DEF[CEDULA],METAS[],13,0),"")</f>
        <v/>
      </c>
      <c r="M72" s="187">
        <f>SUM(DEF[[#This Row],[L]:[V]])</f>
        <v>0</v>
      </c>
      <c r="N72" s="188">
        <f>SUM(DEF[[#This Row],[S]:[D]])</f>
        <v>0</v>
      </c>
      <c r="O72" s="188">
        <f>DEF[[#This Row],[TOTAL METAS L-V]]+DEF[[#This Row],[TOTAL METAS S-D-F]]</f>
        <v>0</v>
      </c>
      <c r="P72" s="188" t="e">
        <f>VLOOKUP(DEF[[#This Row],[CEDULA]],METAS[],17,0)</f>
        <v>#N/A</v>
      </c>
      <c r="Q7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72" s="190">
        <f>VLOOKUP(DEF[[#This Row],[CEDULA]],DATOS[],9,0)</f>
        <v>0</v>
      </c>
    </row>
    <row r="73" spans="1:18" hidden="1" x14ac:dyDescent="0.25">
      <c r="A73" s="183">
        <v>13944994</v>
      </c>
      <c r="B73" s="184" t="str">
        <f>IFERROR(IF(DEF[[#This Row],[OTRO PAGO]]=0,VLOOKUP(DEF[[#This Row],[CEDULA]],DATOS[],2,0),""),"")</f>
        <v>D ANGELO PIERINA</v>
      </c>
      <c r="C73" s="184" t="str">
        <f>IFERROR(VLOOKUP(DEF[[#This Row],[CEDULA]],DATOS[],5,0),"")</f>
        <v>SUPERVISORIO</v>
      </c>
      <c r="D73" s="185" t="s">
        <v>867</v>
      </c>
      <c r="E73" s="186" t="str">
        <f>IFERROR(VLOOKUP(DEF[[#This Row],[CEDULA]],NCH!$B$7:$AU$229,10,0),"")</f>
        <v/>
      </c>
      <c r="F73" s="186" t="str">
        <f>IFERROR(VLOOKUP(DEF[[#This Row],[CEDULA]],NCH!$B$7:$AU$229,16,0),"")</f>
        <v/>
      </c>
      <c r="G73" s="186" t="str">
        <f>IFERROR(VLOOKUP(DEF[[#This Row],[CEDULA]],NCH!$B$7:$AU$229,22,0),"")</f>
        <v/>
      </c>
      <c r="H73" s="186" t="str">
        <f>IFERROR(VLOOKUP(DEF[[#This Row],[CEDULA]],NCH!$B$7:$AU$229,28,0),"")</f>
        <v/>
      </c>
      <c r="I73" s="186" t="str">
        <f>IFERROR(VLOOKUP(DEF[[#This Row],[CEDULA]],NCH!$B$7:$AU$229,34,0),"")</f>
        <v/>
      </c>
      <c r="J73" s="186" t="str">
        <f>IFERROR(VLOOKUP(DEF[[#This Row],[CEDULA]],NCH!$B$7:$AU$229,40,0),"")</f>
        <v/>
      </c>
      <c r="K73" s="186" t="str">
        <f>IFERROR(VLOOKUP(DEF[[#This Row],[CEDULA]],NCH!$B$7:$AU$229,46,0),"")</f>
        <v/>
      </c>
      <c r="L73" s="186" t="str">
        <f>IFERROR(VLOOKUP(DEF[CEDULA],METAS[],13,0),"")</f>
        <v/>
      </c>
      <c r="M73" s="187">
        <f>SUM(DEF[[#This Row],[L]:[V]])</f>
        <v>0</v>
      </c>
      <c r="N73" s="188">
        <f>SUM(DEF[[#This Row],[S]:[D]])</f>
        <v>0</v>
      </c>
      <c r="O73" s="188">
        <f>DEF[[#This Row],[TOTAL METAS L-V]]+DEF[[#This Row],[TOTAL METAS S-D-F]]</f>
        <v>0</v>
      </c>
      <c r="P73" s="188" t="e">
        <f>VLOOKUP(DEF[[#This Row],[CEDULA]],METAS[],17,0)</f>
        <v>#N/A</v>
      </c>
      <c r="Q7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73" s="190">
        <f>VLOOKUP(DEF[[#This Row],[CEDULA]],DATOS[],9,0)</f>
        <v>0</v>
      </c>
    </row>
    <row r="74" spans="1:18" hidden="1" x14ac:dyDescent="0.25">
      <c r="A74" s="183">
        <v>11307551</v>
      </c>
      <c r="B74" s="184" t="str">
        <f>IFERROR(IF(DEF[[#This Row],[OTRO PAGO]]=0,VLOOKUP(DEF[[#This Row],[CEDULA]],DATOS[],2,0),""),"")</f>
        <v>ALARCON VICTOR</v>
      </c>
      <c r="C74" s="184" t="str">
        <f>IFERROR(VLOOKUP(DEF[[#This Row],[CEDULA]],DATOS[],5,0),"")</f>
        <v>SUPERVISORIO</v>
      </c>
      <c r="D74" s="185" t="s">
        <v>867</v>
      </c>
      <c r="E74" s="186" t="str">
        <f>IFERROR(VLOOKUP(DEF[[#This Row],[CEDULA]],NCH!$B$7:$AU$229,10,0),"")</f>
        <v>No realizo Metas</v>
      </c>
      <c r="F74" s="186" t="str">
        <f>IFERROR(VLOOKUP(DEF[[#This Row],[CEDULA]],NCH!$B$7:$AU$229,16,0),"")</f>
        <v>No realizo Metas</v>
      </c>
      <c r="G74" s="186" t="str">
        <f>IFERROR(VLOOKUP(DEF[[#This Row],[CEDULA]],NCH!$B$7:$AU$229,22,0),"")</f>
        <v>No cumple H</v>
      </c>
      <c r="H74" s="186" t="str">
        <f>IFERROR(VLOOKUP(DEF[[#This Row],[CEDULA]],NCH!$B$7:$AU$229,28,0),"")</f>
        <v>No cumple H</v>
      </c>
      <c r="I74" s="186" t="str">
        <f>IFERROR(VLOOKUP(DEF[[#This Row],[CEDULA]],NCH!$B$7:$AU$229,34,0),"")</f>
        <v>No cumple H</v>
      </c>
      <c r="J74" s="186" t="str">
        <f>IFERROR(VLOOKUP(DEF[[#This Row],[CEDULA]],NCH!$B$7:$AU$229,40,0),"")</f>
        <v>No cumple H</v>
      </c>
      <c r="K74" s="186" t="str">
        <f>IFERROR(VLOOKUP(DEF[[#This Row],[CEDULA]],NCH!$B$7:$AU$229,46,0),"")</f>
        <v>No cumple H</v>
      </c>
      <c r="L74" s="186">
        <f>IFERROR(VLOOKUP(DEF[CEDULA],METAS[],13,0),"")</f>
        <v>0</v>
      </c>
      <c r="M74" s="187">
        <f>SUM(DEF[[#This Row],[L]:[V]])</f>
        <v>0</v>
      </c>
      <c r="N74" s="188">
        <f>SUM(DEF[[#This Row],[S]:[D]])</f>
        <v>0</v>
      </c>
      <c r="O74" s="188">
        <f>DEF[[#This Row],[TOTAL METAS L-V]]+DEF[[#This Row],[TOTAL METAS S-D-F]]</f>
        <v>0</v>
      </c>
      <c r="P74" s="188">
        <f>VLOOKUP(DEF[[#This Row],[CEDULA]],METAS[],17,0)</f>
        <v>0</v>
      </c>
      <c r="Q7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74" s="190">
        <f>VLOOKUP(DEF[[#This Row],[CEDULA]],DATOS[],9,0)</f>
        <v>0</v>
      </c>
    </row>
    <row r="75" spans="1:18" hidden="1" x14ac:dyDescent="0.25">
      <c r="A75" s="183">
        <v>18182112</v>
      </c>
      <c r="B75" s="184" t="str">
        <f>IFERROR(IF(DEF[[#This Row],[OTRO PAGO]]=0,VLOOKUP(DEF[[#This Row],[CEDULA]],DATOS[],2,0),""),"")</f>
        <v>BRITO LUIS</v>
      </c>
      <c r="C75" s="184" t="str">
        <f>IFERROR(VLOOKUP(DEF[[#This Row],[CEDULA]],DATOS[],5,0),"")</f>
        <v>OBRERO</v>
      </c>
      <c r="D75" s="185" t="s">
        <v>867</v>
      </c>
      <c r="E75" s="186" t="str">
        <f>IFERROR(VLOOKUP(DEF[[#This Row],[CEDULA]],NCH!$B$7:$AU$229,10,0),"")</f>
        <v/>
      </c>
      <c r="F75" s="186" t="str">
        <f>IFERROR(VLOOKUP(DEF[[#This Row],[CEDULA]],NCH!$B$7:$AU$229,16,0),"")</f>
        <v/>
      </c>
      <c r="G75" s="186" t="str">
        <f>IFERROR(VLOOKUP(DEF[[#This Row],[CEDULA]],NCH!$B$7:$AU$229,22,0),"")</f>
        <v/>
      </c>
      <c r="H75" s="186" t="str">
        <f>IFERROR(VLOOKUP(DEF[[#This Row],[CEDULA]],NCH!$B$7:$AU$229,28,0),"")</f>
        <v/>
      </c>
      <c r="I75" s="186" t="str">
        <f>IFERROR(VLOOKUP(DEF[[#This Row],[CEDULA]],NCH!$B$7:$AU$229,34,0),"")</f>
        <v/>
      </c>
      <c r="J75" s="186" t="str">
        <f>IFERROR(VLOOKUP(DEF[[#This Row],[CEDULA]],NCH!$B$7:$AU$229,40,0),"")</f>
        <v/>
      </c>
      <c r="K75" s="186" t="str">
        <f>IFERROR(VLOOKUP(DEF[[#This Row],[CEDULA]],NCH!$B$7:$AU$229,46,0),"")</f>
        <v/>
      </c>
      <c r="L75" s="186" t="str">
        <f>IFERROR(VLOOKUP(DEF[CEDULA],METAS[],13,0),"")</f>
        <v/>
      </c>
      <c r="M75" s="187">
        <f>SUM(DEF[[#This Row],[L]:[V]])</f>
        <v>0</v>
      </c>
      <c r="N75" s="188">
        <f>SUM(DEF[[#This Row],[S]:[D]])</f>
        <v>0</v>
      </c>
      <c r="O75" s="188">
        <f>DEF[[#This Row],[TOTAL METAS L-V]]+DEF[[#This Row],[TOTAL METAS S-D-F]]</f>
        <v>0</v>
      </c>
      <c r="P75" s="188" t="e">
        <f>VLOOKUP(DEF[[#This Row],[CEDULA]],METAS[],17,0)</f>
        <v>#N/A</v>
      </c>
      <c r="Q7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75" s="190">
        <f>VLOOKUP(DEF[[#This Row],[CEDULA]],DATOS[],9,0)</f>
        <v>0</v>
      </c>
    </row>
    <row r="76" spans="1:18" hidden="1" x14ac:dyDescent="0.25">
      <c r="A76" s="183">
        <v>14908050</v>
      </c>
      <c r="B76" s="184" t="str">
        <f>IFERROR(IF(DEF[[#This Row],[OTRO PAGO]]=0,VLOOKUP(DEF[[#This Row],[CEDULA]],DATOS[],2,0),""),"")</f>
        <v>RUIZ SOBELLA</v>
      </c>
      <c r="C76" s="184" t="str">
        <f>IFERROR(VLOOKUP(DEF[[#This Row],[CEDULA]],DATOS[],5,0),"")</f>
        <v>TECNICO</v>
      </c>
      <c r="D76" s="185" t="s">
        <v>867</v>
      </c>
      <c r="E76" s="186" t="str">
        <f>IFERROR(VLOOKUP(DEF[[#This Row],[CEDULA]],NCH!$B$7:$AU$229,10,0),"")</f>
        <v/>
      </c>
      <c r="F76" s="186" t="str">
        <f>IFERROR(VLOOKUP(DEF[[#This Row],[CEDULA]],NCH!$B$7:$AU$229,16,0),"")</f>
        <v/>
      </c>
      <c r="G76" s="186" t="str">
        <f>IFERROR(VLOOKUP(DEF[[#This Row],[CEDULA]],NCH!$B$7:$AU$229,22,0),"")</f>
        <v/>
      </c>
      <c r="H76" s="186" t="str">
        <f>IFERROR(VLOOKUP(DEF[[#This Row],[CEDULA]],NCH!$B$7:$AU$229,28,0),"")</f>
        <v/>
      </c>
      <c r="I76" s="186" t="str">
        <f>IFERROR(VLOOKUP(DEF[[#This Row],[CEDULA]],NCH!$B$7:$AU$229,34,0),"")</f>
        <v/>
      </c>
      <c r="J76" s="186" t="str">
        <f>IFERROR(VLOOKUP(DEF[[#This Row],[CEDULA]],NCH!$B$7:$AU$229,40,0),"")</f>
        <v/>
      </c>
      <c r="K76" s="186" t="str">
        <f>IFERROR(VLOOKUP(DEF[[#This Row],[CEDULA]],NCH!$B$7:$AU$229,46,0),"")</f>
        <v/>
      </c>
      <c r="L76" s="186" t="str">
        <f>IFERROR(VLOOKUP(DEF[CEDULA],METAS[],13,0),"")</f>
        <v/>
      </c>
      <c r="M76" s="187">
        <f>SUM(DEF[[#This Row],[L]:[V]])</f>
        <v>0</v>
      </c>
      <c r="N76" s="188">
        <f>SUM(DEF[[#This Row],[S]:[D]])</f>
        <v>0</v>
      </c>
      <c r="O76" s="188">
        <f>DEF[[#This Row],[TOTAL METAS L-V]]+DEF[[#This Row],[TOTAL METAS S-D-F]]</f>
        <v>0</v>
      </c>
      <c r="P76" s="188" t="e">
        <f>VLOOKUP(DEF[[#This Row],[CEDULA]],METAS[],17,0)</f>
        <v>#N/A</v>
      </c>
      <c r="Q7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76" s="190">
        <f>VLOOKUP(DEF[[#This Row],[CEDULA]],DATOS[],9,0)</f>
        <v>0</v>
      </c>
    </row>
    <row r="77" spans="1:18" hidden="1" x14ac:dyDescent="0.25">
      <c r="A77" s="183">
        <v>25482546</v>
      </c>
      <c r="B77" s="184" t="str">
        <f>IFERROR(IF(DEF[[#This Row],[OTRO PAGO]]=0,VLOOKUP(DEF[[#This Row],[CEDULA]],DATOS[],2,0),""),"")</f>
        <v>ATENCIO MARIA</v>
      </c>
      <c r="C77" s="184" t="str">
        <f>IFERROR(VLOOKUP(DEF[[#This Row],[CEDULA]],DATOS[],5,0),"")</f>
        <v>PROFESIONAL</v>
      </c>
      <c r="D77" s="185" t="s">
        <v>867</v>
      </c>
      <c r="E77" s="186" t="str">
        <f>IFERROR(VLOOKUP(DEF[[#This Row],[CEDULA]],NCH!$B$7:$AU$229,10,0),"")</f>
        <v>No realizo Metas</v>
      </c>
      <c r="F77" s="186" t="str">
        <f>IFERROR(VLOOKUP(DEF[[#This Row],[CEDULA]],NCH!$B$7:$AU$229,16,0),"")</f>
        <v>No realizo Metas</v>
      </c>
      <c r="G77" s="186" t="str">
        <f>IFERROR(VLOOKUP(DEF[[#This Row],[CEDULA]],NCH!$B$7:$AU$229,22,0),"")</f>
        <v>No cumple H</v>
      </c>
      <c r="H77" s="186" t="str">
        <f>IFERROR(VLOOKUP(DEF[[#This Row],[CEDULA]],NCH!$B$7:$AU$229,28,0),"")</f>
        <v>No cumple H</v>
      </c>
      <c r="I77" s="186" t="str">
        <f>IFERROR(VLOOKUP(DEF[[#This Row],[CEDULA]],NCH!$B$7:$AU$229,34,0),"")</f>
        <v>No cumple H</v>
      </c>
      <c r="J77" s="186" t="str">
        <f>IFERROR(VLOOKUP(DEF[[#This Row],[CEDULA]],NCH!$B$7:$AU$229,40,0),"")</f>
        <v>No cumple H</v>
      </c>
      <c r="K77" s="186" t="str">
        <f>IFERROR(VLOOKUP(DEF[[#This Row],[CEDULA]],NCH!$B$7:$AU$229,46,0),"")</f>
        <v>No cumple H</v>
      </c>
      <c r="L77" s="186">
        <f>IFERROR(VLOOKUP(DEF[CEDULA],METAS[],13,0),"")</f>
        <v>0</v>
      </c>
      <c r="M77" s="187">
        <f>SUM(DEF[[#This Row],[L]:[V]])</f>
        <v>0</v>
      </c>
      <c r="N77" s="188">
        <f>SUM(DEF[[#This Row],[S]:[D]])</f>
        <v>0</v>
      </c>
      <c r="O77" s="188">
        <f>DEF[[#This Row],[TOTAL METAS L-V]]+DEF[[#This Row],[TOTAL METAS S-D-F]]</f>
        <v>0</v>
      </c>
      <c r="P77" s="188">
        <f>VLOOKUP(DEF[[#This Row],[CEDULA]],METAS[],17,0)</f>
        <v>0</v>
      </c>
      <c r="Q7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77" s="190">
        <f>VLOOKUP(DEF[[#This Row],[CEDULA]],DATOS[],9,0)</f>
        <v>0</v>
      </c>
    </row>
    <row r="78" spans="1:18" hidden="1" x14ac:dyDescent="0.25">
      <c r="A78" s="183">
        <v>19966314</v>
      </c>
      <c r="B78" s="184" t="str">
        <f>IFERROR(IF(DEF[[#This Row],[OTRO PAGO]]=0,VLOOKUP(DEF[[#This Row],[CEDULA]],DATOS[],2,0),""),"")</f>
        <v>ARIAS YURIANNI</v>
      </c>
      <c r="C78" s="184" t="str">
        <f>IFERROR(VLOOKUP(DEF[[#This Row],[CEDULA]],DATOS[],5,0),"")</f>
        <v>PROFESIONAL</v>
      </c>
      <c r="D78" s="185" t="s">
        <v>867</v>
      </c>
      <c r="E78" s="186" t="str">
        <f>IFERROR(VLOOKUP(DEF[[#This Row],[CEDULA]],NCH!$B$7:$AU$229,10,0),"")</f>
        <v/>
      </c>
      <c r="F78" s="186" t="str">
        <f>IFERROR(VLOOKUP(DEF[[#This Row],[CEDULA]],NCH!$B$7:$AU$229,16,0),"")</f>
        <v/>
      </c>
      <c r="G78" s="186" t="str">
        <f>IFERROR(VLOOKUP(DEF[[#This Row],[CEDULA]],NCH!$B$7:$AU$229,22,0),"")</f>
        <v/>
      </c>
      <c r="H78" s="186" t="str">
        <f>IFERROR(VLOOKUP(DEF[[#This Row],[CEDULA]],NCH!$B$7:$AU$229,28,0),"")</f>
        <v/>
      </c>
      <c r="I78" s="186" t="str">
        <f>IFERROR(VLOOKUP(DEF[[#This Row],[CEDULA]],NCH!$B$7:$AU$229,34,0),"")</f>
        <v/>
      </c>
      <c r="J78" s="186" t="str">
        <f>IFERROR(VLOOKUP(DEF[[#This Row],[CEDULA]],NCH!$B$7:$AU$229,40,0),"")</f>
        <v/>
      </c>
      <c r="K78" s="186" t="str">
        <f>IFERROR(VLOOKUP(DEF[[#This Row],[CEDULA]],NCH!$B$7:$AU$229,46,0),"")</f>
        <v/>
      </c>
      <c r="L78" s="186" t="str">
        <f>IFERROR(VLOOKUP(DEF[CEDULA],METAS[],13,0),"")</f>
        <v/>
      </c>
      <c r="M78" s="187">
        <f>SUM(DEF[[#This Row],[L]:[V]])</f>
        <v>0</v>
      </c>
      <c r="N78" s="188">
        <f>SUM(DEF[[#This Row],[S]:[D]])</f>
        <v>0</v>
      </c>
      <c r="O78" s="188">
        <f>DEF[[#This Row],[TOTAL METAS L-V]]+DEF[[#This Row],[TOTAL METAS S-D-F]]</f>
        <v>0</v>
      </c>
      <c r="P78" s="188" t="e">
        <f>VLOOKUP(DEF[[#This Row],[CEDULA]],METAS[],17,0)</f>
        <v>#N/A</v>
      </c>
      <c r="Q7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78" s="190">
        <f>VLOOKUP(DEF[[#This Row],[CEDULA]],DATOS[],9,0)</f>
        <v>0</v>
      </c>
    </row>
    <row r="79" spans="1:18" hidden="1" x14ac:dyDescent="0.25">
      <c r="A79" s="183">
        <v>16412133</v>
      </c>
      <c r="B79" s="184" t="str">
        <f>IFERROR(IF(DEF[[#This Row],[OTRO PAGO]]=0,VLOOKUP(DEF[[#This Row],[CEDULA]],DATOS[],2,0),""),"")</f>
        <v>ANGULO MARIA</v>
      </c>
      <c r="C79" s="184" t="str">
        <f>IFERROR(VLOOKUP(DEF[[#This Row],[CEDULA]],DATOS[],5,0),"")</f>
        <v>ADMINISTRATIVO</v>
      </c>
      <c r="D79" s="185" t="s">
        <v>867</v>
      </c>
      <c r="E79" s="186" t="str">
        <f>IFERROR(VLOOKUP(DEF[[#This Row],[CEDULA]],NCH!$B$7:$AU$229,10,0),"")</f>
        <v/>
      </c>
      <c r="F79" s="186" t="str">
        <f>IFERROR(VLOOKUP(DEF[[#This Row],[CEDULA]],NCH!$B$7:$AU$229,16,0),"")</f>
        <v/>
      </c>
      <c r="G79" s="186" t="str">
        <f>IFERROR(VLOOKUP(DEF[[#This Row],[CEDULA]],NCH!$B$7:$AU$229,22,0),"")</f>
        <v/>
      </c>
      <c r="H79" s="186" t="str">
        <f>IFERROR(VLOOKUP(DEF[[#This Row],[CEDULA]],NCH!$B$7:$AU$229,28,0),"")</f>
        <v/>
      </c>
      <c r="I79" s="186" t="str">
        <f>IFERROR(VLOOKUP(DEF[[#This Row],[CEDULA]],NCH!$B$7:$AU$229,34,0),"")</f>
        <v/>
      </c>
      <c r="J79" s="186" t="str">
        <f>IFERROR(VLOOKUP(DEF[[#This Row],[CEDULA]],NCH!$B$7:$AU$229,40,0),"")</f>
        <v/>
      </c>
      <c r="K79" s="186" t="str">
        <f>IFERROR(VLOOKUP(DEF[[#This Row],[CEDULA]],NCH!$B$7:$AU$229,46,0),"")</f>
        <v/>
      </c>
      <c r="L79" s="186" t="str">
        <f>IFERROR(VLOOKUP(DEF[CEDULA],METAS[],13,0),"")</f>
        <v/>
      </c>
      <c r="M79" s="187">
        <f>SUM(DEF[[#This Row],[L]:[V]])</f>
        <v>0</v>
      </c>
      <c r="N79" s="188">
        <f>SUM(DEF[[#This Row],[S]:[D]])</f>
        <v>0</v>
      </c>
      <c r="O79" s="188">
        <f>DEF[[#This Row],[TOTAL METAS L-V]]+DEF[[#This Row],[TOTAL METAS S-D-F]]</f>
        <v>0</v>
      </c>
      <c r="P79" s="188" t="e">
        <f>VLOOKUP(DEF[[#This Row],[CEDULA]],METAS[],17,0)</f>
        <v>#N/A</v>
      </c>
      <c r="Q7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79" s="190">
        <f>VLOOKUP(DEF[[#This Row],[CEDULA]],DATOS[],9,0)</f>
        <v>0</v>
      </c>
    </row>
    <row r="80" spans="1:18" hidden="1" x14ac:dyDescent="0.25">
      <c r="A80" s="183">
        <v>8593916</v>
      </c>
      <c r="B80" s="184" t="str">
        <f>IFERROR(IF(DEF[[#This Row],[OTRO PAGO]]=0,VLOOKUP(DEF[[#This Row],[CEDULA]],DATOS[],2,0),""),"")</f>
        <v>UGARTE CARMEN</v>
      </c>
      <c r="C80" s="184" t="str">
        <f>IFERROR(VLOOKUP(DEF[[#This Row],[CEDULA]],DATOS[],5,0),"")</f>
        <v>PROFESIONAL</v>
      </c>
      <c r="D80" s="185" t="s">
        <v>867</v>
      </c>
      <c r="E80" s="186" t="str">
        <f>IFERROR(VLOOKUP(DEF[[#This Row],[CEDULA]],NCH!$B$7:$AU$229,10,0),"")</f>
        <v>No realizo Metas</v>
      </c>
      <c r="F80" s="186" t="str">
        <f>IFERROR(VLOOKUP(DEF[[#This Row],[CEDULA]],NCH!$B$7:$AU$229,16,0),"")</f>
        <v>No realizo Metas</v>
      </c>
      <c r="G80" s="186" t="str">
        <f>IFERROR(VLOOKUP(DEF[[#This Row],[CEDULA]],NCH!$B$7:$AU$229,22,0),"")</f>
        <v>No cumple H</v>
      </c>
      <c r="H80" s="186" t="str">
        <f>IFERROR(VLOOKUP(DEF[[#This Row],[CEDULA]],NCH!$B$7:$AU$229,28,0),"")</f>
        <v>No cumple H</v>
      </c>
      <c r="I80" s="186" t="str">
        <f>IFERROR(VLOOKUP(DEF[[#This Row],[CEDULA]],NCH!$B$7:$AU$229,34,0),"")</f>
        <v>No cumple H</v>
      </c>
      <c r="J80" s="186" t="str">
        <f>IFERROR(VLOOKUP(DEF[[#This Row],[CEDULA]],NCH!$B$7:$AU$229,40,0),"")</f>
        <v>No cumple H</v>
      </c>
      <c r="K80" s="186" t="str">
        <f>IFERROR(VLOOKUP(DEF[[#This Row],[CEDULA]],NCH!$B$7:$AU$229,46,0),"")</f>
        <v>No cumple H</v>
      </c>
      <c r="L80" s="186">
        <f>IFERROR(VLOOKUP(DEF[CEDULA],METAS[],13,0),"")</f>
        <v>0</v>
      </c>
      <c r="M80" s="187">
        <f>SUM(DEF[[#This Row],[L]:[V]])</f>
        <v>0</v>
      </c>
      <c r="N80" s="188">
        <f>SUM(DEF[[#This Row],[S]:[D]])</f>
        <v>0</v>
      </c>
      <c r="O80" s="188">
        <f>DEF[[#This Row],[TOTAL METAS L-V]]+DEF[[#This Row],[TOTAL METAS S-D-F]]</f>
        <v>0</v>
      </c>
      <c r="P80" s="188">
        <f>VLOOKUP(DEF[[#This Row],[CEDULA]],METAS[],17,0)</f>
        <v>0</v>
      </c>
      <c r="Q8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80" s="190">
        <f>VLOOKUP(DEF[[#This Row],[CEDULA]],DATOS[],9,0)</f>
        <v>0</v>
      </c>
    </row>
    <row r="81" spans="1:18" x14ac:dyDescent="0.25">
      <c r="A81" s="183">
        <v>17326111</v>
      </c>
      <c r="B81" s="184" t="str">
        <f>IFERROR(IF(DEF[[#This Row],[OTRO PAGO]]=0,VLOOKUP(DEF[[#This Row],[CEDULA]],DATOS[],2,0),""),"")</f>
        <v>TORRES JESUS</v>
      </c>
      <c r="C81" s="184" t="str">
        <f>IFERROR(VLOOKUP(DEF[[#This Row],[CEDULA]],DATOS[],5,0),"")</f>
        <v>PROFESIONAL</v>
      </c>
      <c r="D81" s="185" t="s">
        <v>867</v>
      </c>
      <c r="E81" s="186" t="str">
        <f>IFERROR(VLOOKUP(DEF[[#This Row],[CEDULA]],NCH!$B$7:$AU$229,10,0),"")</f>
        <v/>
      </c>
      <c r="F81" s="186" t="str">
        <f>IFERROR(VLOOKUP(DEF[[#This Row],[CEDULA]],NCH!$B$7:$AU$229,16,0),"")</f>
        <v/>
      </c>
      <c r="G81" s="186" t="str">
        <f>IFERROR(VLOOKUP(DEF[[#This Row],[CEDULA]],NCH!$B$7:$AU$229,22,0),"")</f>
        <v/>
      </c>
      <c r="H81" s="186" t="str">
        <f>IFERROR(VLOOKUP(DEF[[#This Row],[CEDULA]],NCH!$B$7:$AU$229,28,0),"")</f>
        <v/>
      </c>
      <c r="I81" s="186" t="str">
        <f>IFERROR(VLOOKUP(DEF[[#This Row],[CEDULA]],NCH!$B$7:$AU$229,34,0),"")</f>
        <v/>
      </c>
      <c r="J81" s="186" t="str">
        <f>IFERROR(VLOOKUP(DEF[[#This Row],[CEDULA]],NCH!$B$7:$AU$229,40,0),"")</f>
        <v/>
      </c>
      <c r="K81" s="186" t="str">
        <f>IFERROR(VLOOKUP(DEF[[#This Row],[CEDULA]],NCH!$B$7:$AU$229,46,0),"")</f>
        <v/>
      </c>
      <c r="L81" s="186" t="str">
        <f>IFERROR(VLOOKUP(DEF[CEDULA],METAS[],13,0),"")</f>
        <v/>
      </c>
      <c r="M81" s="187">
        <f>SUM(DEF[[#This Row],[L]:[V]])</f>
        <v>0</v>
      </c>
      <c r="N81" s="188">
        <f>SUM(DEF[[#This Row],[S]:[D]])</f>
        <v>0</v>
      </c>
      <c r="O81" s="188">
        <f>DEF[[#This Row],[TOTAL METAS L-V]]+DEF[[#This Row],[TOTAL METAS S-D-F]]</f>
        <v>0</v>
      </c>
      <c r="P81" s="188" t="e">
        <f>VLOOKUP(DEF[[#This Row],[CEDULA]],METAS[],17,0)</f>
        <v>#N/A</v>
      </c>
      <c r="Q8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81" s="190">
        <f>VLOOKUP(DEF[[#This Row],[CEDULA]],DATOS[],9,0)</f>
        <v>0</v>
      </c>
    </row>
    <row r="82" spans="1:18" hidden="1" x14ac:dyDescent="0.25">
      <c r="A82" s="183">
        <v>14678944</v>
      </c>
      <c r="B82" s="184" t="str">
        <f>IFERROR(IF(DEF[[#This Row],[OTRO PAGO]]=0,VLOOKUP(DEF[[#This Row],[CEDULA]],DATOS[],2,0),""),"")</f>
        <v>MUNOZ GLENDA</v>
      </c>
      <c r="C82" s="184" t="str">
        <f>IFERROR(VLOOKUP(DEF[[#This Row],[CEDULA]],DATOS[],5,0),"")</f>
        <v>PROFESIONAL</v>
      </c>
      <c r="D82" s="185" t="s">
        <v>867</v>
      </c>
      <c r="E82" s="186" t="str">
        <f>IFERROR(VLOOKUP(DEF[[#This Row],[CEDULA]],NCH!$B$7:$AU$229,10,0),"")</f>
        <v/>
      </c>
      <c r="F82" s="186" t="str">
        <f>IFERROR(VLOOKUP(DEF[[#This Row],[CEDULA]],NCH!$B$7:$AU$229,16,0),"")</f>
        <v/>
      </c>
      <c r="G82" s="186" t="str">
        <f>IFERROR(VLOOKUP(DEF[[#This Row],[CEDULA]],NCH!$B$7:$AU$229,22,0),"")</f>
        <v/>
      </c>
      <c r="H82" s="186" t="str">
        <f>IFERROR(VLOOKUP(DEF[[#This Row],[CEDULA]],NCH!$B$7:$AU$229,28,0),"")</f>
        <v/>
      </c>
      <c r="I82" s="186" t="str">
        <f>IFERROR(VLOOKUP(DEF[[#This Row],[CEDULA]],NCH!$B$7:$AU$229,34,0),"")</f>
        <v/>
      </c>
      <c r="J82" s="186" t="str">
        <f>IFERROR(VLOOKUP(DEF[[#This Row],[CEDULA]],NCH!$B$7:$AU$229,40,0),"")</f>
        <v/>
      </c>
      <c r="K82" s="186" t="str">
        <f>IFERROR(VLOOKUP(DEF[[#This Row],[CEDULA]],NCH!$B$7:$AU$229,46,0),"")</f>
        <v/>
      </c>
      <c r="L82" s="186" t="str">
        <f>IFERROR(VLOOKUP(DEF[CEDULA],METAS[],13,0),"")</f>
        <v/>
      </c>
      <c r="M82" s="187">
        <f>SUM(DEF[[#This Row],[L]:[V]])</f>
        <v>0</v>
      </c>
      <c r="N82" s="188">
        <f>SUM(DEF[[#This Row],[S]:[D]])</f>
        <v>0</v>
      </c>
      <c r="O82" s="188">
        <f>DEF[[#This Row],[TOTAL METAS L-V]]+DEF[[#This Row],[TOTAL METAS S-D-F]]</f>
        <v>0</v>
      </c>
      <c r="P82" s="188" t="e">
        <f>VLOOKUP(DEF[[#This Row],[CEDULA]],METAS[],17,0)</f>
        <v>#N/A</v>
      </c>
      <c r="Q8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82" s="190">
        <f>VLOOKUP(DEF[[#This Row],[CEDULA]],DATOS[],9,0)</f>
        <v>0</v>
      </c>
    </row>
    <row r="83" spans="1:18" hidden="1" x14ac:dyDescent="0.25">
      <c r="A83" s="183">
        <v>18708245</v>
      </c>
      <c r="B83" s="184" t="str">
        <f>IFERROR(IF(DEF[[#This Row],[OTRO PAGO]]=0,VLOOKUP(DEF[[#This Row],[CEDULA]],DATOS[],2,0),""),"")</f>
        <v>BOTERO ADRIANA</v>
      </c>
      <c r="C83" s="184" t="str">
        <f>IFERROR(VLOOKUP(DEF[[#This Row],[CEDULA]],DATOS[],5,0),"")</f>
        <v>PROFESIONAL</v>
      </c>
      <c r="D83" s="185" t="s">
        <v>867</v>
      </c>
      <c r="E83" s="186" t="str">
        <f>IFERROR(VLOOKUP(DEF[[#This Row],[CEDULA]],NCH!$B$7:$AU$229,10,0),"")</f>
        <v/>
      </c>
      <c r="F83" s="186" t="str">
        <f>IFERROR(VLOOKUP(DEF[[#This Row],[CEDULA]],NCH!$B$7:$AU$229,16,0),"")</f>
        <v/>
      </c>
      <c r="G83" s="186" t="str">
        <f>IFERROR(VLOOKUP(DEF[[#This Row],[CEDULA]],NCH!$B$7:$AU$229,22,0),"")</f>
        <v/>
      </c>
      <c r="H83" s="186" t="str">
        <f>IFERROR(VLOOKUP(DEF[[#This Row],[CEDULA]],NCH!$B$7:$AU$229,28,0),"")</f>
        <v/>
      </c>
      <c r="I83" s="186" t="str">
        <f>IFERROR(VLOOKUP(DEF[[#This Row],[CEDULA]],NCH!$B$7:$AU$229,34,0),"")</f>
        <v/>
      </c>
      <c r="J83" s="186" t="str">
        <f>IFERROR(VLOOKUP(DEF[[#This Row],[CEDULA]],NCH!$B$7:$AU$229,40,0),"")</f>
        <v/>
      </c>
      <c r="K83" s="186" t="str">
        <f>IFERROR(VLOOKUP(DEF[[#This Row],[CEDULA]],NCH!$B$7:$AU$229,46,0),"")</f>
        <v/>
      </c>
      <c r="L83" s="186" t="str">
        <f>IFERROR(VLOOKUP(DEF[CEDULA],METAS[],13,0),"")</f>
        <v/>
      </c>
      <c r="M83" s="187">
        <f>SUM(DEF[[#This Row],[L]:[V]])</f>
        <v>0</v>
      </c>
      <c r="N83" s="188">
        <f>SUM(DEF[[#This Row],[S]:[D]])</f>
        <v>0</v>
      </c>
      <c r="O83" s="188">
        <f>DEF[[#This Row],[TOTAL METAS L-V]]+DEF[[#This Row],[TOTAL METAS S-D-F]]</f>
        <v>0</v>
      </c>
      <c r="P83" s="188" t="e">
        <f>VLOOKUP(DEF[[#This Row],[CEDULA]],METAS[],17,0)</f>
        <v>#N/A</v>
      </c>
      <c r="Q8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83" s="190">
        <f>VLOOKUP(DEF[[#This Row],[CEDULA]],DATOS[],9,0)</f>
        <v>0</v>
      </c>
    </row>
    <row r="84" spans="1:18" hidden="1" x14ac:dyDescent="0.25">
      <c r="A84" s="183">
        <v>9097597</v>
      </c>
      <c r="B84" s="184" t="str">
        <f>IFERROR(IF(DEF[[#This Row],[OTRO PAGO]]=0,VLOOKUP(DEF[[#This Row],[CEDULA]],DATOS[],2,0),""),"")</f>
        <v>SANCHEZ MARIA</v>
      </c>
      <c r="C84" s="184" t="str">
        <f>IFERROR(VLOOKUP(DEF[[#This Row],[CEDULA]],DATOS[],5,0),"")</f>
        <v>ADMINISTRATIVO</v>
      </c>
      <c r="D84" s="185" t="s">
        <v>867</v>
      </c>
      <c r="E84" s="186" t="str">
        <f>IFERROR(VLOOKUP(DEF[[#This Row],[CEDULA]],NCH!$B$7:$AU$229,10,0),"")</f>
        <v/>
      </c>
      <c r="F84" s="186" t="str">
        <f>IFERROR(VLOOKUP(DEF[[#This Row],[CEDULA]],NCH!$B$7:$AU$229,16,0),"")</f>
        <v/>
      </c>
      <c r="G84" s="186" t="str">
        <f>IFERROR(VLOOKUP(DEF[[#This Row],[CEDULA]],NCH!$B$7:$AU$229,22,0),"")</f>
        <v/>
      </c>
      <c r="H84" s="186" t="str">
        <f>IFERROR(VLOOKUP(DEF[[#This Row],[CEDULA]],NCH!$B$7:$AU$229,28,0),"")</f>
        <v/>
      </c>
      <c r="I84" s="186" t="str">
        <f>IFERROR(VLOOKUP(DEF[[#This Row],[CEDULA]],NCH!$B$7:$AU$229,34,0),"")</f>
        <v/>
      </c>
      <c r="J84" s="186" t="str">
        <f>IFERROR(VLOOKUP(DEF[[#This Row],[CEDULA]],NCH!$B$7:$AU$229,40,0),"")</f>
        <v/>
      </c>
      <c r="K84" s="186" t="str">
        <f>IFERROR(VLOOKUP(DEF[[#This Row],[CEDULA]],NCH!$B$7:$AU$229,46,0),"")</f>
        <v/>
      </c>
      <c r="L84" s="186" t="str">
        <f>IFERROR(VLOOKUP(DEF[CEDULA],METAS[],13,0),"")</f>
        <v/>
      </c>
      <c r="M84" s="187">
        <f>SUM(DEF[[#This Row],[L]:[V]])</f>
        <v>0</v>
      </c>
      <c r="N84" s="188">
        <f>SUM(DEF[[#This Row],[S]:[D]])</f>
        <v>0</v>
      </c>
      <c r="O84" s="188">
        <f>DEF[[#This Row],[TOTAL METAS L-V]]+DEF[[#This Row],[TOTAL METAS S-D-F]]</f>
        <v>0</v>
      </c>
      <c r="P84" s="188" t="e">
        <f>VLOOKUP(DEF[[#This Row],[CEDULA]],METAS[],17,0)</f>
        <v>#N/A</v>
      </c>
      <c r="Q8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84" s="190">
        <f>VLOOKUP(DEF[[#This Row],[CEDULA]],DATOS[],9,0)</f>
        <v>0</v>
      </c>
    </row>
    <row r="85" spans="1:18" hidden="1" x14ac:dyDescent="0.25">
      <c r="A85" s="183">
        <v>11994298</v>
      </c>
      <c r="B85" s="184" t="str">
        <f>IFERROR(IF(DEF[[#This Row],[OTRO PAGO]]=0,VLOOKUP(DEF[[#This Row],[CEDULA]],DATOS[],2,0),""),"")</f>
        <v>CASTRO MAGALY</v>
      </c>
      <c r="C85" s="184" t="str">
        <f>IFERROR(VLOOKUP(DEF[[#This Row],[CEDULA]],DATOS[],5,0),"")</f>
        <v>PROFESIONAL</v>
      </c>
      <c r="D85" s="185" t="s">
        <v>867</v>
      </c>
      <c r="E85" s="186" t="str">
        <f>IFERROR(VLOOKUP(DEF[[#This Row],[CEDULA]],NCH!$B$7:$AU$229,10,0),"")</f>
        <v/>
      </c>
      <c r="F85" s="186" t="str">
        <f>IFERROR(VLOOKUP(DEF[[#This Row],[CEDULA]],NCH!$B$7:$AU$229,16,0),"")</f>
        <v/>
      </c>
      <c r="G85" s="186" t="str">
        <f>IFERROR(VLOOKUP(DEF[[#This Row],[CEDULA]],NCH!$B$7:$AU$229,22,0),"")</f>
        <v/>
      </c>
      <c r="H85" s="186" t="str">
        <f>IFERROR(VLOOKUP(DEF[[#This Row],[CEDULA]],NCH!$B$7:$AU$229,28,0),"")</f>
        <v/>
      </c>
      <c r="I85" s="186" t="str">
        <f>IFERROR(VLOOKUP(DEF[[#This Row],[CEDULA]],NCH!$B$7:$AU$229,34,0),"")</f>
        <v/>
      </c>
      <c r="J85" s="186" t="str">
        <f>IFERROR(VLOOKUP(DEF[[#This Row],[CEDULA]],NCH!$B$7:$AU$229,40,0),"")</f>
        <v/>
      </c>
      <c r="K85" s="186" t="str">
        <f>IFERROR(VLOOKUP(DEF[[#This Row],[CEDULA]],NCH!$B$7:$AU$229,46,0),"")</f>
        <v/>
      </c>
      <c r="L85" s="186" t="str">
        <f>IFERROR(VLOOKUP(DEF[CEDULA],METAS[],13,0),"")</f>
        <v/>
      </c>
      <c r="M85" s="187">
        <f>SUM(DEF[[#This Row],[L]:[V]])</f>
        <v>0</v>
      </c>
      <c r="N85" s="188">
        <f>SUM(DEF[[#This Row],[S]:[D]])</f>
        <v>0</v>
      </c>
      <c r="O85" s="188">
        <f>DEF[[#This Row],[TOTAL METAS L-V]]+DEF[[#This Row],[TOTAL METAS S-D-F]]</f>
        <v>0</v>
      </c>
      <c r="P85" s="188" t="e">
        <f>VLOOKUP(DEF[[#This Row],[CEDULA]],METAS[],17,0)</f>
        <v>#N/A</v>
      </c>
      <c r="Q8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85" s="190">
        <f>VLOOKUP(DEF[[#This Row],[CEDULA]],DATOS[],9,0)</f>
        <v>0</v>
      </c>
    </row>
    <row r="86" spans="1:18" hidden="1" x14ac:dyDescent="0.25">
      <c r="A86" s="183">
        <v>10883153</v>
      </c>
      <c r="B86" s="184" t="str">
        <f>IFERROR(IF(DEF[[#This Row],[OTRO PAGO]]=0,VLOOKUP(DEF[[#This Row],[CEDULA]],DATOS[],2,0),""),"")</f>
        <v>RODRIGUEZ LIESKA</v>
      </c>
      <c r="C86" s="184" t="str">
        <f>IFERROR(VLOOKUP(DEF[[#This Row],[CEDULA]],DATOS[],5,0),"")</f>
        <v>SUPERVISORIO</v>
      </c>
      <c r="D86" s="185" t="s">
        <v>867</v>
      </c>
      <c r="E86" s="186" t="str">
        <f>IFERROR(VLOOKUP(DEF[[#This Row],[CEDULA]],NCH!$B$7:$AU$229,10,0),"")</f>
        <v/>
      </c>
      <c r="F86" s="186" t="str">
        <f>IFERROR(VLOOKUP(DEF[[#This Row],[CEDULA]],NCH!$B$7:$AU$229,16,0),"")</f>
        <v/>
      </c>
      <c r="G86" s="186" t="str">
        <f>IFERROR(VLOOKUP(DEF[[#This Row],[CEDULA]],NCH!$B$7:$AU$229,22,0),"")</f>
        <v/>
      </c>
      <c r="H86" s="186" t="str">
        <f>IFERROR(VLOOKUP(DEF[[#This Row],[CEDULA]],NCH!$B$7:$AU$229,28,0),"")</f>
        <v/>
      </c>
      <c r="I86" s="186" t="str">
        <f>IFERROR(VLOOKUP(DEF[[#This Row],[CEDULA]],NCH!$B$7:$AU$229,34,0),"")</f>
        <v/>
      </c>
      <c r="J86" s="186" t="str">
        <f>IFERROR(VLOOKUP(DEF[[#This Row],[CEDULA]],NCH!$B$7:$AU$229,40,0),"")</f>
        <v/>
      </c>
      <c r="K86" s="186" t="str">
        <f>IFERROR(VLOOKUP(DEF[[#This Row],[CEDULA]],NCH!$B$7:$AU$229,46,0),"")</f>
        <v/>
      </c>
      <c r="L86" s="186" t="str">
        <f>IFERROR(VLOOKUP(DEF[CEDULA],METAS[],13,0),"")</f>
        <v/>
      </c>
      <c r="M86" s="187">
        <f>SUM(DEF[[#This Row],[L]:[V]])</f>
        <v>0</v>
      </c>
      <c r="N86" s="188">
        <f>SUM(DEF[[#This Row],[S]:[D]])</f>
        <v>0</v>
      </c>
      <c r="O86" s="188">
        <f>DEF[[#This Row],[TOTAL METAS L-V]]+DEF[[#This Row],[TOTAL METAS S-D-F]]</f>
        <v>0</v>
      </c>
      <c r="P86" s="188" t="e">
        <f>VLOOKUP(DEF[[#This Row],[CEDULA]],METAS[],17,0)</f>
        <v>#N/A</v>
      </c>
      <c r="Q8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86" s="190">
        <f>VLOOKUP(DEF[[#This Row],[CEDULA]],DATOS[],9,0)</f>
        <v>0</v>
      </c>
    </row>
    <row r="87" spans="1:18" hidden="1" x14ac:dyDescent="0.25">
      <c r="A87" s="183">
        <v>6316723</v>
      </c>
      <c r="B87" s="184" t="str">
        <f>IFERROR(IF(DEF[[#This Row],[OTRO PAGO]]=0,VLOOKUP(DEF[[#This Row],[CEDULA]],DATOS[],2,0),""),"")</f>
        <v>AMELI GLADYS</v>
      </c>
      <c r="C87" s="184" t="str">
        <f>IFERROR(VLOOKUP(DEF[[#This Row],[CEDULA]],DATOS[],5,0),"")</f>
        <v>SUPERVISORIO</v>
      </c>
      <c r="D87" s="185" t="s">
        <v>867</v>
      </c>
      <c r="E87" s="186" t="str">
        <f>IFERROR(VLOOKUP(DEF[[#This Row],[CEDULA]],NCH!$B$7:$AU$229,10,0),"")</f>
        <v/>
      </c>
      <c r="F87" s="186" t="str">
        <f>IFERROR(VLOOKUP(DEF[[#This Row],[CEDULA]],NCH!$B$7:$AU$229,16,0),"")</f>
        <v/>
      </c>
      <c r="G87" s="186" t="str">
        <f>IFERROR(VLOOKUP(DEF[[#This Row],[CEDULA]],NCH!$B$7:$AU$229,22,0),"")</f>
        <v/>
      </c>
      <c r="H87" s="186" t="str">
        <f>IFERROR(VLOOKUP(DEF[[#This Row],[CEDULA]],NCH!$B$7:$AU$229,28,0),"")</f>
        <v/>
      </c>
      <c r="I87" s="186" t="str">
        <f>IFERROR(VLOOKUP(DEF[[#This Row],[CEDULA]],NCH!$B$7:$AU$229,34,0),"")</f>
        <v/>
      </c>
      <c r="J87" s="186" t="str">
        <f>IFERROR(VLOOKUP(DEF[[#This Row],[CEDULA]],NCH!$B$7:$AU$229,40,0),"")</f>
        <v/>
      </c>
      <c r="K87" s="186" t="str">
        <f>IFERROR(VLOOKUP(DEF[[#This Row],[CEDULA]],NCH!$B$7:$AU$229,46,0),"")</f>
        <v/>
      </c>
      <c r="L87" s="186" t="str">
        <f>IFERROR(VLOOKUP(DEF[CEDULA],METAS[],13,0),"")</f>
        <v/>
      </c>
      <c r="M87" s="187">
        <f>SUM(DEF[[#This Row],[L]:[V]])</f>
        <v>0</v>
      </c>
      <c r="N87" s="188">
        <f>SUM(DEF[[#This Row],[S]:[D]])</f>
        <v>0</v>
      </c>
      <c r="O87" s="188">
        <f>DEF[[#This Row],[TOTAL METAS L-V]]+DEF[[#This Row],[TOTAL METAS S-D-F]]</f>
        <v>0</v>
      </c>
      <c r="P87" s="188" t="e">
        <f>VLOOKUP(DEF[[#This Row],[CEDULA]],METAS[],17,0)</f>
        <v>#N/A</v>
      </c>
      <c r="Q8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87" s="190">
        <f>VLOOKUP(DEF[[#This Row],[CEDULA]],DATOS[],9,0)</f>
        <v>0</v>
      </c>
    </row>
    <row r="88" spans="1:18" hidden="1" x14ac:dyDescent="0.25">
      <c r="A88" s="183">
        <v>14678294</v>
      </c>
      <c r="B88" s="184" t="str">
        <f>IFERROR(IF(DEF[[#This Row],[OTRO PAGO]]=0,VLOOKUP(DEF[[#This Row],[CEDULA]],DATOS[],2,0),""),"")</f>
        <v>COLINA MILAGROS</v>
      </c>
      <c r="C88" s="184" t="str">
        <f>IFERROR(VLOOKUP(DEF[[#This Row],[CEDULA]],DATOS[],5,0),"")</f>
        <v>ADMINISTRATIVO</v>
      </c>
      <c r="D88" s="185" t="s">
        <v>867</v>
      </c>
      <c r="E88" s="186" t="str">
        <f>IFERROR(VLOOKUP(DEF[[#This Row],[CEDULA]],NCH!$B$7:$AU$229,10,0),"")</f>
        <v/>
      </c>
      <c r="F88" s="186" t="str">
        <f>IFERROR(VLOOKUP(DEF[[#This Row],[CEDULA]],NCH!$B$7:$AU$229,16,0),"")</f>
        <v/>
      </c>
      <c r="G88" s="186" t="str">
        <f>IFERROR(VLOOKUP(DEF[[#This Row],[CEDULA]],NCH!$B$7:$AU$229,22,0),"")</f>
        <v/>
      </c>
      <c r="H88" s="186" t="str">
        <f>IFERROR(VLOOKUP(DEF[[#This Row],[CEDULA]],NCH!$B$7:$AU$229,28,0),"")</f>
        <v/>
      </c>
      <c r="I88" s="186" t="str">
        <f>IFERROR(VLOOKUP(DEF[[#This Row],[CEDULA]],NCH!$B$7:$AU$229,34,0),"")</f>
        <v/>
      </c>
      <c r="J88" s="186" t="str">
        <f>IFERROR(VLOOKUP(DEF[[#This Row],[CEDULA]],NCH!$B$7:$AU$229,40,0),"")</f>
        <v/>
      </c>
      <c r="K88" s="186" t="str">
        <f>IFERROR(VLOOKUP(DEF[[#This Row],[CEDULA]],NCH!$B$7:$AU$229,46,0),"")</f>
        <v/>
      </c>
      <c r="L88" s="186" t="str">
        <f>IFERROR(VLOOKUP(DEF[CEDULA],METAS[],13,0),"")</f>
        <v/>
      </c>
      <c r="M88" s="187">
        <f>SUM(DEF[[#This Row],[L]:[V]])</f>
        <v>0</v>
      </c>
      <c r="N88" s="188">
        <f>SUM(DEF[[#This Row],[S]:[D]])</f>
        <v>0</v>
      </c>
      <c r="O88" s="188">
        <f>DEF[[#This Row],[TOTAL METAS L-V]]+DEF[[#This Row],[TOTAL METAS S-D-F]]</f>
        <v>0</v>
      </c>
      <c r="P88" s="188" t="e">
        <f>VLOOKUP(DEF[[#This Row],[CEDULA]],METAS[],17,0)</f>
        <v>#N/A</v>
      </c>
      <c r="Q8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88" s="190">
        <f>VLOOKUP(DEF[[#This Row],[CEDULA]],DATOS[],9,0)</f>
        <v>0</v>
      </c>
    </row>
    <row r="89" spans="1:18" hidden="1" x14ac:dyDescent="0.25">
      <c r="A89" s="183">
        <v>11157851</v>
      </c>
      <c r="B89" s="184" t="str">
        <f>IFERROR(IF(DEF[[#This Row],[OTRO PAGO]]=0,VLOOKUP(DEF[[#This Row],[CEDULA]],DATOS[],2,0),""),"")</f>
        <v>VIVAS DOMINGO</v>
      </c>
      <c r="C89" s="184" t="str">
        <f>IFERROR(VLOOKUP(DEF[[#This Row],[CEDULA]],DATOS[],5,0),"")</f>
        <v>OBRERO</v>
      </c>
      <c r="D89" s="185" t="s">
        <v>867</v>
      </c>
      <c r="E89" s="186" t="str">
        <f>IFERROR(VLOOKUP(DEF[[#This Row],[CEDULA]],NCH!$B$7:$AU$229,10,0),"")</f>
        <v/>
      </c>
      <c r="F89" s="186" t="str">
        <f>IFERROR(VLOOKUP(DEF[[#This Row],[CEDULA]],NCH!$B$7:$AU$229,16,0),"")</f>
        <v/>
      </c>
      <c r="G89" s="186" t="str">
        <f>IFERROR(VLOOKUP(DEF[[#This Row],[CEDULA]],NCH!$B$7:$AU$229,22,0),"")</f>
        <v/>
      </c>
      <c r="H89" s="186" t="str">
        <f>IFERROR(VLOOKUP(DEF[[#This Row],[CEDULA]],NCH!$B$7:$AU$229,28,0),"")</f>
        <v/>
      </c>
      <c r="I89" s="186" t="str">
        <f>IFERROR(VLOOKUP(DEF[[#This Row],[CEDULA]],NCH!$B$7:$AU$229,34,0),"")</f>
        <v/>
      </c>
      <c r="J89" s="186" t="str">
        <f>IFERROR(VLOOKUP(DEF[[#This Row],[CEDULA]],NCH!$B$7:$AU$229,40,0),"")</f>
        <v/>
      </c>
      <c r="K89" s="186" t="str">
        <f>IFERROR(VLOOKUP(DEF[[#This Row],[CEDULA]],NCH!$B$7:$AU$229,46,0),"")</f>
        <v/>
      </c>
      <c r="L89" s="186" t="str">
        <f>IFERROR(VLOOKUP(DEF[CEDULA],METAS[],13,0),"")</f>
        <v/>
      </c>
      <c r="M89" s="187">
        <f>SUM(DEF[[#This Row],[L]:[V]])</f>
        <v>0</v>
      </c>
      <c r="N89" s="188">
        <f>SUM(DEF[[#This Row],[S]:[D]])</f>
        <v>0</v>
      </c>
      <c r="O89" s="188">
        <f>DEF[[#This Row],[TOTAL METAS L-V]]+DEF[[#This Row],[TOTAL METAS S-D-F]]</f>
        <v>0</v>
      </c>
      <c r="P89" s="188" t="e">
        <f>VLOOKUP(DEF[[#This Row],[CEDULA]],METAS[],17,0)</f>
        <v>#N/A</v>
      </c>
      <c r="Q8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89" s="190">
        <f>VLOOKUP(DEF[[#This Row],[CEDULA]],DATOS[],9,0)</f>
        <v>0</v>
      </c>
    </row>
    <row r="90" spans="1:18" hidden="1" x14ac:dyDescent="0.25">
      <c r="A90" s="183">
        <v>10615718</v>
      </c>
      <c r="B90" s="184" t="str">
        <f>IFERROR(IF(DEF[[#This Row],[OTRO PAGO]]=0,VLOOKUP(DEF[[#This Row],[CEDULA]],DATOS[],2,0),""),"")</f>
        <v>MATERAN YURAIMA</v>
      </c>
      <c r="C90" s="184" t="str">
        <f>IFERROR(VLOOKUP(DEF[[#This Row],[CEDULA]],DATOS[],5,0),"")</f>
        <v>ADMINISTRATIVO</v>
      </c>
      <c r="D90" s="185" t="s">
        <v>867</v>
      </c>
      <c r="E90" s="186" t="str">
        <f>IFERROR(VLOOKUP(DEF[[#This Row],[CEDULA]],NCH!$B$7:$AU$229,10,0),"")</f>
        <v/>
      </c>
      <c r="F90" s="186" t="str">
        <f>IFERROR(VLOOKUP(DEF[[#This Row],[CEDULA]],NCH!$B$7:$AU$229,16,0),"")</f>
        <v/>
      </c>
      <c r="G90" s="186" t="str">
        <f>IFERROR(VLOOKUP(DEF[[#This Row],[CEDULA]],NCH!$B$7:$AU$229,22,0),"")</f>
        <v/>
      </c>
      <c r="H90" s="186" t="str">
        <f>IFERROR(VLOOKUP(DEF[[#This Row],[CEDULA]],NCH!$B$7:$AU$229,28,0),"")</f>
        <v/>
      </c>
      <c r="I90" s="186" t="str">
        <f>IFERROR(VLOOKUP(DEF[[#This Row],[CEDULA]],NCH!$B$7:$AU$229,34,0),"")</f>
        <v/>
      </c>
      <c r="J90" s="186" t="str">
        <f>IFERROR(VLOOKUP(DEF[[#This Row],[CEDULA]],NCH!$B$7:$AU$229,40,0),"")</f>
        <v/>
      </c>
      <c r="K90" s="186" t="str">
        <f>IFERROR(VLOOKUP(DEF[[#This Row],[CEDULA]],NCH!$B$7:$AU$229,46,0),"")</f>
        <v/>
      </c>
      <c r="L90" s="186" t="str">
        <f>IFERROR(VLOOKUP(DEF[CEDULA],METAS[],13,0),"")</f>
        <v/>
      </c>
      <c r="M90" s="187">
        <f>SUM(DEF[[#This Row],[L]:[V]])</f>
        <v>0</v>
      </c>
      <c r="N90" s="188">
        <f>SUM(DEF[[#This Row],[S]:[D]])</f>
        <v>0</v>
      </c>
      <c r="O90" s="188">
        <f>DEF[[#This Row],[TOTAL METAS L-V]]+DEF[[#This Row],[TOTAL METAS S-D-F]]</f>
        <v>0</v>
      </c>
      <c r="P90" s="188" t="e">
        <f>VLOOKUP(DEF[[#This Row],[CEDULA]],METAS[],17,0)</f>
        <v>#N/A</v>
      </c>
      <c r="Q9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90" s="190">
        <f>VLOOKUP(DEF[[#This Row],[CEDULA]],DATOS[],9,0)</f>
        <v>0</v>
      </c>
    </row>
    <row r="91" spans="1:18" hidden="1" x14ac:dyDescent="0.25">
      <c r="A91" s="183">
        <v>12834013</v>
      </c>
      <c r="B91" s="184" t="str">
        <f>IFERROR(IF(DEF[[#This Row],[OTRO PAGO]]=0,VLOOKUP(DEF[[#This Row],[CEDULA]],DATOS[],2,0),""),"")</f>
        <v>SANCHEZ HENRY</v>
      </c>
      <c r="C91" s="184" t="str">
        <f>IFERROR(VLOOKUP(DEF[[#This Row],[CEDULA]],DATOS[],5,0),"")</f>
        <v>ADMINISTRATIVO</v>
      </c>
      <c r="D91" s="185" t="s">
        <v>867</v>
      </c>
      <c r="E91" s="186" t="str">
        <f>IFERROR(VLOOKUP(DEF[[#This Row],[CEDULA]],NCH!$B$7:$AU$229,10,0),"")</f>
        <v/>
      </c>
      <c r="F91" s="186" t="str">
        <f>IFERROR(VLOOKUP(DEF[[#This Row],[CEDULA]],NCH!$B$7:$AU$229,16,0),"")</f>
        <v/>
      </c>
      <c r="G91" s="186" t="str">
        <f>IFERROR(VLOOKUP(DEF[[#This Row],[CEDULA]],NCH!$B$7:$AU$229,22,0),"")</f>
        <v/>
      </c>
      <c r="H91" s="186" t="str">
        <f>IFERROR(VLOOKUP(DEF[[#This Row],[CEDULA]],NCH!$B$7:$AU$229,28,0),"")</f>
        <v/>
      </c>
      <c r="I91" s="186" t="str">
        <f>IFERROR(VLOOKUP(DEF[[#This Row],[CEDULA]],NCH!$B$7:$AU$229,34,0),"")</f>
        <v/>
      </c>
      <c r="J91" s="186" t="str">
        <f>IFERROR(VLOOKUP(DEF[[#This Row],[CEDULA]],NCH!$B$7:$AU$229,40,0),"")</f>
        <v/>
      </c>
      <c r="K91" s="186" t="str">
        <f>IFERROR(VLOOKUP(DEF[[#This Row],[CEDULA]],NCH!$B$7:$AU$229,46,0),"")</f>
        <v/>
      </c>
      <c r="L91" s="186" t="str">
        <f>IFERROR(VLOOKUP(DEF[CEDULA],METAS[],13,0),"")</f>
        <v/>
      </c>
      <c r="M91" s="187">
        <f>SUM(DEF[[#This Row],[L]:[V]])</f>
        <v>0</v>
      </c>
      <c r="N91" s="188">
        <f>SUM(DEF[[#This Row],[S]:[D]])</f>
        <v>0</v>
      </c>
      <c r="O91" s="188">
        <f>DEF[[#This Row],[TOTAL METAS L-V]]+DEF[[#This Row],[TOTAL METAS S-D-F]]</f>
        <v>0</v>
      </c>
      <c r="P91" s="188" t="e">
        <f>VLOOKUP(DEF[[#This Row],[CEDULA]],METAS[],17,0)</f>
        <v>#N/A</v>
      </c>
      <c r="Q9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91" s="190">
        <f>VLOOKUP(DEF[[#This Row],[CEDULA]],DATOS[],9,0)</f>
        <v>0</v>
      </c>
    </row>
    <row r="92" spans="1:18" hidden="1" x14ac:dyDescent="0.25">
      <c r="A92" s="183">
        <v>12951325</v>
      </c>
      <c r="B92" s="184" t="str">
        <f>IFERROR(IF(DEF[[#This Row],[OTRO PAGO]]=0,VLOOKUP(DEF[[#This Row],[CEDULA]],DATOS[],2,0),""),"")</f>
        <v>QUESADA JOEVE</v>
      </c>
      <c r="C92" s="184" t="str">
        <f>IFERROR(VLOOKUP(DEF[[#This Row],[CEDULA]],DATOS[],5,0),"")</f>
        <v>PROFESIONAL</v>
      </c>
      <c r="D92" s="185" t="s">
        <v>873</v>
      </c>
      <c r="E92" s="186" t="str">
        <f>IFERROR(VLOOKUP(DEF[[#This Row],[CEDULA]],NCH!$B$7:$AU$229,10,0),"")</f>
        <v/>
      </c>
      <c r="F92" s="186" t="str">
        <f>IFERROR(VLOOKUP(DEF[[#This Row],[CEDULA]],NCH!$B$7:$AU$229,16,0),"")</f>
        <v/>
      </c>
      <c r="G92" s="186" t="str">
        <f>IFERROR(VLOOKUP(DEF[[#This Row],[CEDULA]],NCH!$B$7:$AU$229,22,0),"")</f>
        <v/>
      </c>
      <c r="H92" s="186" t="str">
        <f>IFERROR(VLOOKUP(DEF[[#This Row],[CEDULA]],NCH!$B$7:$AU$229,28,0),"")</f>
        <v/>
      </c>
      <c r="I92" s="186" t="str">
        <f>IFERROR(VLOOKUP(DEF[[#This Row],[CEDULA]],NCH!$B$7:$AU$229,34,0),"")</f>
        <v/>
      </c>
      <c r="J92" s="186" t="str">
        <f>IFERROR(VLOOKUP(DEF[[#This Row],[CEDULA]],NCH!$B$7:$AU$229,40,0),"")</f>
        <v/>
      </c>
      <c r="K92" s="186" t="str">
        <f>IFERROR(VLOOKUP(DEF[[#This Row],[CEDULA]],NCH!$B$7:$AU$229,46,0),"")</f>
        <v/>
      </c>
      <c r="L92" s="186" t="str">
        <f>IFERROR(VLOOKUP(DEF[CEDULA],METAS[],13,0),"")</f>
        <v/>
      </c>
      <c r="M92" s="187">
        <f>SUM(DEF[[#This Row],[L]:[V]])</f>
        <v>0</v>
      </c>
      <c r="N92" s="188">
        <f>SUM(DEF[[#This Row],[S]:[D]])</f>
        <v>0</v>
      </c>
      <c r="O92" s="188">
        <f>DEF[[#This Row],[TOTAL METAS L-V]]+DEF[[#This Row],[TOTAL METAS S-D-F]]</f>
        <v>0</v>
      </c>
      <c r="P92" s="188" t="e">
        <f>VLOOKUP(DEF[[#This Row],[CEDULA]],METAS[],17,0)</f>
        <v>#N/A</v>
      </c>
      <c r="Q9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92" s="190">
        <f>VLOOKUP(DEF[[#This Row],[CEDULA]],DATOS[],9,0)</f>
        <v>0</v>
      </c>
    </row>
    <row r="93" spans="1:18" hidden="1" x14ac:dyDescent="0.25">
      <c r="A93" s="183">
        <v>14472161</v>
      </c>
      <c r="B93" s="184" t="str">
        <f>IFERROR(IF(DEF[[#This Row],[OTRO PAGO]]=0,VLOOKUP(DEF[[#This Row],[CEDULA]],DATOS[],2,0),""),"")</f>
        <v>CHAVARRI ESLER</v>
      </c>
      <c r="C93" s="184" t="str">
        <f>IFERROR(VLOOKUP(DEF[[#This Row],[CEDULA]],DATOS[],5,0),"")</f>
        <v>OBRERO</v>
      </c>
      <c r="D93" s="185" t="s">
        <v>873</v>
      </c>
      <c r="E93" s="186" t="str">
        <f>IFERROR(VLOOKUP(DEF[[#This Row],[CEDULA]],NCH!$B$7:$AU$229,10,0),"")</f>
        <v/>
      </c>
      <c r="F93" s="186" t="str">
        <f>IFERROR(VLOOKUP(DEF[[#This Row],[CEDULA]],NCH!$B$7:$AU$229,16,0),"")</f>
        <v/>
      </c>
      <c r="G93" s="186" t="str">
        <f>IFERROR(VLOOKUP(DEF[[#This Row],[CEDULA]],NCH!$B$7:$AU$229,22,0),"")</f>
        <v/>
      </c>
      <c r="H93" s="186" t="str">
        <f>IFERROR(VLOOKUP(DEF[[#This Row],[CEDULA]],NCH!$B$7:$AU$229,28,0),"")</f>
        <v/>
      </c>
      <c r="I93" s="186" t="str">
        <f>IFERROR(VLOOKUP(DEF[[#This Row],[CEDULA]],NCH!$B$7:$AU$229,34,0),"")</f>
        <v/>
      </c>
      <c r="J93" s="186" t="str">
        <f>IFERROR(VLOOKUP(DEF[[#This Row],[CEDULA]],NCH!$B$7:$AU$229,40,0),"")</f>
        <v/>
      </c>
      <c r="K93" s="186" t="str">
        <f>IFERROR(VLOOKUP(DEF[[#This Row],[CEDULA]],NCH!$B$7:$AU$229,46,0),"")</f>
        <v/>
      </c>
      <c r="L93" s="186" t="str">
        <f>IFERROR(VLOOKUP(DEF[CEDULA],METAS[],13,0),"")</f>
        <v/>
      </c>
      <c r="M93" s="187">
        <f>SUM(DEF[[#This Row],[L]:[V]])</f>
        <v>0</v>
      </c>
      <c r="N93" s="188">
        <f>SUM(DEF[[#This Row],[S]:[D]])</f>
        <v>0</v>
      </c>
      <c r="O93" s="188">
        <f>DEF[[#This Row],[TOTAL METAS L-V]]+DEF[[#This Row],[TOTAL METAS S-D-F]]</f>
        <v>0</v>
      </c>
      <c r="P93" s="188" t="e">
        <f>VLOOKUP(DEF[[#This Row],[CEDULA]],METAS[],17,0)</f>
        <v>#N/A</v>
      </c>
      <c r="Q9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93" s="190">
        <f>VLOOKUP(DEF[[#This Row],[CEDULA]],DATOS[],9,0)</f>
        <v>0</v>
      </c>
    </row>
    <row r="94" spans="1:18" hidden="1" x14ac:dyDescent="0.25">
      <c r="A94" s="183">
        <v>6220489</v>
      </c>
      <c r="B94" s="184" t="str">
        <f>IFERROR(IF(DEF[[#This Row],[OTRO PAGO]]=0,VLOOKUP(DEF[[#This Row],[CEDULA]],DATOS[],2,0),""),"")</f>
        <v>SUAREZ CARLOS</v>
      </c>
      <c r="C94" s="184" t="str">
        <f>IFERROR(VLOOKUP(DEF[[#This Row],[CEDULA]],DATOS[],5,0),"")</f>
        <v>OBRERO</v>
      </c>
      <c r="D94" s="185" t="s">
        <v>873</v>
      </c>
      <c r="E94" s="186" t="str">
        <f>IFERROR(VLOOKUP(DEF[[#This Row],[CEDULA]],NCH!$B$7:$AU$229,10,0),"")</f>
        <v/>
      </c>
      <c r="F94" s="186" t="str">
        <f>IFERROR(VLOOKUP(DEF[[#This Row],[CEDULA]],NCH!$B$7:$AU$229,16,0),"")</f>
        <v/>
      </c>
      <c r="G94" s="186" t="str">
        <f>IFERROR(VLOOKUP(DEF[[#This Row],[CEDULA]],NCH!$B$7:$AU$229,22,0),"")</f>
        <v/>
      </c>
      <c r="H94" s="186" t="str">
        <f>IFERROR(VLOOKUP(DEF[[#This Row],[CEDULA]],NCH!$B$7:$AU$229,28,0),"")</f>
        <v/>
      </c>
      <c r="I94" s="186" t="str">
        <f>IFERROR(VLOOKUP(DEF[[#This Row],[CEDULA]],NCH!$B$7:$AU$229,34,0),"")</f>
        <v/>
      </c>
      <c r="J94" s="186" t="str">
        <f>IFERROR(VLOOKUP(DEF[[#This Row],[CEDULA]],NCH!$B$7:$AU$229,40,0),"")</f>
        <v/>
      </c>
      <c r="K94" s="186" t="str">
        <f>IFERROR(VLOOKUP(DEF[[#This Row],[CEDULA]],NCH!$B$7:$AU$229,46,0),"")</f>
        <v/>
      </c>
      <c r="L94" s="186" t="str">
        <f>IFERROR(VLOOKUP(DEF[CEDULA],METAS[],13,0),"")</f>
        <v/>
      </c>
      <c r="M94" s="187">
        <f>SUM(DEF[[#This Row],[L]:[V]])</f>
        <v>0</v>
      </c>
      <c r="N94" s="188">
        <f>SUM(DEF[[#This Row],[S]:[D]])</f>
        <v>0</v>
      </c>
      <c r="O94" s="188">
        <f>DEF[[#This Row],[TOTAL METAS L-V]]+DEF[[#This Row],[TOTAL METAS S-D-F]]</f>
        <v>0</v>
      </c>
      <c r="P94" s="188" t="e">
        <f>VLOOKUP(DEF[[#This Row],[CEDULA]],METAS[],17,0)</f>
        <v>#N/A</v>
      </c>
      <c r="Q9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94" s="190">
        <f>VLOOKUP(DEF[[#This Row],[CEDULA]],DATOS[],9,0)</f>
        <v>0</v>
      </c>
    </row>
    <row r="95" spans="1:18" hidden="1" x14ac:dyDescent="0.25">
      <c r="A95" s="183">
        <v>10788651</v>
      </c>
      <c r="B95" s="184" t="str">
        <f>IFERROR(IF(DEF[[#This Row],[OTRO PAGO]]=0,VLOOKUP(DEF[[#This Row],[CEDULA]],DATOS[],2,0),""),"")</f>
        <v>VILLA JOSE</v>
      </c>
      <c r="C95" s="184" t="str">
        <f>IFERROR(VLOOKUP(DEF[[#This Row],[CEDULA]],DATOS[],5,0),"")</f>
        <v>OBRERO</v>
      </c>
      <c r="D95" s="185" t="s">
        <v>873</v>
      </c>
      <c r="E95" s="186" t="str">
        <f>IFERROR(VLOOKUP(DEF[[#This Row],[CEDULA]],NCH!$B$7:$AU$229,10,0),"")</f>
        <v/>
      </c>
      <c r="F95" s="186" t="str">
        <f>IFERROR(VLOOKUP(DEF[[#This Row],[CEDULA]],NCH!$B$7:$AU$229,16,0),"")</f>
        <v/>
      </c>
      <c r="G95" s="186" t="str">
        <f>IFERROR(VLOOKUP(DEF[[#This Row],[CEDULA]],NCH!$B$7:$AU$229,22,0),"")</f>
        <v/>
      </c>
      <c r="H95" s="186" t="str">
        <f>IFERROR(VLOOKUP(DEF[[#This Row],[CEDULA]],NCH!$B$7:$AU$229,28,0),"")</f>
        <v/>
      </c>
      <c r="I95" s="186" t="str">
        <f>IFERROR(VLOOKUP(DEF[[#This Row],[CEDULA]],NCH!$B$7:$AU$229,34,0),"")</f>
        <v/>
      </c>
      <c r="J95" s="186" t="str">
        <f>IFERROR(VLOOKUP(DEF[[#This Row],[CEDULA]],NCH!$B$7:$AU$229,40,0),"")</f>
        <v/>
      </c>
      <c r="K95" s="186" t="str">
        <f>IFERROR(VLOOKUP(DEF[[#This Row],[CEDULA]],NCH!$B$7:$AU$229,46,0),"")</f>
        <v/>
      </c>
      <c r="L95" s="186" t="str">
        <f>IFERROR(VLOOKUP(DEF[CEDULA],METAS[],13,0),"")</f>
        <v/>
      </c>
      <c r="M95" s="187">
        <f>SUM(DEF[[#This Row],[L]:[V]])</f>
        <v>0</v>
      </c>
      <c r="N95" s="188">
        <f>SUM(DEF[[#This Row],[S]:[D]])</f>
        <v>0</v>
      </c>
      <c r="O95" s="188">
        <f>DEF[[#This Row],[TOTAL METAS L-V]]+DEF[[#This Row],[TOTAL METAS S-D-F]]</f>
        <v>0</v>
      </c>
      <c r="P95" s="188" t="e">
        <f>VLOOKUP(DEF[[#This Row],[CEDULA]],METAS[],17,0)</f>
        <v>#N/A</v>
      </c>
      <c r="Q9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95" s="190">
        <f>VLOOKUP(DEF[[#This Row],[CEDULA]],DATOS[],9,0)</f>
        <v>0</v>
      </c>
    </row>
    <row r="96" spans="1:18" hidden="1" x14ac:dyDescent="0.25">
      <c r="A96" s="183">
        <v>10784886</v>
      </c>
      <c r="B96" s="184" t="str">
        <f>IFERROR(IF(DEF[[#This Row],[OTRO PAGO]]=0,VLOOKUP(DEF[[#This Row],[CEDULA]],DATOS[],2,0),""),"")</f>
        <v>GONZALEZ CARLOS</v>
      </c>
      <c r="C96" s="184" t="str">
        <f>IFERROR(VLOOKUP(DEF[[#This Row],[CEDULA]],DATOS[],5,0),"")</f>
        <v>SUPERVISORIO</v>
      </c>
      <c r="D96" s="185" t="s">
        <v>873</v>
      </c>
      <c r="E96" s="186" t="str">
        <f>IFERROR(VLOOKUP(DEF[[#This Row],[CEDULA]],NCH!$B$7:$AU$229,10,0),"")</f>
        <v>No realizo Metas</v>
      </c>
      <c r="F96" s="186" t="str">
        <f>IFERROR(VLOOKUP(DEF[[#This Row],[CEDULA]],NCH!$B$7:$AU$229,16,0),"")</f>
        <v>No realizo Metas</v>
      </c>
      <c r="G96" s="186" t="str">
        <f>IFERROR(VLOOKUP(DEF[[#This Row],[CEDULA]],NCH!$B$7:$AU$229,22,0),"")</f>
        <v>No cumple H</v>
      </c>
      <c r="H96" s="186" t="str">
        <f>IFERROR(VLOOKUP(DEF[[#This Row],[CEDULA]],NCH!$B$7:$AU$229,28,0),"")</f>
        <v>No cumple H</v>
      </c>
      <c r="I96" s="186" t="str">
        <f>IFERROR(VLOOKUP(DEF[[#This Row],[CEDULA]],NCH!$B$7:$AU$229,34,0),"")</f>
        <v>No cumple H</v>
      </c>
      <c r="J96" s="186" t="str">
        <f>IFERROR(VLOOKUP(DEF[[#This Row],[CEDULA]],NCH!$B$7:$AU$229,40,0),"")</f>
        <v>No cumple H</v>
      </c>
      <c r="K96" s="186" t="str">
        <f>IFERROR(VLOOKUP(DEF[[#This Row],[CEDULA]],NCH!$B$7:$AU$229,46,0),"")</f>
        <v>No cumple H</v>
      </c>
      <c r="L96" s="186">
        <f>IFERROR(VLOOKUP(DEF[CEDULA],METAS[],13,0),"")</f>
        <v>1</v>
      </c>
      <c r="M96" s="187">
        <f>SUM(DEF[[#This Row],[L]:[V]])</f>
        <v>0</v>
      </c>
      <c r="N96" s="188">
        <f>SUM(DEF[[#This Row],[S]:[D]])</f>
        <v>0</v>
      </c>
      <c r="O96" s="188">
        <f>DEF[[#This Row],[TOTAL METAS L-V]]+DEF[[#This Row],[TOTAL METAS S-D-F]]</f>
        <v>0</v>
      </c>
      <c r="P96" s="188">
        <f>VLOOKUP(DEF[[#This Row],[CEDULA]],METAS[],17,0)</f>
        <v>287.81</v>
      </c>
      <c r="Q9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96" s="190">
        <f>VLOOKUP(DEF[[#This Row],[CEDULA]],DATOS[],9,0)</f>
        <v>0</v>
      </c>
    </row>
    <row r="97" spans="1:18" ht="30" hidden="1" x14ac:dyDescent="0.25">
      <c r="A97" s="183">
        <v>11565454</v>
      </c>
      <c r="B97" s="184" t="str">
        <f>IFERROR(IF(DEF[[#This Row],[OTRO PAGO]]=0,VLOOKUP(DEF[[#This Row],[CEDULA]],DATOS[],2,0),""),"")</f>
        <v>HERNANDEZ ROBERTO</v>
      </c>
      <c r="C97" s="184" t="str">
        <f>IFERROR(VLOOKUP(DEF[[#This Row],[CEDULA]],DATOS[],5,0),"")</f>
        <v>SUPERVISORIO</v>
      </c>
      <c r="D97" s="185" t="s">
        <v>861</v>
      </c>
      <c r="E97" s="186" t="str">
        <f>IFERROR(VLOOKUP(DEF[[#This Row],[CEDULA]],NCH!$B$7:$AU$229,10,0),"")</f>
        <v/>
      </c>
      <c r="F97" s="186" t="str">
        <f>IFERROR(VLOOKUP(DEF[[#This Row],[CEDULA]],NCH!$B$7:$AU$229,16,0),"")</f>
        <v/>
      </c>
      <c r="G97" s="186" t="str">
        <f>IFERROR(VLOOKUP(DEF[[#This Row],[CEDULA]],NCH!$B$7:$AU$229,22,0),"")</f>
        <v/>
      </c>
      <c r="H97" s="186" t="str">
        <f>IFERROR(VLOOKUP(DEF[[#This Row],[CEDULA]],NCH!$B$7:$AU$229,28,0),"")</f>
        <v/>
      </c>
      <c r="I97" s="186" t="str">
        <f>IFERROR(VLOOKUP(DEF[[#This Row],[CEDULA]],NCH!$B$7:$AU$229,34,0),"")</f>
        <v/>
      </c>
      <c r="J97" s="186" t="str">
        <f>IFERROR(VLOOKUP(DEF[[#This Row],[CEDULA]],NCH!$B$7:$AU$229,40,0),"")</f>
        <v/>
      </c>
      <c r="K97" s="186" t="str">
        <f>IFERROR(VLOOKUP(DEF[[#This Row],[CEDULA]],NCH!$B$7:$AU$229,46,0),"")</f>
        <v/>
      </c>
      <c r="L97" s="186" t="str">
        <f>IFERROR(VLOOKUP(DEF[CEDULA],METAS[],13,0),"")</f>
        <v/>
      </c>
      <c r="M97" s="187">
        <f>SUM(DEF[[#This Row],[L]:[V]])</f>
        <v>0</v>
      </c>
      <c r="N97" s="188">
        <f>SUM(DEF[[#This Row],[S]:[D]])</f>
        <v>0</v>
      </c>
      <c r="O97" s="188">
        <f>DEF[[#This Row],[TOTAL METAS L-V]]+DEF[[#This Row],[TOTAL METAS S-D-F]]</f>
        <v>0</v>
      </c>
      <c r="P97" s="188" t="e">
        <f>VLOOKUP(DEF[[#This Row],[CEDULA]],METAS[],17,0)</f>
        <v>#N/A</v>
      </c>
      <c r="Q9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97" s="190">
        <f>VLOOKUP(DEF[[#This Row],[CEDULA]],DATOS[],9,0)</f>
        <v>0</v>
      </c>
    </row>
    <row r="98" spans="1:18" ht="30" x14ac:dyDescent="0.25">
      <c r="A98" s="183">
        <v>6877349</v>
      </c>
      <c r="B98" s="184" t="str">
        <f>IFERROR(IF(DEF[[#This Row],[OTRO PAGO]]=0,VLOOKUP(DEF[[#This Row],[CEDULA]],DATOS[],2,0),""),"")</f>
        <v>TORRES JORGE</v>
      </c>
      <c r="C98" s="184" t="str">
        <f>IFERROR(VLOOKUP(DEF[[#This Row],[CEDULA]],DATOS[],5,0),"")</f>
        <v>SUPERVISORIO</v>
      </c>
      <c r="D98" s="185" t="s">
        <v>861</v>
      </c>
      <c r="E98" s="186" t="str">
        <f>IFERROR(VLOOKUP(DEF[[#This Row],[CEDULA]],NCH!$B$7:$AU$229,10,0),"")</f>
        <v/>
      </c>
      <c r="F98" s="186" t="str">
        <f>IFERROR(VLOOKUP(DEF[[#This Row],[CEDULA]],NCH!$B$7:$AU$229,16,0),"")</f>
        <v/>
      </c>
      <c r="G98" s="186" t="str">
        <f>IFERROR(VLOOKUP(DEF[[#This Row],[CEDULA]],NCH!$B$7:$AU$229,22,0),"")</f>
        <v/>
      </c>
      <c r="H98" s="186" t="str">
        <f>IFERROR(VLOOKUP(DEF[[#This Row],[CEDULA]],NCH!$B$7:$AU$229,28,0),"")</f>
        <v/>
      </c>
      <c r="I98" s="186" t="str">
        <f>IFERROR(VLOOKUP(DEF[[#This Row],[CEDULA]],NCH!$B$7:$AU$229,34,0),"")</f>
        <v/>
      </c>
      <c r="J98" s="186" t="str">
        <f>IFERROR(VLOOKUP(DEF[[#This Row],[CEDULA]],NCH!$B$7:$AU$229,40,0),"")</f>
        <v/>
      </c>
      <c r="K98" s="186" t="str">
        <f>IFERROR(VLOOKUP(DEF[[#This Row],[CEDULA]],NCH!$B$7:$AU$229,46,0),"")</f>
        <v/>
      </c>
      <c r="L98" s="186" t="str">
        <f>IFERROR(VLOOKUP(DEF[CEDULA],METAS[],13,0),"")</f>
        <v/>
      </c>
      <c r="M98" s="187">
        <f>SUM(DEF[[#This Row],[L]:[V]])</f>
        <v>0</v>
      </c>
      <c r="N98" s="188">
        <f>SUM(DEF[[#This Row],[S]:[D]])</f>
        <v>0</v>
      </c>
      <c r="O98" s="188">
        <f>DEF[[#This Row],[TOTAL METAS L-V]]+DEF[[#This Row],[TOTAL METAS S-D-F]]</f>
        <v>0</v>
      </c>
      <c r="P98" s="188" t="e">
        <f>VLOOKUP(DEF[[#This Row],[CEDULA]],METAS[],17,0)</f>
        <v>#N/A</v>
      </c>
      <c r="Q9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98" s="190">
        <f>VLOOKUP(DEF[[#This Row],[CEDULA]],DATOS[],9,0)</f>
        <v>0</v>
      </c>
    </row>
    <row r="99" spans="1:18" ht="30" hidden="1" x14ac:dyDescent="0.25">
      <c r="A99" s="183">
        <v>11406272</v>
      </c>
      <c r="B99" s="184" t="str">
        <f>IFERROR(IF(DEF[[#This Row],[OTRO PAGO]]=0,VLOOKUP(DEF[[#This Row],[CEDULA]],DATOS[],2,0),""),"")</f>
        <v>MONSALVE RUBEN</v>
      </c>
      <c r="C99" s="184" t="str">
        <f>IFERROR(VLOOKUP(DEF[[#This Row],[CEDULA]],DATOS[],5,0),"")</f>
        <v>SUPERVISORIO</v>
      </c>
      <c r="D99" s="185" t="s">
        <v>861</v>
      </c>
      <c r="E99" s="186" t="str">
        <f>IFERROR(VLOOKUP(DEF[[#This Row],[CEDULA]],NCH!$B$7:$AU$229,10,0),"")</f>
        <v/>
      </c>
      <c r="F99" s="186" t="str">
        <f>IFERROR(VLOOKUP(DEF[[#This Row],[CEDULA]],NCH!$B$7:$AU$229,16,0),"")</f>
        <v/>
      </c>
      <c r="G99" s="186" t="str">
        <f>IFERROR(VLOOKUP(DEF[[#This Row],[CEDULA]],NCH!$B$7:$AU$229,22,0),"")</f>
        <v/>
      </c>
      <c r="H99" s="186" t="str">
        <f>IFERROR(VLOOKUP(DEF[[#This Row],[CEDULA]],NCH!$B$7:$AU$229,28,0),"")</f>
        <v/>
      </c>
      <c r="I99" s="186" t="str">
        <f>IFERROR(VLOOKUP(DEF[[#This Row],[CEDULA]],NCH!$B$7:$AU$229,34,0),"")</f>
        <v/>
      </c>
      <c r="J99" s="186" t="str">
        <f>IFERROR(VLOOKUP(DEF[[#This Row],[CEDULA]],NCH!$B$7:$AU$229,40,0),"")</f>
        <v/>
      </c>
      <c r="K99" s="186" t="str">
        <f>IFERROR(VLOOKUP(DEF[[#This Row],[CEDULA]],NCH!$B$7:$AU$229,46,0),"")</f>
        <v/>
      </c>
      <c r="L99" s="186" t="str">
        <f>IFERROR(VLOOKUP(DEF[CEDULA],METAS[],13,0),"")</f>
        <v/>
      </c>
      <c r="M99" s="187">
        <f>SUM(DEF[[#This Row],[L]:[V]])</f>
        <v>0</v>
      </c>
      <c r="N99" s="188">
        <f>SUM(DEF[[#This Row],[S]:[D]])</f>
        <v>0</v>
      </c>
      <c r="O99" s="188">
        <f>DEF[[#This Row],[TOTAL METAS L-V]]+DEF[[#This Row],[TOTAL METAS S-D-F]]</f>
        <v>0</v>
      </c>
      <c r="P99" s="188" t="e">
        <f>VLOOKUP(DEF[[#This Row],[CEDULA]],METAS[],17,0)</f>
        <v>#N/A</v>
      </c>
      <c r="Q9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99" s="190">
        <f>VLOOKUP(DEF[[#This Row],[CEDULA]],DATOS[],9,0)</f>
        <v>0</v>
      </c>
    </row>
    <row r="100" spans="1:18" ht="30" hidden="1" x14ac:dyDescent="0.25">
      <c r="A100" s="183">
        <v>16524777</v>
      </c>
      <c r="B100" s="184" t="str">
        <f>IFERROR(IF(DEF[[#This Row],[OTRO PAGO]]=0,VLOOKUP(DEF[[#This Row],[CEDULA]],DATOS[],2,0),""),"")</f>
        <v>NAVARRO DULCY</v>
      </c>
      <c r="C100" s="184" t="str">
        <f>IFERROR(VLOOKUP(DEF[[#This Row],[CEDULA]],DATOS[],5,0),"")</f>
        <v>SUPERVISORIO</v>
      </c>
      <c r="D100" s="185" t="s">
        <v>861</v>
      </c>
      <c r="E100" s="186" t="str">
        <f>IFERROR(VLOOKUP(DEF[[#This Row],[CEDULA]],NCH!$B$7:$AU$229,10,0),"")</f>
        <v/>
      </c>
      <c r="F100" s="186" t="str">
        <f>IFERROR(VLOOKUP(DEF[[#This Row],[CEDULA]],NCH!$B$7:$AU$229,16,0),"")</f>
        <v/>
      </c>
      <c r="G100" s="186" t="str">
        <f>IFERROR(VLOOKUP(DEF[[#This Row],[CEDULA]],NCH!$B$7:$AU$229,22,0),"")</f>
        <v/>
      </c>
      <c r="H100" s="186" t="str">
        <f>IFERROR(VLOOKUP(DEF[[#This Row],[CEDULA]],NCH!$B$7:$AU$229,28,0),"")</f>
        <v/>
      </c>
      <c r="I100" s="186" t="str">
        <f>IFERROR(VLOOKUP(DEF[[#This Row],[CEDULA]],NCH!$B$7:$AU$229,34,0),"")</f>
        <v/>
      </c>
      <c r="J100" s="186" t="str">
        <f>IFERROR(VLOOKUP(DEF[[#This Row],[CEDULA]],NCH!$B$7:$AU$229,40,0),"")</f>
        <v/>
      </c>
      <c r="K100" s="186" t="str">
        <f>IFERROR(VLOOKUP(DEF[[#This Row],[CEDULA]],NCH!$B$7:$AU$229,46,0),"")</f>
        <v/>
      </c>
      <c r="L100" s="186" t="str">
        <f>IFERROR(VLOOKUP(DEF[CEDULA],METAS[],13,0),"")</f>
        <v/>
      </c>
      <c r="M100" s="187">
        <f>SUM(DEF[[#This Row],[L]:[V]])</f>
        <v>0</v>
      </c>
      <c r="N100" s="188">
        <f>SUM(DEF[[#This Row],[S]:[D]])</f>
        <v>0</v>
      </c>
      <c r="O100" s="188">
        <f>DEF[[#This Row],[TOTAL METAS L-V]]+DEF[[#This Row],[TOTAL METAS S-D-F]]</f>
        <v>0</v>
      </c>
      <c r="P100" s="188" t="e">
        <f>VLOOKUP(DEF[[#This Row],[CEDULA]],METAS[],17,0)</f>
        <v>#N/A</v>
      </c>
      <c r="Q10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00" s="190">
        <f>VLOOKUP(DEF[[#This Row],[CEDULA]],DATOS[],9,0)</f>
        <v>0</v>
      </c>
    </row>
    <row r="101" spans="1:18" ht="30" hidden="1" x14ac:dyDescent="0.25">
      <c r="A101" s="183">
        <v>10392346</v>
      </c>
      <c r="B101" s="184" t="str">
        <f>IFERROR(IF(DEF[[#This Row],[OTRO PAGO]]=0,VLOOKUP(DEF[[#This Row],[CEDULA]],DATOS[],2,0),""),"")</f>
        <v>GOMEZ GABRIEL</v>
      </c>
      <c r="C101" s="184" t="str">
        <f>IFERROR(VLOOKUP(DEF[[#This Row],[CEDULA]],DATOS[],5,0),"")</f>
        <v>PROFESIONAL</v>
      </c>
      <c r="D101" s="185" t="s">
        <v>861</v>
      </c>
      <c r="E101" s="186" t="str">
        <f>IFERROR(VLOOKUP(DEF[[#This Row],[CEDULA]],NCH!$B$7:$AU$229,10,0),"")</f>
        <v/>
      </c>
      <c r="F101" s="186" t="str">
        <f>IFERROR(VLOOKUP(DEF[[#This Row],[CEDULA]],NCH!$B$7:$AU$229,16,0),"")</f>
        <v/>
      </c>
      <c r="G101" s="186" t="str">
        <f>IFERROR(VLOOKUP(DEF[[#This Row],[CEDULA]],NCH!$B$7:$AU$229,22,0),"")</f>
        <v/>
      </c>
      <c r="H101" s="186" t="str">
        <f>IFERROR(VLOOKUP(DEF[[#This Row],[CEDULA]],NCH!$B$7:$AU$229,28,0),"")</f>
        <v/>
      </c>
      <c r="I101" s="186" t="str">
        <f>IFERROR(VLOOKUP(DEF[[#This Row],[CEDULA]],NCH!$B$7:$AU$229,34,0),"")</f>
        <v/>
      </c>
      <c r="J101" s="186" t="str">
        <f>IFERROR(VLOOKUP(DEF[[#This Row],[CEDULA]],NCH!$B$7:$AU$229,40,0),"")</f>
        <v/>
      </c>
      <c r="K101" s="186" t="str">
        <f>IFERROR(VLOOKUP(DEF[[#This Row],[CEDULA]],NCH!$B$7:$AU$229,46,0),"")</f>
        <v/>
      </c>
      <c r="L101" s="186" t="str">
        <f>IFERROR(VLOOKUP(DEF[CEDULA],METAS[],13,0),"")</f>
        <v/>
      </c>
      <c r="M101" s="187">
        <f>SUM(DEF[[#This Row],[L]:[V]])</f>
        <v>0</v>
      </c>
      <c r="N101" s="188">
        <f>SUM(DEF[[#This Row],[S]:[D]])</f>
        <v>0</v>
      </c>
      <c r="O101" s="188">
        <f>DEF[[#This Row],[TOTAL METAS L-V]]+DEF[[#This Row],[TOTAL METAS S-D-F]]</f>
        <v>0</v>
      </c>
      <c r="P101" s="188" t="e">
        <f>VLOOKUP(DEF[[#This Row],[CEDULA]],METAS[],17,0)</f>
        <v>#N/A</v>
      </c>
      <c r="Q10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01" s="190">
        <f>VLOOKUP(DEF[[#This Row],[CEDULA]],DATOS[],9,0)</f>
        <v>0</v>
      </c>
    </row>
    <row r="102" spans="1:18" ht="30" hidden="1" x14ac:dyDescent="0.25">
      <c r="A102" s="183">
        <v>6001366</v>
      </c>
      <c r="B102" s="184" t="str">
        <f>IFERROR(IF(DEF[[#This Row],[OTRO PAGO]]=0,VLOOKUP(DEF[[#This Row],[CEDULA]],DATOS[],2,0),""),"")</f>
        <v>ARIAS NELSON</v>
      </c>
      <c r="C102" s="184" t="str">
        <f>IFERROR(VLOOKUP(DEF[[#This Row],[CEDULA]],DATOS[],5,0),"")</f>
        <v>OBRERO</v>
      </c>
      <c r="D102" s="185" t="s">
        <v>861</v>
      </c>
      <c r="E102" s="186" t="str">
        <f>IFERROR(VLOOKUP(DEF[[#This Row],[CEDULA]],NCH!$B$7:$AU$229,10,0),"")</f>
        <v/>
      </c>
      <c r="F102" s="186" t="str">
        <f>IFERROR(VLOOKUP(DEF[[#This Row],[CEDULA]],NCH!$B$7:$AU$229,16,0),"")</f>
        <v/>
      </c>
      <c r="G102" s="186" t="str">
        <f>IFERROR(VLOOKUP(DEF[[#This Row],[CEDULA]],NCH!$B$7:$AU$229,22,0),"")</f>
        <v/>
      </c>
      <c r="H102" s="186" t="str">
        <f>IFERROR(VLOOKUP(DEF[[#This Row],[CEDULA]],NCH!$B$7:$AU$229,28,0),"")</f>
        <v/>
      </c>
      <c r="I102" s="186" t="str">
        <f>IFERROR(VLOOKUP(DEF[[#This Row],[CEDULA]],NCH!$B$7:$AU$229,34,0),"")</f>
        <v/>
      </c>
      <c r="J102" s="186" t="str">
        <f>IFERROR(VLOOKUP(DEF[[#This Row],[CEDULA]],NCH!$B$7:$AU$229,40,0),"")</f>
        <v/>
      </c>
      <c r="K102" s="186" t="str">
        <f>IFERROR(VLOOKUP(DEF[[#This Row],[CEDULA]],NCH!$B$7:$AU$229,46,0),"")</f>
        <v/>
      </c>
      <c r="L102" s="186" t="str">
        <f>IFERROR(VLOOKUP(DEF[CEDULA],METAS[],13,0),"")</f>
        <v/>
      </c>
      <c r="M102" s="187">
        <f>SUM(DEF[[#This Row],[L]:[V]])</f>
        <v>0</v>
      </c>
      <c r="N102" s="188">
        <f>SUM(DEF[[#This Row],[S]:[D]])</f>
        <v>0</v>
      </c>
      <c r="O102" s="188">
        <f>DEF[[#This Row],[TOTAL METAS L-V]]+DEF[[#This Row],[TOTAL METAS S-D-F]]</f>
        <v>0</v>
      </c>
      <c r="P102" s="188" t="e">
        <f>VLOOKUP(DEF[[#This Row],[CEDULA]],METAS[],17,0)</f>
        <v>#N/A</v>
      </c>
      <c r="Q10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02" s="190">
        <f>VLOOKUP(DEF[[#This Row],[CEDULA]],DATOS[],9,0)</f>
        <v>0</v>
      </c>
    </row>
    <row r="103" spans="1:18" ht="30" hidden="1" x14ac:dyDescent="0.25">
      <c r="A103" s="183">
        <v>6866189</v>
      </c>
      <c r="B103" s="184" t="str">
        <f>IFERROR(IF(DEF[[#This Row],[OTRO PAGO]]=0,VLOOKUP(DEF[[#This Row],[CEDULA]],DATOS[],2,0),""),"")</f>
        <v>FONSECA JOSE</v>
      </c>
      <c r="C103" s="184" t="str">
        <f>IFERROR(VLOOKUP(DEF[[#This Row],[CEDULA]],DATOS[],5,0),"")</f>
        <v>SUPERVISORIO</v>
      </c>
      <c r="D103" s="185" t="s">
        <v>861</v>
      </c>
      <c r="E103" s="186" t="str">
        <f>IFERROR(VLOOKUP(DEF[[#This Row],[CEDULA]],NCH!$B$7:$AU$229,10,0),"")</f>
        <v/>
      </c>
      <c r="F103" s="186" t="str">
        <f>IFERROR(VLOOKUP(DEF[[#This Row],[CEDULA]],NCH!$B$7:$AU$229,16,0),"")</f>
        <v/>
      </c>
      <c r="G103" s="186" t="str">
        <f>IFERROR(VLOOKUP(DEF[[#This Row],[CEDULA]],NCH!$B$7:$AU$229,22,0),"")</f>
        <v/>
      </c>
      <c r="H103" s="186" t="str">
        <f>IFERROR(VLOOKUP(DEF[[#This Row],[CEDULA]],NCH!$B$7:$AU$229,28,0),"")</f>
        <v/>
      </c>
      <c r="I103" s="186" t="str">
        <f>IFERROR(VLOOKUP(DEF[[#This Row],[CEDULA]],NCH!$B$7:$AU$229,34,0),"")</f>
        <v/>
      </c>
      <c r="J103" s="186" t="str">
        <f>IFERROR(VLOOKUP(DEF[[#This Row],[CEDULA]],NCH!$B$7:$AU$229,40,0),"")</f>
        <v/>
      </c>
      <c r="K103" s="186" t="str">
        <f>IFERROR(VLOOKUP(DEF[[#This Row],[CEDULA]],NCH!$B$7:$AU$229,46,0),"")</f>
        <v/>
      </c>
      <c r="L103" s="186" t="str">
        <f>IFERROR(VLOOKUP(DEF[CEDULA],METAS[],13,0),"")</f>
        <v/>
      </c>
      <c r="M103" s="187">
        <f>SUM(DEF[[#This Row],[L]:[V]])</f>
        <v>0</v>
      </c>
      <c r="N103" s="188">
        <f>SUM(DEF[[#This Row],[S]:[D]])</f>
        <v>0</v>
      </c>
      <c r="O103" s="188">
        <f>DEF[[#This Row],[TOTAL METAS L-V]]+DEF[[#This Row],[TOTAL METAS S-D-F]]</f>
        <v>0</v>
      </c>
      <c r="P103" s="188" t="e">
        <f>VLOOKUP(DEF[[#This Row],[CEDULA]],METAS[],17,0)</f>
        <v>#N/A</v>
      </c>
      <c r="Q10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03" s="190">
        <f>VLOOKUP(DEF[[#This Row],[CEDULA]],DATOS[],9,0)</f>
        <v>0</v>
      </c>
    </row>
    <row r="104" spans="1:18" ht="30" hidden="1" x14ac:dyDescent="0.25">
      <c r="A104" s="183">
        <v>10540917</v>
      </c>
      <c r="B104" s="184" t="str">
        <f>IFERROR(IF(DEF[[#This Row],[OTRO PAGO]]=0,VLOOKUP(DEF[[#This Row],[CEDULA]],DATOS[],2,0),""),"")</f>
        <v>PARRA WUILLIM</v>
      </c>
      <c r="C104" s="184" t="str">
        <f>IFERROR(VLOOKUP(DEF[[#This Row],[CEDULA]],DATOS[],5,0),"")</f>
        <v>OBRERO</v>
      </c>
      <c r="D104" s="185" t="s">
        <v>861</v>
      </c>
      <c r="E104" s="186" t="str">
        <f>IFERROR(VLOOKUP(DEF[[#This Row],[CEDULA]],NCH!$B$7:$AU$229,10,0),"")</f>
        <v/>
      </c>
      <c r="F104" s="186" t="str">
        <f>IFERROR(VLOOKUP(DEF[[#This Row],[CEDULA]],NCH!$B$7:$AU$229,16,0),"")</f>
        <v/>
      </c>
      <c r="G104" s="186" t="str">
        <f>IFERROR(VLOOKUP(DEF[[#This Row],[CEDULA]],NCH!$B$7:$AU$229,22,0),"")</f>
        <v/>
      </c>
      <c r="H104" s="186" t="str">
        <f>IFERROR(VLOOKUP(DEF[[#This Row],[CEDULA]],NCH!$B$7:$AU$229,28,0),"")</f>
        <v/>
      </c>
      <c r="I104" s="186" t="str">
        <f>IFERROR(VLOOKUP(DEF[[#This Row],[CEDULA]],NCH!$B$7:$AU$229,34,0),"")</f>
        <v/>
      </c>
      <c r="J104" s="186" t="str">
        <f>IFERROR(VLOOKUP(DEF[[#This Row],[CEDULA]],NCH!$B$7:$AU$229,40,0),"")</f>
        <v/>
      </c>
      <c r="K104" s="186" t="str">
        <f>IFERROR(VLOOKUP(DEF[[#This Row],[CEDULA]],NCH!$B$7:$AU$229,46,0),"")</f>
        <v/>
      </c>
      <c r="L104" s="186" t="str">
        <f>IFERROR(VLOOKUP(DEF[CEDULA],METAS[],13,0),"")</f>
        <v/>
      </c>
      <c r="M104" s="187">
        <f>SUM(DEF[[#This Row],[L]:[V]])</f>
        <v>0</v>
      </c>
      <c r="N104" s="188">
        <f>SUM(DEF[[#This Row],[S]:[D]])</f>
        <v>0</v>
      </c>
      <c r="O104" s="188">
        <f>DEF[[#This Row],[TOTAL METAS L-V]]+DEF[[#This Row],[TOTAL METAS S-D-F]]</f>
        <v>0</v>
      </c>
      <c r="P104" s="188" t="e">
        <f>VLOOKUP(DEF[[#This Row],[CEDULA]],METAS[],17,0)</f>
        <v>#N/A</v>
      </c>
      <c r="Q10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04" s="190">
        <f>VLOOKUP(DEF[[#This Row],[CEDULA]],DATOS[],9,0)</f>
        <v>0</v>
      </c>
    </row>
    <row r="105" spans="1:18" ht="30" hidden="1" x14ac:dyDescent="0.25">
      <c r="A105" s="183">
        <v>10533753</v>
      </c>
      <c r="B105" s="184" t="str">
        <f>IFERROR(IF(DEF[[#This Row],[OTRO PAGO]]=0,VLOOKUP(DEF[[#This Row],[CEDULA]],DATOS[],2,0),""),"")</f>
        <v>ROMERO ESTEBAN</v>
      </c>
      <c r="C105" s="184" t="str">
        <f>IFERROR(VLOOKUP(DEF[[#This Row],[CEDULA]],DATOS[],5,0),"")</f>
        <v>TECNICO</v>
      </c>
      <c r="D105" s="185" t="s">
        <v>861</v>
      </c>
      <c r="E105" s="186" t="str">
        <f>IFERROR(VLOOKUP(DEF[[#This Row],[CEDULA]],NCH!$B$7:$AU$229,10,0),"")</f>
        <v/>
      </c>
      <c r="F105" s="186" t="str">
        <f>IFERROR(VLOOKUP(DEF[[#This Row],[CEDULA]],NCH!$B$7:$AU$229,16,0),"")</f>
        <v/>
      </c>
      <c r="G105" s="186" t="str">
        <f>IFERROR(VLOOKUP(DEF[[#This Row],[CEDULA]],NCH!$B$7:$AU$229,22,0),"")</f>
        <v/>
      </c>
      <c r="H105" s="186" t="str">
        <f>IFERROR(VLOOKUP(DEF[[#This Row],[CEDULA]],NCH!$B$7:$AU$229,28,0),"")</f>
        <v/>
      </c>
      <c r="I105" s="186" t="str">
        <f>IFERROR(VLOOKUP(DEF[[#This Row],[CEDULA]],NCH!$B$7:$AU$229,34,0),"")</f>
        <v/>
      </c>
      <c r="J105" s="186" t="str">
        <f>IFERROR(VLOOKUP(DEF[[#This Row],[CEDULA]],NCH!$B$7:$AU$229,40,0),"")</f>
        <v/>
      </c>
      <c r="K105" s="186" t="str">
        <f>IFERROR(VLOOKUP(DEF[[#This Row],[CEDULA]],NCH!$B$7:$AU$229,46,0),"")</f>
        <v/>
      </c>
      <c r="L105" s="186" t="str">
        <f>IFERROR(VLOOKUP(DEF[CEDULA],METAS[],13,0),"")</f>
        <v/>
      </c>
      <c r="M105" s="187">
        <f>SUM(DEF[[#This Row],[L]:[V]])</f>
        <v>0</v>
      </c>
      <c r="N105" s="188">
        <f>SUM(DEF[[#This Row],[S]:[D]])</f>
        <v>0</v>
      </c>
      <c r="O105" s="188">
        <f>DEF[[#This Row],[TOTAL METAS L-V]]+DEF[[#This Row],[TOTAL METAS S-D-F]]</f>
        <v>0</v>
      </c>
      <c r="P105" s="188" t="e">
        <f>VLOOKUP(DEF[[#This Row],[CEDULA]],METAS[],17,0)</f>
        <v>#N/A</v>
      </c>
      <c r="Q10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05" s="190">
        <f>VLOOKUP(DEF[[#This Row],[CEDULA]],DATOS[],9,0)</f>
        <v>0</v>
      </c>
    </row>
    <row r="106" spans="1:18" ht="30" hidden="1" x14ac:dyDescent="0.25">
      <c r="A106" s="183">
        <v>13247814</v>
      </c>
      <c r="B106" s="184" t="str">
        <f>IFERROR(IF(DEF[[#This Row],[OTRO PAGO]]=0,VLOOKUP(DEF[[#This Row],[CEDULA]],DATOS[],2,0),""),"")</f>
        <v>PACHECO RICHARD</v>
      </c>
      <c r="C106" s="184" t="str">
        <f>IFERROR(VLOOKUP(DEF[[#This Row],[CEDULA]],DATOS[],5,0),"")</f>
        <v>OBRERO</v>
      </c>
      <c r="D106" s="185" t="s">
        <v>861</v>
      </c>
      <c r="E106" s="186" t="str">
        <f>IFERROR(VLOOKUP(DEF[[#This Row],[CEDULA]],NCH!$B$7:$AU$229,10,0),"")</f>
        <v/>
      </c>
      <c r="F106" s="186" t="str">
        <f>IFERROR(VLOOKUP(DEF[[#This Row],[CEDULA]],NCH!$B$7:$AU$229,16,0),"")</f>
        <v/>
      </c>
      <c r="G106" s="186" t="str">
        <f>IFERROR(VLOOKUP(DEF[[#This Row],[CEDULA]],NCH!$B$7:$AU$229,22,0),"")</f>
        <v/>
      </c>
      <c r="H106" s="186" t="str">
        <f>IFERROR(VLOOKUP(DEF[[#This Row],[CEDULA]],NCH!$B$7:$AU$229,28,0),"")</f>
        <v/>
      </c>
      <c r="I106" s="186" t="str">
        <f>IFERROR(VLOOKUP(DEF[[#This Row],[CEDULA]],NCH!$B$7:$AU$229,34,0),"")</f>
        <v/>
      </c>
      <c r="J106" s="186" t="str">
        <f>IFERROR(VLOOKUP(DEF[[#This Row],[CEDULA]],NCH!$B$7:$AU$229,40,0),"")</f>
        <v/>
      </c>
      <c r="K106" s="186" t="str">
        <f>IFERROR(VLOOKUP(DEF[[#This Row],[CEDULA]],NCH!$B$7:$AU$229,46,0),"")</f>
        <v/>
      </c>
      <c r="L106" s="186" t="str">
        <f>IFERROR(VLOOKUP(DEF[CEDULA],METAS[],13,0),"")</f>
        <v/>
      </c>
      <c r="M106" s="187">
        <f>SUM(DEF[[#This Row],[L]:[V]])</f>
        <v>0</v>
      </c>
      <c r="N106" s="188">
        <f>SUM(DEF[[#This Row],[S]:[D]])</f>
        <v>0</v>
      </c>
      <c r="O106" s="188">
        <f>DEF[[#This Row],[TOTAL METAS L-V]]+DEF[[#This Row],[TOTAL METAS S-D-F]]</f>
        <v>0</v>
      </c>
      <c r="P106" s="188" t="e">
        <f>VLOOKUP(DEF[[#This Row],[CEDULA]],METAS[],17,0)</f>
        <v>#N/A</v>
      </c>
      <c r="Q10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06" s="190">
        <f>VLOOKUP(DEF[[#This Row],[CEDULA]],DATOS[],9,0)</f>
        <v>0</v>
      </c>
    </row>
    <row r="107" spans="1:18" ht="30" hidden="1" x14ac:dyDescent="0.25">
      <c r="A107" s="183">
        <v>16452687</v>
      </c>
      <c r="B107" s="184" t="str">
        <f>IFERROR(IF(DEF[[#This Row],[OTRO PAGO]]=0,VLOOKUP(DEF[[#This Row],[CEDULA]],DATOS[],2,0),""),"")</f>
        <v>SANCHEZ ALBERTO</v>
      </c>
      <c r="C107" s="184" t="str">
        <f>IFERROR(VLOOKUP(DEF[[#This Row],[CEDULA]],DATOS[],5,0),"")</f>
        <v>OBRERO</v>
      </c>
      <c r="D107" s="185" t="s">
        <v>861</v>
      </c>
      <c r="E107" s="186" t="str">
        <f>IFERROR(VLOOKUP(DEF[[#This Row],[CEDULA]],NCH!$B$7:$AU$229,10,0),"")</f>
        <v/>
      </c>
      <c r="F107" s="186" t="str">
        <f>IFERROR(VLOOKUP(DEF[[#This Row],[CEDULA]],NCH!$B$7:$AU$229,16,0),"")</f>
        <v/>
      </c>
      <c r="G107" s="186" t="str">
        <f>IFERROR(VLOOKUP(DEF[[#This Row],[CEDULA]],NCH!$B$7:$AU$229,22,0),"")</f>
        <v/>
      </c>
      <c r="H107" s="186" t="str">
        <f>IFERROR(VLOOKUP(DEF[[#This Row],[CEDULA]],NCH!$B$7:$AU$229,28,0),"")</f>
        <v/>
      </c>
      <c r="I107" s="186" t="str">
        <f>IFERROR(VLOOKUP(DEF[[#This Row],[CEDULA]],NCH!$B$7:$AU$229,34,0),"")</f>
        <v/>
      </c>
      <c r="J107" s="186" t="str">
        <f>IFERROR(VLOOKUP(DEF[[#This Row],[CEDULA]],NCH!$B$7:$AU$229,40,0),"")</f>
        <v/>
      </c>
      <c r="K107" s="186" t="str">
        <f>IFERROR(VLOOKUP(DEF[[#This Row],[CEDULA]],NCH!$B$7:$AU$229,46,0),"")</f>
        <v/>
      </c>
      <c r="L107" s="186" t="str">
        <f>IFERROR(VLOOKUP(DEF[CEDULA],METAS[],13,0),"")</f>
        <v/>
      </c>
      <c r="M107" s="187">
        <f>SUM(DEF[[#This Row],[L]:[V]])</f>
        <v>0</v>
      </c>
      <c r="N107" s="188">
        <f>SUM(DEF[[#This Row],[S]:[D]])</f>
        <v>0</v>
      </c>
      <c r="O107" s="188">
        <f>DEF[[#This Row],[TOTAL METAS L-V]]+DEF[[#This Row],[TOTAL METAS S-D-F]]</f>
        <v>0</v>
      </c>
      <c r="P107" s="188" t="e">
        <f>VLOOKUP(DEF[[#This Row],[CEDULA]],METAS[],17,0)</f>
        <v>#N/A</v>
      </c>
      <c r="Q10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07" s="190">
        <f>VLOOKUP(DEF[[#This Row],[CEDULA]],DATOS[],9,0)</f>
        <v>0</v>
      </c>
    </row>
    <row r="108" spans="1:18" ht="30" hidden="1" x14ac:dyDescent="0.25">
      <c r="A108" s="183">
        <v>18487296</v>
      </c>
      <c r="B108" s="184" t="str">
        <f>IFERROR(IF(DEF[[#This Row],[OTRO PAGO]]=0,VLOOKUP(DEF[[#This Row],[CEDULA]],DATOS[],2,0),""),"")</f>
        <v>RONDON PASTOR</v>
      </c>
      <c r="C108" s="184" t="str">
        <f>IFERROR(VLOOKUP(DEF[[#This Row],[CEDULA]],DATOS[],5,0),"")</f>
        <v>OBRERO</v>
      </c>
      <c r="D108" s="185" t="s">
        <v>861</v>
      </c>
      <c r="E108" s="186" t="str">
        <f>IFERROR(VLOOKUP(DEF[[#This Row],[CEDULA]],NCH!$B$7:$AU$229,10,0),"")</f>
        <v/>
      </c>
      <c r="F108" s="186" t="str">
        <f>IFERROR(VLOOKUP(DEF[[#This Row],[CEDULA]],NCH!$B$7:$AU$229,16,0),"")</f>
        <v/>
      </c>
      <c r="G108" s="186" t="str">
        <f>IFERROR(VLOOKUP(DEF[[#This Row],[CEDULA]],NCH!$B$7:$AU$229,22,0),"")</f>
        <v/>
      </c>
      <c r="H108" s="186" t="str">
        <f>IFERROR(VLOOKUP(DEF[[#This Row],[CEDULA]],NCH!$B$7:$AU$229,28,0),"")</f>
        <v/>
      </c>
      <c r="I108" s="186" t="str">
        <f>IFERROR(VLOOKUP(DEF[[#This Row],[CEDULA]],NCH!$B$7:$AU$229,34,0),"")</f>
        <v/>
      </c>
      <c r="J108" s="186" t="str">
        <f>IFERROR(VLOOKUP(DEF[[#This Row],[CEDULA]],NCH!$B$7:$AU$229,40,0),"")</f>
        <v/>
      </c>
      <c r="K108" s="186" t="str">
        <f>IFERROR(VLOOKUP(DEF[[#This Row],[CEDULA]],NCH!$B$7:$AU$229,46,0),"")</f>
        <v/>
      </c>
      <c r="L108" s="186" t="str">
        <f>IFERROR(VLOOKUP(DEF[CEDULA],METAS[],13,0),"")</f>
        <v/>
      </c>
      <c r="M108" s="187">
        <f>SUM(DEF[[#This Row],[L]:[V]])</f>
        <v>0</v>
      </c>
      <c r="N108" s="188">
        <f>SUM(DEF[[#This Row],[S]:[D]])</f>
        <v>0</v>
      </c>
      <c r="O108" s="188">
        <f>DEF[[#This Row],[TOTAL METAS L-V]]+DEF[[#This Row],[TOTAL METAS S-D-F]]</f>
        <v>0</v>
      </c>
      <c r="P108" s="188" t="e">
        <f>VLOOKUP(DEF[[#This Row],[CEDULA]],METAS[],17,0)</f>
        <v>#N/A</v>
      </c>
      <c r="Q10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08" s="190">
        <f>VLOOKUP(DEF[[#This Row],[CEDULA]],DATOS[],9,0)</f>
        <v>0</v>
      </c>
    </row>
    <row r="109" spans="1:18" ht="30" hidden="1" x14ac:dyDescent="0.25">
      <c r="A109" s="183">
        <v>18541368</v>
      </c>
      <c r="B109" s="184" t="str">
        <f>IFERROR(IF(DEF[[#This Row],[OTRO PAGO]]=0,VLOOKUP(DEF[[#This Row],[CEDULA]],DATOS[],2,0),""),"")</f>
        <v>MORENO LARRY</v>
      </c>
      <c r="C109" s="184" t="str">
        <f>IFERROR(VLOOKUP(DEF[[#This Row],[CEDULA]],DATOS[],5,0),"")</f>
        <v>OBRERO</v>
      </c>
      <c r="D109" s="185" t="s">
        <v>861</v>
      </c>
      <c r="E109" s="186" t="str">
        <f>IFERROR(VLOOKUP(DEF[[#This Row],[CEDULA]],NCH!$B$7:$AU$229,10,0),"")</f>
        <v/>
      </c>
      <c r="F109" s="186" t="str">
        <f>IFERROR(VLOOKUP(DEF[[#This Row],[CEDULA]],NCH!$B$7:$AU$229,16,0),"")</f>
        <v/>
      </c>
      <c r="G109" s="186" t="str">
        <f>IFERROR(VLOOKUP(DEF[[#This Row],[CEDULA]],NCH!$B$7:$AU$229,22,0),"")</f>
        <v/>
      </c>
      <c r="H109" s="186" t="str">
        <f>IFERROR(VLOOKUP(DEF[[#This Row],[CEDULA]],NCH!$B$7:$AU$229,28,0),"")</f>
        <v/>
      </c>
      <c r="I109" s="186" t="str">
        <f>IFERROR(VLOOKUP(DEF[[#This Row],[CEDULA]],NCH!$B$7:$AU$229,34,0),"")</f>
        <v/>
      </c>
      <c r="J109" s="186" t="str">
        <f>IFERROR(VLOOKUP(DEF[[#This Row],[CEDULA]],NCH!$B$7:$AU$229,40,0),"")</f>
        <v/>
      </c>
      <c r="K109" s="186" t="str">
        <f>IFERROR(VLOOKUP(DEF[[#This Row],[CEDULA]],NCH!$B$7:$AU$229,46,0),"")</f>
        <v/>
      </c>
      <c r="L109" s="186" t="str">
        <f>IFERROR(VLOOKUP(DEF[CEDULA],METAS[],13,0),"")</f>
        <v/>
      </c>
      <c r="M109" s="187">
        <f>SUM(DEF[[#This Row],[L]:[V]])</f>
        <v>0</v>
      </c>
      <c r="N109" s="188">
        <f>SUM(DEF[[#This Row],[S]:[D]])</f>
        <v>0</v>
      </c>
      <c r="O109" s="188">
        <f>DEF[[#This Row],[TOTAL METAS L-V]]+DEF[[#This Row],[TOTAL METAS S-D-F]]</f>
        <v>0</v>
      </c>
      <c r="P109" s="188" t="e">
        <f>VLOOKUP(DEF[[#This Row],[CEDULA]],METAS[],17,0)</f>
        <v>#N/A</v>
      </c>
      <c r="Q10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09" s="190">
        <f>VLOOKUP(DEF[[#This Row],[CEDULA]],DATOS[],9,0)</f>
        <v>0</v>
      </c>
    </row>
    <row r="110" spans="1:18" ht="30" hidden="1" x14ac:dyDescent="0.25">
      <c r="A110" s="183">
        <v>11026079</v>
      </c>
      <c r="B110" s="184" t="str">
        <f>IFERROR(IF(DEF[[#This Row],[OTRO PAGO]]=0,VLOOKUP(DEF[[#This Row],[CEDULA]],DATOS[],2,0),""),"")</f>
        <v>QUINTANA RODRIGO</v>
      </c>
      <c r="C110" s="184" t="str">
        <f>IFERROR(VLOOKUP(DEF[[#This Row],[CEDULA]],DATOS[],5,0),"")</f>
        <v>OBRERO</v>
      </c>
      <c r="D110" s="185" t="s">
        <v>861</v>
      </c>
      <c r="E110" s="186" t="str">
        <f>IFERROR(VLOOKUP(DEF[[#This Row],[CEDULA]],NCH!$B$7:$AU$229,10,0),"")</f>
        <v/>
      </c>
      <c r="F110" s="186" t="str">
        <f>IFERROR(VLOOKUP(DEF[[#This Row],[CEDULA]],NCH!$B$7:$AU$229,16,0),"")</f>
        <v/>
      </c>
      <c r="G110" s="186" t="str">
        <f>IFERROR(VLOOKUP(DEF[[#This Row],[CEDULA]],NCH!$B$7:$AU$229,22,0),"")</f>
        <v/>
      </c>
      <c r="H110" s="186" t="str">
        <f>IFERROR(VLOOKUP(DEF[[#This Row],[CEDULA]],NCH!$B$7:$AU$229,28,0),"")</f>
        <v/>
      </c>
      <c r="I110" s="186" t="str">
        <f>IFERROR(VLOOKUP(DEF[[#This Row],[CEDULA]],NCH!$B$7:$AU$229,34,0),"")</f>
        <v/>
      </c>
      <c r="J110" s="186" t="str">
        <f>IFERROR(VLOOKUP(DEF[[#This Row],[CEDULA]],NCH!$B$7:$AU$229,40,0),"")</f>
        <v/>
      </c>
      <c r="K110" s="186" t="str">
        <f>IFERROR(VLOOKUP(DEF[[#This Row],[CEDULA]],NCH!$B$7:$AU$229,46,0),"")</f>
        <v/>
      </c>
      <c r="L110" s="186" t="str">
        <f>IFERROR(VLOOKUP(DEF[CEDULA],METAS[],13,0),"")</f>
        <v/>
      </c>
      <c r="M110" s="187">
        <f>SUM(DEF[[#This Row],[L]:[V]])</f>
        <v>0</v>
      </c>
      <c r="N110" s="188">
        <f>SUM(DEF[[#This Row],[S]:[D]])</f>
        <v>0</v>
      </c>
      <c r="O110" s="188">
        <f>DEF[[#This Row],[TOTAL METAS L-V]]+DEF[[#This Row],[TOTAL METAS S-D-F]]</f>
        <v>0</v>
      </c>
      <c r="P110" s="188" t="e">
        <f>VLOOKUP(DEF[[#This Row],[CEDULA]],METAS[],17,0)</f>
        <v>#N/A</v>
      </c>
      <c r="Q11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10" s="190">
        <f>VLOOKUP(DEF[[#This Row],[CEDULA]],DATOS[],9,0)</f>
        <v>0</v>
      </c>
    </row>
    <row r="111" spans="1:18" hidden="1" x14ac:dyDescent="0.25">
      <c r="A111" s="183">
        <v>10868344</v>
      </c>
      <c r="B111" s="184" t="str">
        <f>IFERROR(IF(DEF[[#This Row],[OTRO PAGO]]=0,VLOOKUP(DEF[[#This Row],[CEDULA]],DATOS[],2,0),""),"")</f>
        <v/>
      </c>
      <c r="C111" s="184" t="str">
        <f>IFERROR(VLOOKUP(DEF[[#This Row],[CEDULA]],DATOS[],5,0),"")</f>
        <v>SUPERVISORIO</v>
      </c>
      <c r="D111" s="185" t="s">
        <v>863</v>
      </c>
      <c r="E111" s="186" t="str">
        <f>IFERROR(VLOOKUP(DEF[[#This Row],[CEDULA]],NCH!$B$7:$AU$229,10,0),"")</f>
        <v/>
      </c>
      <c r="F111" s="186" t="str">
        <f>IFERROR(VLOOKUP(DEF[[#This Row],[CEDULA]],NCH!$B$7:$AU$229,16,0),"")</f>
        <v/>
      </c>
      <c r="G111" s="186" t="str">
        <f>IFERROR(VLOOKUP(DEF[[#This Row],[CEDULA]],NCH!$B$7:$AU$229,22,0),"")</f>
        <v/>
      </c>
      <c r="H111" s="186" t="str">
        <f>IFERROR(VLOOKUP(DEF[[#This Row],[CEDULA]],NCH!$B$7:$AU$229,28,0),"")</f>
        <v/>
      </c>
      <c r="I111" s="186" t="str">
        <f>IFERROR(VLOOKUP(DEF[[#This Row],[CEDULA]],NCH!$B$7:$AU$229,34,0),"")</f>
        <v/>
      </c>
      <c r="J111" s="186" t="str">
        <f>IFERROR(VLOOKUP(DEF[[#This Row],[CEDULA]],NCH!$B$7:$AU$229,40,0),"")</f>
        <v/>
      </c>
      <c r="K111" s="186" t="str">
        <f>IFERROR(VLOOKUP(DEF[[#This Row],[CEDULA]],NCH!$B$7:$AU$229,46,0),"")</f>
        <v/>
      </c>
      <c r="L111" s="186" t="str">
        <f>IFERROR(VLOOKUP(DEF[CEDULA],METAS[],13,0),"")</f>
        <v/>
      </c>
      <c r="M111" s="187">
        <f>SUM(DEF[[#This Row],[L]:[V]])</f>
        <v>0</v>
      </c>
      <c r="N111" s="188">
        <f>SUM(DEF[[#This Row],[S]:[D]])</f>
        <v>0</v>
      </c>
      <c r="O111" s="188">
        <f>DEF[[#This Row],[TOTAL METAS L-V]]+DEF[[#This Row],[TOTAL METAS S-D-F]]</f>
        <v>0</v>
      </c>
      <c r="P111" s="188" t="e">
        <f>VLOOKUP(DEF[[#This Row],[CEDULA]],METAS[],17,0)</f>
        <v>#N/A</v>
      </c>
      <c r="Q11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11" s="190" t="str">
        <f>VLOOKUP(DEF[[#This Row],[CEDULA]],DATOS[],9,0)</f>
        <v>OPERATIVO</v>
      </c>
    </row>
    <row r="112" spans="1:18" hidden="1" x14ac:dyDescent="0.25">
      <c r="A112" s="183">
        <v>6326657</v>
      </c>
      <c r="B112" s="184" t="str">
        <f>IFERROR(IF(DEF[[#This Row],[OTRO PAGO]]=0,VLOOKUP(DEF[[#This Row],[CEDULA]],DATOS[],2,0),""),"")</f>
        <v>MEJIAS EDGAR</v>
      </c>
      <c r="C112" s="184" t="str">
        <f>IFERROR(VLOOKUP(DEF[[#This Row],[CEDULA]],DATOS[],5,0),"")</f>
        <v>OBRERO</v>
      </c>
      <c r="D112" s="185" t="s">
        <v>863</v>
      </c>
      <c r="E112" s="186" t="str">
        <f>IFERROR(VLOOKUP(DEF[[#This Row],[CEDULA]],NCH!$B$7:$AU$229,10,0),"")</f>
        <v/>
      </c>
      <c r="F112" s="186" t="str">
        <f>IFERROR(VLOOKUP(DEF[[#This Row],[CEDULA]],NCH!$B$7:$AU$229,16,0),"")</f>
        <v/>
      </c>
      <c r="G112" s="186" t="str">
        <f>IFERROR(VLOOKUP(DEF[[#This Row],[CEDULA]],NCH!$B$7:$AU$229,22,0),"")</f>
        <v/>
      </c>
      <c r="H112" s="186" t="str">
        <f>IFERROR(VLOOKUP(DEF[[#This Row],[CEDULA]],NCH!$B$7:$AU$229,28,0),"")</f>
        <v/>
      </c>
      <c r="I112" s="186" t="str">
        <f>IFERROR(VLOOKUP(DEF[[#This Row],[CEDULA]],NCH!$B$7:$AU$229,34,0),"")</f>
        <v/>
      </c>
      <c r="J112" s="186" t="str">
        <f>IFERROR(VLOOKUP(DEF[[#This Row],[CEDULA]],NCH!$B$7:$AU$229,40,0),"")</f>
        <v/>
      </c>
      <c r="K112" s="186" t="str">
        <f>IFERROR(VLOOKUP(DEF[[#This Row],[CEDULA]],NCH!$B$7:$AU$229,46,0),"")</f>
        <v/>
      </c>
      <c r="L112" s="186" t="str">
        <f>IFERROR(VLOOKUP(DEF[CEDULA],METAS[],13,0),"")</f>
        <v/>
      </c>
      <c r="M112" s="187">
        <f>SUM(DEF[[#This Row],[L]:[V]])</f>
        <v>0</v>
      </c>
      <c r="N112" s="188">
        <f>SUM(DEF[[#This Row],[S]:[D]])</f>
        <v>0</v>
      </c>
      <c r="O112" s="188">
        <f>DEF[[#This Row],[TOTAL METAS L-V]]+DEF[[#This Row],[TOTAL METAS S-D-F]]</f>
        <v>0</v>
      </c>
      <c r="P112" s="188" t="e">
        <f>VLOOKUP(DEF[[#This Row],[CEDULA]],METAS[],17,0)</f>
        <v>#N/A</v>
      </c>
      <c r="Q11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12" s="190">
        <f>VLOOKUP(DEF[[#This Row],[CEDULA]],DATOS[],9,0)</f>
        <v>0</v>
      </c>
    </row>
    <row r="113" spans="1:18" ht="30" hidden="1" x14ac:dyDescent="0.25">
      <c r="A113" s="183">
        <v>4357745</v>
      </c>
      <c r="B113" s="184" t="str">
        <f>IFERROR(IF(DEF[[#This Row],[OTRO PAGO]]=0,VLOOKUP(DEF[[#This Row],[CEDULA]],DATOS[],2,0),""),"")</f>
        <v>RUEDA ROSA</v>
      </c>
      <c r="C113" s="184" t="str">
        <f>IFERROR(VLOOKUP(DEF[[#This Row],[CEDULA]],DATOS[],5,0),"")</f>
        <v>PROFESIONAL</v>
      </c>
      <c r="D113" s="185" t="s">
        <v>859</v>
      </c>
      <c r="E113" s="186" t="str">
        <f>IFERROR(VLOOKUP(DEF[[#This Row],[CEDULA]],NCH!$B$7:$AU$229,10,0),"")</f>
        <v/>
      </c>
      <c r="F113" s="186" t="str">
        <f>IFERROR(VLOOKUP(DEF[[#This Row],[CEDULA]],NCH!$B$7:$AU$229,16,0),"")</f>
        <v/>
      </c>
      <c r="G113" s="186" t="str">
        <f>IFERROR(VLOOKUP(DEF[[#This Row],[CEDULA]],NCH!$B$7:$AU$229,22,0),"")</f>
        <v/>
      </c>
      <c r="H113" s="186" t="str">
        <f>IFERROR(VLOOKUP(DEF[[#This Row],[CEDULA]],NCH!$B$7:$AU$229,28,0),"")</f>
        <v/>
      </c>
      <c r="I113" s="186" t="str">
        <f>IFERROR(VLOOKUP(DEF[[#This Row],[CEDULA]],NCH!$B$7:$AU$229,34,0),"")</f>
        <v/>
      </c>
      <c r="J113" s="186" t="str">
        <f>IFERROR(VLOOKUP(DEF[[#This Row],[CEDULA]],NCH!$B$7:$AU$229,40,0),"")</f>
        <v/>
      </c>
      <c r="K113" s="186" t="str">
        <f>IFERROR(VLOOKUP(DEF[[#This Row],[CEDULA]],NCH!$B$7:$AU$229,46,0),"")</f>
        <v/>
      </c>
      <c r="L113" s="186" t="str">
        <f>IFERROR(VLOOKUP(DEF[CEDULA],METAS[],13,0),"")</f>
        <v/>
      </c>
      <c r="M113" s="187">
        <f>SUM(DEF[[#This Row],[L]:[V]])</f>
        <v>0</v>
      </c>
      <c r="N113" s="188">
        <f>SUM(DEF[[#This Row],[S]:[D]])</f>
        <v>0</v>
      </c>
      <c r="O113" s="188">
        <f>DEF[[#This Row],[TOTAL METAS L-V]]+DEF[[#This Row],[TOTAL METAS S-D-F]]</f>
        <v>0</v>
      </c>
      <c r="P113" s="188" t="e">
        <f>VLOOKUP(DEF[[#This Row],[CEDULA]],METAS[],17,0)</f>
        <v>#N/A</v>
      </c>
      <c r="Q11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13" s="190">
        <f>VLOOKUP(DEF[[#This Row],[CEDULA]],DATOS[],9,0)</f>
        <v>0</v>
      </c>
    </row>
    <row r="114" spans="1:18" ht="30" hidden="1" x14ac:dyDescent="0.25">
      <c r="A114" s="183">
        <v>6862537</v>
      </c>
      <c r="B114" s="184" t="str">
        <f>IFERROR(IF(DEF[[#This Row],[OTRO PAGO]]=0,VLOOKUP(DEF[[#This Row],[CEDULA]],DATOS[],2,0),""),"")</f>
        <v>CORTEZ FELICITA</v>
      </c>
      <c r="C114" s="184" t="str">
        <f>IFERROR(VLOOKUP(DEF[[#This Row],[CEDULA]],DATOS[],5,0),"")</f>
        <v>PROFESIONAL</v>
      </c>
      <c r="D114" s="185" t="s">
        <v>859</v>
      </c>
      <c r="E114" s="186" t="str">
        <f>IFERROR(VLOOKUP(DEF[[#This Row],[CEDULA]],NCH!$B$7:$AU$229,10,0),"")</f>
        <v/>
      </c>
      <c r="F114" s="186" t="str">
        <f>IFERROR(VLOOKUP(DEF[[#This Row],[CEDULA]],NCH!$B$7:$AU$229,16,0),"")</f>
        <v/>
      </c>
      <c r="G114" s="186" t="str">
        <f>IFERROR(VLOOKUP(DEF[[#This Row],[CEDULA]],NCH!$B$7:$AU$229,22,0),"")</f>
        <v/>
      </c>
      <c r="H114" s="186" t="str">
        <f>IFERROR(VLOOKUP(DEF[[#This Row],[CEDULA]],NCH!$B$7:$AU$229,28,0),"")</f>
        <v/>
      </c>
      <c r="I114" s="186" t="str">
        <f>IFERROR(VLOOKUP(DEF[[#This Row],[CEDULA]],NCH!$B$7:$AU$229,34,0),"")</f>
        <v/>
      </c>
      <c r="J114" s="186" t="str">
        <f>IFERROR(VLOOKUP(DEF[[#This Row],[CEDULA]],NCH!$B$7:$AU$229,40,0),"")</f>
        <v/>
      </c>
      <c r="K114" s="186" t="str">
        <f>IFERROR(VLOOKUP(DEF[[#This Row],[CEDULA]],NCH!$B$7:$AU$229,46,0),"")</f>
        <v/>
      </c>
      <c r="L114" s="186" t="str">
        <f>IFERROR(VLOOKUP(DEF[CEDULA],METAS[],13,0),"")</f>
        <v/>
      </c>
      <c r="M114" s="187">
        <f>SUM(DEF[[#This Row],[L]:[V]])</f>
        <v>0</v>
      </c>
      <c r="N114" s="188">
        <f>SUM(DEF[[#This Row],[S]:[D]])</f>
        <v>0</v>
      </c>
      <c r="O114" s="188">
        <f>DEF[[#This Row],[TOTAL METAS L-V]]+DEF[[#This Row],[TOTAL METAS S-D-F]]</f>
        <v>0</v>
      </c>
      <c r="P114" s="188" t="e">
        <f>VLOOKUP(DEF[[#This Row],[CEDULA]],METAS[],17,0)</f>
        <v>#N/A</v>
      </c>
      <c r="Q11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14" s="190">
        <f>VLOOKUP(DEF[[#This Row],[CEDULA]],DATOS[],9,0)</f>
        <v>0</v>
      </c>
    </row>
    <row r="115" spans="1:18" ht="30" hidden="1" x14ac:dyDescent="0.25">
      <c r="A115" s="183">
        <v>13432917</v>
      </c>
      <c r="B115" s="184" t="str">
        <f>IFERROR(IF(DEF[[#This Row],[OTRO PAGO]]=0,VLOOKUP(DEF[[#This Row],[CEDULA]],DATOS[],2,0),""),"")</f>
        <v>GUACARAN FREDY</v>
      </c>
      <c r="C115" s="184" t="str">
        <f>IFERROR(VLOOKUP(DEF[[#This Row],[CEDULA]],DATOS[],5,0),"")</f>
        <v>PROFESIONAL</v>
      </c>
      <c r="D115" s="185" t="s">
        <v>859</v>
      </c>
      <c r="E115" s="186" t="str">
        <f>IFERROR(VLOOKUP(DEF[[#This Row],[CEDULA]],NCH!$B$7:$AU$229,10,0),"")</f>
        <v/>
      </c>
      <c r="F115" s="186" t="str">
        <f>IFERROR(VLOOKUP(DEF[[#This Row],[CEDULA]],NCH!$B$7:$AU$229,16,0),"")</f>
        <v/>
      </c>
      <c r="G115" s="186" t="str">
        <f>IFERROR(VLOOKUP(DEF[[#This Row],[CEDULA]],NCH!$B$7:$AU$229,22,0),"")</f>
        <v/>
      </c>
      <c r="H115" s="186" t="str">
        <f>IFERROR(VLOOKUP(DEF[[#This Row],[CEDULA]],NCH!$B$7:$AU$229,28,0),"")</f>
        <v/>
      </c>
      <c r="I115" s="186" t="str">
        <f>IFERROR(VLOOKUP(DEF[[#This Row],[CEDULA]],NCH!$B$7:$AU$229,34,0),"")</f>
        <v/>
      </c>
      <c r="J115" s="186" t="str">
        <f>IFERROR(VLOOKUP(DEF[[#This Row],[CEDULA]],NCH!$B$7:$AU$229,40,0),"")</f>
        <v/>
      </c>
      <c r="K115" s="186" t="str">
        <f>IFERROR(VLOOKUP(DEF[[#This Row],[CEDULA]],NCH!$B$7:$AU$229,46,0),"")</f>
        <v/>
      </c>
      <c r="L115" s="186" t="str">
        <f>IFERROR(VLOOKUP(DEF[CEDULA],METAS[],13,0),"")</f>
        <v/>
      </c>
      <c r="M115" s="187">
        <f>SUM(DEF[[#This Row],[L]:[V]])</f>
        <v>0</v>
      </c>
      <c r="N115" s="188">
        <f>SUM(DEF[[#This Row],[S]:[D]])</f>
        <v>0</v>
      </c>
      <c r="O115" s="188">
        <f>DEF[[#This Row],[TOTAL METAS L-V]]+DEF[[#This Row],[TOTAL METAS S-D-F]]</f>
        <v>0</v>
      </c>
      <c r="P115" s="188" t="e">
        <f>VLOOKUP(DEF[[#This Row],[CEDULA]],METAS[],17,0)</f>
        <v>#N/A</v>
      </c>
      <c r="Q11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15" s="190">
        <f>VLOOKUP(DEF[[#This Row],[CEDULA]],DATOS[],9,0)</f>
        <v>0</v>
      </c>
    </row>
    <row r="116" spans="1:18" ht="30" hidden="1" x14ac:dyDescent="0.25">
      <c r="A116" s="183">
        <v>9960427</v>
      </c>
      <c r="B116" s="184" t="str">
        <f>IFERROR(IF(DEF[[#This Row],[OTRO PAGO]]=0,VLOOKUP(DEF[[#This Row],[CEDULA]],DATOS[],2,0),""),"")</f>
        <v>FIGUERA FABIOLA</v>
      </c>
      <c r="C116" s="184" t="str">
        <f>IFERROR(VLOOKUP(DEF[[#This Row],[CEDULA]],DATOS[],5,0),"")</f>
        <v>TECNICO</v>
      </c>
      <c r="D116" s="185" t="s">
        <v>859</v>
      </c>
      <c r="E116" s="186" t="str">
        <f>IFERROR(VLOOKUP(DEF[[#This Row],[CEDULA]],NCH!$B$7:$AU$229,10,0),"")</f>
        <v/>
      </c>
      <c r="F116" s="186" t="str">
        <f>IFERROR(VLOOKUP(DEF[[#This Row],[CEDULA]],NCH!$B$7:$AU$229,16,0),"")</f>
        <v/>
      </c>
      <c r="G116" s="186" t="str">
        <f>IFERROR(VLOOKUP(DEF[[#This Row],[CEDULA]],NCH!$B$7:$AU$229,22,0),"")</f>
        <v/>
      </c>
      <c r="H116" s="186" t="str">
        <f>IFERROR(VLOOKUP(DEF[[#This Row],[CEDULA]],NCH!$B$7:$AU$229,28,0),"")</f>
        <v/>
      </c>
      <c r="I116" s="186" t="str">
        <f>IFERROR(VLOOKUP(DEF[[#This Row],[CEDULA]],NCH!$B$7:$AU$229,34,0),"")</f>
        <v/>
      </c>
      <c r="J116" s="186" t="str">
        <f>IFERROR(VLOOKUP(DEF[[#This Row],[CEDULA]],NCH!$B$7:$AU$229,40,0),"")</f>
        <v/>
      </c>
      <c r="K116" s="186" t="str">
        <f>IFERROR(VLOOKUP(DEF[[#This Row],[CEDULA]],NCH!$B$7:$AU$229,46,0),"")</f>
        <v/>
      </c>
      <c r="L116" s="186" t="str">
        <f>IFERROR(VLOOKUP(DEF[CEDULA],METAS[],13,0),"")</f>
        <v/>
      </c>
      <c r="M116" s="187">
        <f>SUM(DEF[[#This Row],[L]:[V]])</f>
        <v>0</v>
      </c>
      <c r="N116" s="188">
        <f>SUM(DEF[[#This Row],[S]:[D]])</f>
        <v>0</v>
      </c>
      <c r="O116" s="188">
        <f>DEF[[#This Row],[TOTAL METAS L-V]]+DEF[[#This Row],[TOTAL METAS S-D-F]]</f>
        <v>0</v>
      </c>
      <c r="P116" s="188" t="e">
        <f>VLOOKUP(DEF[[#This Row],[CEDULA]],METAS[],17,0)</f>
        <v>#N/A</v>
      </c>
      <c r="Q11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16" s="190">
        <f>VLOOKUP(DEF[[#This Row],[CEDULA]],DATOS[],9,0)</f>
        <v>0</v>
      </c>
    </row>
    <row r="117" spans="1:18" ht="30" hidden="1" x14ac:dyDescent="0.25">
      <c r="A117" s="183">
        <v>14196977</v>
      </c>
      <c r="B117" s="184" t="str">
        <f>IFERROR(IF(DEF[[#This Row],[OTRO PAGO]]=0,VLOOKUP(DEF[[#This Row],[CEDULA]],DATOS[],2,0),""),"")</f>
        <v>MARQUEZ ANA</v>
      </c>
      <c r="C117" s="184" t="str">
        <f>IFERROR(VLOOKUP(DEF[[#This Row],[CEDULA]],DATOS[],5,0),"")</f>
        <v>PROFESIONAL</v>
      </c>
      <c r="D117" s="185" t="s">
        <v>859</v>
      </c>
      <c r="E117" s="186" t="str">
        <f>IFERROR(VLOOKUP(DEF[[#This Row],[CEDULA]],NCH!$B$7:$AU$229,10,0),"")</f>
        <v/>
      </c>
      <c r="F117" s="186" t="str">
        <f>IFERROR(VLOOKUP(DEF[[#This Row],[CEDULA]],NCH!$B$7:$AU$229,16,0),"")</f>
        <v/>
      </c>
      <c r="G117" s="186" t="str">
        <f>IFERROR(VLOOKUP(DEF[[#This Row],[CEDULA]],NCH!$B$7:$AU$229,22,0),"")</f>
        <v/>
      </c>
      <c r="H117" s="186" t="str">
        <f>IFERROR(VLOOKUP(DEF[[#This Row],[CEDULA]],NCH!$B$7:$AU$229,28,0),"")</f>
        <v/>
      </c>
      <c r="I117" s="186" t="str">
        <f>IFERROR(VLOOKUP(DEF[[#This Row],[CEDULA]],NCH!$B$7:$AU$229,34,0),"")</f>
        <v/>
      </c>
      <c r="J117" s="186" t="str">
        <f>IFERROR(VLOOKUP(DEF[[#This Row],[CEDULA]],NCH!$B$7:$AU$229,40,0),"")</f>
        <v/>
      </c>
      <c r="K117" s="186" t="str">
        <f>IFERROR(VLOOKUP(DEF[[#This Row],[CEDULA]],NCH!$B$7:$AU$229,46,0),"")</f>
        <v/>
      </c>
      <c r="L117" s="186" t="str">
        <f>IFERROR(VLOOKUP(DEF[CEDULA],METAS[],13,0),"")</f>
        <v/>
      </c>
      <c r="M117" s="187">
        <f>SUM(DEF[[#This Row],[L]:[V]])</f>
        <v>0</v>
      </c>
      <c r="N117" s="188">
        <f>SUM(DEF[[#This Row],[S]:[D]])</f>
        <v>0</v>
      </c>
      <c r="O117" s="188">
        <f>DEF[[#This Row],[TOTAL METAS L-V]]+DEF[[#This Row],[TOTAL METAS S-D-F]]</f>
        <v>0</v>
      </c>
      <c r="P117" s="188" t="e">
        <f>VLOOKUP(DEF[[#This Row],[CEDULA]],METAS[],17,0)</f>
        <v>#N/A</v>
      </c>
      <c r="Q11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17" s="190">
        <f>VLOOKUP(DEF[[#This Row],[CEDULA]],DATOS[],9,0)</f>
        <v>0</v>
      </c>
    </row>
    <row r="118" spans="1:18" ht="30" hidden="1" x14ac:dyDescent="0.25">
      <c r="A118" s="183">
        <v>15133760</v>
      </c>
      <c r="B118" s="184" t="str">
        <f>IFERROR(IF(DEF[[#This Row],[OTRO PAGO]]=0,VLOOKUP(DEF[[#This Row],[CEDULA]],DATOS[],2,0),""),"")</f>
        <v>PLUA MARCOS</v>
      </c>
      <c r="C118" s="184" t="str">
        <f>IFERROR(VLOOKUP(DEF[[#This Row],[CEDULA]],DATOS[],5,0),"")</f>
        <v>SUPERVISORIO</v>
      </c>
      <c r="D118" s="185" t="s">
        <v>859</v>
      </c>
      <c r="E118" s="186" t="str">
        <f>IFERROR(VLOOKUP(DEF[[#This Row],[CEDULA]],NCH!$B$7:$AU$229,10,0),"")</f>
        <v/>
      </c>
      <c r="F118" s="186" t="str">
        <f>IFERROR(VLOOKUP(DEF[[#This Row],[CEDULA]],NCH!$B$7:$AU$229,16,0),"")</f>
        <v/>
      </c>
      <c r="G118" s="186" t="str">
        <f>IFERROR(VLOOKUP(DEF[[#This Row],[CEDULA]],NCH!$B$7:$AU$229,22,0),"")</f>
        <v/>
      </c>
      <c r="H118" s="186" t="str">
        <f>IFERROR(VLOOKUP(DEF[[#This Row],[CEDULA]],NCH!$B$7:$AU$229,28,0),"")</f>
        <v/>
      </c>
      <c r="I118" s="186" t="str">
        <f>IFERROR(VLOOKUP(DEF[[#This Row],[CEDULA]],NCH!$B$7:$AU$229,34,0),"")</f>
        <v/>
      </c>
      <c r="J118" s="186" t="str">
        <f>IFERROR(VLOOKUP(DEF[[#This Row],[CEDULA]],NCH!$B$7:$AU$229,40,0),"")</f>
        <v/>
      </c>
      <c r="K118" s="186" t="str">
        <f>IFERROR(VLOOKUP(DEF[[#This Row],[CEDULA]],NCH!$B$7:$AU$229,46,0),"")</f>
        <v/>
      </c>
      <c r="L118" s="186" t="str">
        <f>IFERROR(VLOOKUP(DEF[CEDULA],METAS[],13,0),"")</f>
        <v/>
      </c>
      <c r="M118" s="187">
        <f>SUM(DEF[[#This Row],[L]:[V]])</f>
        <v>0</v>
      </c>
      <c r="N118" s="188">
        <f>SUM(DEF[[#This Row],[S]:[D]])</f>
        <v>0</v>
      </c>
      <c r="O118" s="188">
        <f>DEF[[#This Row],[TOTAL METAS L-V]]+DEF[[#This Row],[TOTAL METAS S-D-F]]</f>
        <v>0</v>
      </c>
      <c r="P118" s="188" t="e">
        <f>VLOOKUP(DEF[[#This Row],[CEDULA]],METAS[],17,0)</f>
        <v>#N/A</v>
      </c>
      <c r="Q11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18" s="190">
        <f>VLOOKUP(DEF[[#This Row],[CEDULA]],DATOS[],9,0)</f>
        <v>0</v>
      </c>
    </row>
    <row r="119" spans="1:18" hidden="1" x14ac:dyDescent="0.25">
      <c r="A119" s="183">
        <v>6207120</v>
      </c>
      <c r="B119" s="184" t="str">
        <f>IFERROR(IF(DEF[[#This Row],[OTRO PAGO]]=0,VLOOKUP(DEF[[#This Row],[CEDULA]],DATOS[],2,0),""),"")</f>
        <v>ARAOZ FRANCISCO</v>
      </c>
      <c r="C119" s="184" t="str">
        <f>IFERROR(VLOOKUP(DEF[[#This Row],[CEDULA]],DATOS[],5,0),"")</f>
        <v>PROFESIONAL</v>
      </c>
      <c r="D119" s="185" t="s">
        <v>869</v>
      </c>
      <c r="E119" s="186" t="str">
        <f>IFERROR(VLOOKUP(DEF[[#This Row],[CEDULA]],NCH!$B$7:$AU$229,10,0),"")</f>
        <v>No cumple H</v>
      </c>
      <c r="F119" s="186" t="str">
        <f>IFERROR(VLOOKUP(DEF[[#This Row],[CEDULA]],NCH!$B$7:$AU$229,16,0),"")</f>
        <v>No cumple H</v>
      </c>
      <c r="G119" s="186" t="str">
        <f>IFERROR(VLOOKUP(DEF[[#This Row],[CEDULA]],NCH!$B$7:$AU$229,22,0),"")</f>
        <v>No cumple H</v>
      </c>
      <c r="H119" s="186" t="str">
        <f>IFERROR(VLOOKUP(DEF[[#This Row],[CEDULA]],NCH!$B$7:$AU$229,28,0),"")</f>
        <v>No cumple H</v>
      </c>
      <c r="I119" s="186" t="str">
        <f>IFERROR(VLOOKUP(DEF[[#This Row],[CEDULA]],NCH!$B$7:$AU$229,34,0),"")</f>
        <v>No cumple H</v>
      </c>
      <c r="J119" s="186" t="str">
        <f>IFERROR(VLOOKUP(DEF[[#This Row],[CEDULA]],NCH!$B$7:$AU$229,40,0),"")</f>
        <v>No cumple H</v>
      </c>
      <c r="K119" s="186" t="str">
        <f>IFERROR(VLOOKUP(DEF[[#This Row],[CEDULA]],NCH!$B$7:$AU$229,46,0),"")</f>
        <v>No cumple H</v>
      </c>
      <c r="L119" s="186">
        <f>IFERROR(VLOOKUP(DEF[CEDULA],METAS[],13,0),"")</f>
        <v>0</v>
      </c>
      <c r="M119" s="187">
        <f>SUM(DEF[[#This Row],[L]:[V]])</f>
        <v>0</v>
      </c>
      <c r="N119" s="188">
        <f>SUM(DEF[[#This Row],[S]:[D]])</f>
        <v>0</v>
      </c>
      <c r="O119" s="188">
        <f>DEF[[#This Row],[TOTAL METAS L-V]]+DEF[[#This Row],[TOTAL METAS S-D-F]]</f>
        <v>0</v>
      </c>
      <c r="P119" s="188">
        <f>VLOOKUP(DEF[[#This Row],[CEDULA]],METAS[],17,0)</f>
        <v>0</v>
      </c>
      <c r="Q11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19" s="190">
        <f>VLOOKUP(DEF[[#This Row],[CEDULA]],DATOS[],9,0)</f>
        <v>0</v>
      </c>
    </row>
    <row r="120" spans="1:18" hidden="1" x14ac:dyDescent="0.25">
      <c r="A120" s="183">
        <v>12900851</v>
      </c>
      <c r="B120" s="184" t="str">
        <f>IFERROR(IF(DEF[[#This Row],[OTRO PAGO]]=0,VLOOKUP(DEF[[#This Row],[CEDULA]],DATOS[],2,0),""),"")</f>
        <v>ACEVEDO MOISES</v>
      </c>
      <c r="C120" s="184" t="str">
        <f>IFERROR(VLOOKUP(DEF[[#This Row],[CEDULA]],DATOS[],5,0),"")</f>
        <v>SUPERVISORIO</v>
      </c>
      <c r="D120" s="185" t="s">
        <v>869</v>
      </c>
      <c r="E120" s="186" t="str">
        <f>IFERROR(VLOOKUP(DEF[[#This Row],[CEDULA]],NCH!$B$7:$AU$229,10,0),"")</f>
        <v>No cumple H</v>
      </c>
      <c r="F120" s="186" t="str">
        <f>IFERROR(VLOOKUP(DEF[[#This Row],[CEDULA]],NCH!$B$7:$AU$229,16,0),"")</f>
        <v>No cumple H</v>
      </c>
      <c r="G120" s="186" t="str">
        <f>IFERROR(VLOOKUP(DEF[[#This Row],[CEDULA]],NCH!$B$7:$AU$229,22,0),"")</f>
        <v>No cumple H</v>
      </c>
      <c r="H120" s="186" t="str">
        <f>IFERROR(VLOOKUP(DEF[[#This Row],[CEDULA]],NCH!$B$7:$AU$229,28,0),"")</f>
        <v>No cumple H</v>
      </c>
      <c r="I120" s="186" t="str">
        <f>IFERROR(VLOOKUP(DEF[[#This Row],[CEDULA]],NCH!$B$7:$AU$229,34,0),"")</f>
        <v>No cumple H</v>
      </c>
      <c r="J120" s="186" t="str">
        <f>IFERROR(VLOOKUP(DEF[[#This Row],[CEDULA]],NCH!$B$7:$AU$229,40,0),"")</f>
        <v>No cumple H</v>
      </c>
      <c r="K120" s="186" t="str">
        <f>IFERROR(VLOOKUP(DEF[[#This Row],[CEDULA]],NCH!$B$7:$AU$229,46,0),"")</f>
        <v>No cumple H</v>
      </c>
      <c r="L120" s="186">
        <f>IFERROR(VLOOKUP(DEF[CEDULA],METAS[],13,0),"")</f>
        <v>0</v>
      </c>
      <c r="M120" s="187">
        <f>SUM(DEF[[#This Row],[L]:[V]])</f>
        <v>0</v>
      </c>
      <c r="N120" s="188">
        <f>SUM(DEF[[#This Row],[S]:[D]])</f>
        <v>0</v>
      </c>
      <c r="O120" s="188">
        <f>DEF[[#This Row],[TOTAL METAS L-V]]+DEF[[#This Row],[TOTAL METAS S-D-F]]</f>
        <v>0</v>
      </c>
      <c r="P120" s="188">
        <f>VLOOKUP(DEF[[#This Row],[CEDULA]],METAS[],17,0)</f>
        <v>0</v>
      </c>
      <c r="Q12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20" s="190">
        <f>VLOOKUP(DEF[[#This Row],[CEDULA]],DATOS[],9,0)</f>
        <v>0</v>
      </c>
    </row>
    <row r="121" spans="1:18" hidden="1" x14ac:dyDescent="0.25">
      <c r="A121" s="183">
        <v>3523168</v>
      </c>
      <c r="B121" s="184" t="str">
        <f>IFERROR(IF(DEF[[#This Row],[OTRO PAGO]]=0,VLOOKUP(DEF[[#This Row],[CEDULA]],DATOS[],2,0),""),"")</f>
        <v>BRICENO ESPERANZA</v>
      </c>
      <c r="C121" s="184" t="str">
        <f>IFERROR(VLOOKUP(DEF[[#This Row],[CEDULA]],DATOS[],5,0),"")</f>
        <v>SUPERVISORIO</v>
      </c>
      <c r="D121" s="185" t="s">
        <v>869</v>
      </c>
      <c r="E121" s="186" t="str">
        <f>IFERROR(VLOOKUP(DEF[[#This Row],[CEDULA]],NCH!$B$7:$AU$229,10,0),"")</f>
        <v>No tiene huella Biometrico</v>
      </c>
      <c r="F121" s="186" t="str">
        <f>IFERROR(VLOOKUP(DEF[[#This Row],[CEDULA]],NCH!$B$7:$AU$229,16,0),"")</f>
        <v>No tiene huella Biometrico</v>
      </c>
      <c r="G121" s="186" t="str">
        <f>IFERROR(VLOOKUP(DEF[[#This Row],[CEDULA]],NCH!$B$7:$AU$229,22,0),"")</f>
        <v>No tiene huella Biometrico</v>
      </c>
      <c r="H121" s="186" t="str">
        <f>IFERROR(VLOOKUP(DEF[[#This Row],[CEDULA]],NCH!$B$7:$AU$229,28,0),"")</f>
        <v>No tiene huella Biometrico</v>
      </c>
      <c r="I121" s="186" t="str">
        <f>IFERROR(VLOOKUP(DEF[[#This Row],[CEDULA]],NCH!$B$7:$AU$229,34,0),"")</f>
        <v>No tiene huella Biometrico</v>
      </c>
      <c r="J121" s="186" t="str">
        <f>IFERROR(VLOOKUP(DEF[[#This Row],[CEDULA]],NCH!$B$7:$AU$229,40,0),"")</f>
        <v>No tiene huella Biometrico</v>
      </c>
      <c r="K121" s="186" t="str">
        <f>IFERROR(VLOOKUP(DEF[[#This Row],[CEDULA]],NCH!$B$7:$AU$229,46,0),"")</f>
        <v>No tiene huella Biometrico</v>
      </c>
      <c r="L121" s="186">
        <f>IFERROR(VLOOKUP(DEF[CEDULA],METAS[],13,0),"")</f>
        <v>0</v>
      </c>
      <c r="M121" s="187">
        <f>SUM(DEF[[#This Row],[L]:[V]])</f>
        <v>0</v>
      </c>
      <c r="N121" s="188">
        <f>SUM(DEF[[#This Row],[S]:[D]])</f>
        <v>0</v>
      </c>
      <c r="O121" s="188">
        <f>DEF[[#This Row],[TOTAL METAS L-V]]+DEF[[#This Row],[TOTAL METAS S-D-F]]</f>
        <v>0</v>
      </c>
      <c r="P121" s="188">
        <f>VLOOKUP(DEF[[#This Row],[CEDULA]],METAS[],17,0)</f>
        <v>0</v>
      </c>
      <c r="Q12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21" s="190">
        <f>VLOOKUP(DEF[[#This Row],[CEDULA]],DATOS[],9,0)</f>
        <v>0</v>
      </c>
    </row>
    <row r="122" spans="1:18" hidden="1" x14ac:dyDescent="0.25">
      <c r="A122" s="183">
        <v>6869228</v>
      </c>
      <c r="B122" s="184" t="str">
        <f>IFERROR(IF(DEF[[#This Row],[OTRO PAGO]]=0,VLOOKUP(DEF[[#This Row],[CEDULA]],DATOS[],2,0),""),"")</f>
        <v>MORENO ARGELIA</v>
      </c>
      <c r="C122" s="184" t="str">
        <f>IFERROR(VLOOKUP(DEF[[#This Row],[CEDULA]],DATOS[],5,0),"")</f>
        <v>SUPERVISORIO</v>
      </c>
      <c r="D122" s="185" t="s">
        <v>869</v>
      </c>
      <c r="E122" s="186" t="str">
        <f>IFERROR(VLOOKUP(DEF[[#This Row],[CEDULA]],NCH!$B$7:$AU$229,10,0),"")</f>
        <v/>
      </c>
      <c r="F122" s="186" t="str">
        <f>IFERROR(VLOOKUP(DEF[[#This Row],[CEDULA]],NCH!$B$7:$AU$229,16,0),"")</f>
        <v/>
      </c>
      <c r="G122" s="186" t="str">
        <f>IFERROR(VLOOKUP(DEF[[#This Row],[CEDULA]],NCH!$B$7:$AU$229,22,0),"")</f>
        <v/>
      </c>
      <c r="H122" s="186" t="str">
        <f>IFERROR(VLOOKUP(DEF[[#This Row],[CEDULA]],NCH!$B$7:$AU$229,28,0),"")</f>
        <v/>
      </c>
      <c r="I122" s="186" t="str">
        <f>IFERROR(VLOOKUP(DEF[[#This Row],[CEDULA]],NCH!$B$7:$AU$229,34,0),"")</f>
        <v/>
      </c>
      <c r="J122" s="186" t="str">
        <f>IFERROR(VLOOKUP(DEF[[#This Row],[CEDULA]],NCH!$B$7:$AU$229,40,0),"")</f>
        <v/>
      </c>
      <c r="K122" s="186" t="str">
        <f>IFERROR(VLOOKUP(DEF[[#This Row],[CEDULA]],NCH!$B$7:$AU$229,46,0),"")</f>
        <v/>
      </c>
      <c r="L122" s="186" t="str">
        <f>IFERROR(VLOOKUP(DEF[CEDULA],METAS[],13,0),"")</f>
        <v/>
      </c>
      <c r="M122" s="187">
        <f>SUM(DEF[[#This Row],[L]:[V]])</f>
        <v>0</v>
      </c>
      <c r="N122" s="188">
        <f>SUM(DEF[[#This Row],[S]:[D]])</f>
        <v>0</v>
      </c>
      <c r="O122" s="188">
        <f>DEF[[#This Row],[TOTAL METAS L-V]]+DEF[[#This Row],[TOTAL METAS S-D-F]]</f>
        <v>0</v>
      </c>
      <c r="P122" s="188" t="e">
        <f>VLOOKUP(DEF[[#This Row],[CEDULA]],METAS[],17,0)</f>
        <v>#N/A</v>
      </c>
      <c r="Q12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22" s="190">
        <f>VLOOKUP(DEF[[#This Row],[CEDULA]],DATOS[],9,0)</f>
        <v>0</v>
      </c>
    </row>
    <row r="123" spans="1:18" hidden="1" x14ac:dyDescent="0.25">
      <c r="A123" s="183">
        <v>7452015</v>
      </c>
      <c r="B123" s="184" t="str">
        <f>IFERROR(IF(DEF[[#This Row],[OTRO PAGO]]=0,VLOOKUP(DEF[[#This Row],[CEDULA]],DATOS[],2,0),""),"")</f>
        <v>GONZALEZ RITO</v>
      </c>
      <c r="C123" s="184" t="str">
        <f>IFERROR(VLOOKUP(DEF[[#This Row],[CEDULA]],DATOS[],5,0),"")</f>
        <v>SUPERVISORIO</v>
      </c>
      <c r="D123" s="185" t="s">
        <v>869</v>
      </c>
      <c r="E123" s="186" t="str">
        <f>IFERROR(VLOOKUP(DEF[[#This Row],[CEDULA]],NCH!$B$7:$AU$229,10,0),"")</f>
        <v>No cumple H</v>
      </c>
      <c r="F123" s="186" t="str">
        <f>IFERROR(VLOOKUP(DEF[[#This Row],[CEDULA]],NCH!$B$7:$AU$229,16,0),"")</f>
        <v>No cumple H</v>
      </c>
      <c r="G123" s="186" t="str">
        <f>IFERROR(VLOOKUP(DEF[[#This Row],[CEDULA]],NCH!$B$7:$AU$229,22,0),"")</f>
        <v>No cumple H</v>
      </c>
      <c r="H123" s="186" t="str">
        <f>IFERROR(VLOOKUP(DEF[[#This Row],[CEDULA]],NCH!$B$7:$AU$229,28,0),"")</f>
        <v>No cumple H</v>
      </c>
      <c r="I123" s="186" t="str">
        <f>IFERROR(VLOOKUP(DEF[[#This Row],[CEDULA]],NCH!$B$7:$AU$229,34,0),"")</f>
        <v>No cumple H</v>
      </c>
      <c r="J123" s="186" t="str">
        <f>IFERROR(VLOOKUP(DEF[[#This Row],[CEDULA]],NCH!$B$7:$AU$229,40,0),"")</f>
        <v>No cumple H</v>
      </c>
      <c r="K123" s="186" t="str">
        <f>IFERROR(VLOOKUP(DEF[[#This Row],[CEDULA]],NCH!$B$7:$AU$229,46,0),"")</f>
        <v>No cumple H</v>
      </c>
      <c r="L123" s="186">
        <f>IFERROR(VLOOKUP(DEF[CEDULA],METAS[],13,0),"")</f>
        <v>0</v>
      </c>
      <c r="M123" s="187">
        <f>SUM(DEF[[#This Row],[L]:[V]])</f>
        <v>0</v>
      </c>
      <c r="N123" s="188">
        <f>SUM(DEF[[#This Row],[S]:[D]])</f>
        <v>0</v>
      </c>
      <c r="O123" s="188">
        <f>DEF[[#This Row],[TOTAL METAS L-V]]+DEF[[#This Row],[TOTAL METAS S-D-F]]</f>
        <v>0</v>
      </c>
      <c r="P123" s="188">
        <f>VLOOKUP(DEF[[#This Row],[CEDULA]],METAS[],17,0)</f>
        <v>0</v>
      </c>
      <c r="Q12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23" s="190">
        <f>VLOOKUP(DEF[[#This Row],[CEDULA]],DATOS[],9,0)</f>
        <v>0</v>
      </c>
    </row>
    <row r="124" spans="1:18" hidden="1" x14ac:dyDescent="0.25">
      <c r="A124" s="183">
        <v>9420460</v>
      </c>
      <c r="B124" s="184" t="str">
        <f>IFERROR(IF(DEF[[#This Row],[OTRO PAGO]]=0,VLOOKUP(DEF[[#This Row],[CEDULA]],DATOS[],2,0),""),"")</f>
        <v>MOYA MANUEL</v>
      </c>
      <c r="C124" s="184" t="str">
        <f>IFERROR(VLOOKUP(DEF[[#This Row],[CEDULA]],DATOS[],5,0),"")</f>
        <v>SUPERVISORIO</v>
      </c>
      <c r="D124" s="185" t="s">
        <v>868</v>
      </c>
      <c r="E124" s="186" t="str">
        <f>IFERROR(VLOOKUP(DEF[[#This Row],[CEDULA]],NCH!$B$7:$AU$229,10,0),"")</f>
        <v>No realizo Metas</v>
      </c>
      <c r="F124" s="186" t="str">
        <f>IFERROR(VLOOKUP(DEF[[#This Row],[CEDULA]],NCH!$B$7:$AU$229,16,0),"")</f>
        <v>No realizo Metas</v>
      </c>
      <c r="G124" s="186" t="str">
        <f>IFERROR(VLOOKUP(DEF[[#This Row],[CEDULA]],NCH!$B$7:$AU$229,22,0),"")</f>
        <v>No cumple H</v>
      </c>
      <c r="H124" s="186" t="str">
        <f>IFERROR(VLOOKUP(DEF[[#This Row],[CEDULA]],NCH!$B$7:$AU$229,28,0),"")</f>
        <v>No cumple H</v>
      </c>
      <c r="I124" s="186" t="str">
        <f>IFERROR(VLOOKUP(DEF[[#This Row],[CEDULA]],NCH!$B$7:$AU$229,34,0),"")</f>
        <v>No cumple H</v>
      </c>
      <c r="J124" s="186" t="str">
        <f>IFERROR(VLOOKUP(DEF[[#This Row],[CEDULA]],NCH!$B$7:$AU$229,40,0),"")</f>
        <v>No cumple H</v>
      </c>
      <c r="K124" s="186" t="str">
        <f>IFERROR(VLOOKUP(DEF[[#This Row],[CEDULA]],NCH!$B$7:$AU$229,46,0),"")</f>
        <v>No cumple H</v>
      </c>
      <c r="L124" s="186">
        <f>IFERROR(VLOOKUP(DEF[CEDULA],METAS[],13,0),"")</f>
        <v>0</v>
      </c>
      <c r="M124" s="187">
        <f>SUM(DEF[[#This Row],[L]:[V]])</f>
        <v>0</v>
      </c>
      <c r="N124" s="188">
        <f>SUM(DEF[[#This Row],[S]:[D]])</f>
        <v>0</v>
      </c>
      <c r="O124" s="188">
        <f>DEF[[#This Row],[TOTAL METAS L-V]]+DEF[[#This Row],[TOTAL METAS S-D-F]]</f>
        <v>0</v>
      </c>
      <c r="P124" s="188">
        <f>VLOOKUP(DEF[[#This Row],[CEDULA]],METAS[],17,0)</f>
        <v>0</v>
      </c>
      <c r="Q12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24" s="190">
        <f>VLOOKUP(DEF[[#This Row],[CEDULA]],DATOS[],9,0)</f>
        <v>0</v>
      </c>
    </row>
    <row r="125" spans="1:18" hidden="1" x14ac:dyDescent="0.25">
      <c r="A125" s="183">
        <v>11409380</v>
      </c>
      <c r="B125" s="184" t="str">
        <f>IFERROR(IF(DEF[[#This Row],[OTRO PAGO]]=0,VLOOKUP(DEF[[#This Row],[CEDULA]],DATOS[],2,0),""),"")</f>
        <v>DIAZ KARELYS</v>
      </c>
      <c r="C125" s="184" t="str">
        <f>IFERROR(VLOOKUP(DEF[[#This Row],[CEDULA]],DATOS[],5,0),"")</f>
        <v>SUPERVISORIO</v>
      </c>
      <c r="D125" s="185" t="s">
        <v>868</v>
      </c>
      <c r="E125" s="186" t="str">
        <f>IFERROR(VLOOKUP(DEF[[#This Row],[CEDULA]],NCH!$B$7:$AU$229,10,0),"")</f>
        <v/>
      </c>
      <c r="F125" s="186" t="str">
        <f>IFERROR(VLOOKUP(DEF[[#This Row],[CEDULA]],NCH!$B$7:$AU$229,16,0),"")</f>
        <v/>
      </c>
      <c r="G125" s="186" t="str">
        <f>IFERROR(VLOOKUP(DEF[[#This Row],[CEDULA]],NCH!$B$7:$AU$229,22,0),"")</f>
        <v/>
      </c>
      <c r="H125" s="186" t="str">
        <f>IFERROR(VLOOKUP(DEF[[#This Row],[CEDULA]],NCH!$B$7:$AU$229,28,0),"")</f>
        <v/>
      </c>
      <c r="I125" s="186" t="str">
        <f>IFERROR(VLOOKUP(DEF[[#This Row],[CEDULA]],NCH!$B$7:$AU$229,34,0),"")</f>
        <v/>
      </c>
      <c r="J125" s="186" t="str">
        <f>IFERROR(VLOOKUP(DEF[[#This Row],[CEDULA]],NCH!$B$7:$AU$229,40,0),"")</f>
        <v/>
      </c>
      <c r="K125" s="186" t="str">
        <f>IFERROR(VLOOKUP(DEF[[#This Row],[CEDULA]],NCH!$B$7:$AU$229,46,0),"")</f>
        <v/>
      </c>
      <c r="L125" s="186" t="str">
        <f>IFERROR(VLOOKUP(DEF[CEDULA],METAS[],13,0),"")</f>
        <v/>
      </c>
      <c r="M125" s="187">
        <f>SUM(DEF[[#This Row],[L]:[V]])</f>
        <v>0</v>
      </c>
      <c r="N125" s="188">
        <f>SUM(DEF[[#This Row],[S]:[D]])</f>
        <v>0</v>
      </c>
      <c r="O125" s="188">
        <f>DEF[[#This Row],[TOTAL METAS L-V]]+DEF[[#This Row],[TOTAL METAS S-D-F]]</f>
        <v>0</v>
      </c>
      <c r="P125" s="188" t="e">
        <f>VLOOKUP(DEF[[#This Row],[CEDULA]],METAS[],17,0)</f>
        <v>#N/A</v>
      </c>
      <c r="Q12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25" s="190">
        <f>VLOOKUP(DEF[[#This Row],[CEDULA]],DATOS[],9,0)</f>
        <v>0</v>
      </c>
    </row>
    <row r="126" spans="1:18" hidden="1" x14ac:dyDescent="0.25">
      <c r="A126" s="183">
        <v>4081782</v>
      </c>
      <c r="B126" s="184" t="str">
        <f>IFERROR(IF(DEF[[#This Row],[OTRO PAGO]]=0,VLOOKUP(DEF[[#This Row],[CEDULA]],DATOS[],2,0),""),"")</f>
        <v>DE LA ROSA ELSA</v>
      </c>
      <c r="C126" s="184" t="str">
        <f>IFERROR(VLOOKUP(DEF[[#This Row],[CEDULA]],DATOS[],5,0),"")</f>
        <v>PROFESIONAL</v>
      </c>
      <c r="D126" s="185" t="s">
        <v>868</v>
      </c>
      <c r="E126" s="186" t="str">
        <f>IFERROR(VLOOKUP(DEF[[#This Row],[CEDULA]],NCH!$B$7:$AU$229,10,0),"")</f>
        <v/>
      </c>
      <c r="F126" s="186" t="str">
        <f>IFERROR(VLOOKUP(DEF[[#This Row],[CEDULA]],NCH!$B$7:$AU$229,16,0),"")</f>
        <v/>
      </c>
      <c r="G126" s="186" t="str">
        <f>IFERROR(VLOOKUP(DEF[[#This Row],[CEDULA]],NCH!$B$7:$AU$229,22,0),"")</f>
        <v/>
      </c>
      <c r="H126" s="186" t="str">
        <f>IFERROR(VLOOKUP(DEF[[#This Row],[CEDULA]],NCH!$B$7:$AU$229,28,0),"")</f>
        <v/>
      </c>
      <c r="I126" s="186" t="str">
        <f>IFERROR(VLOOKUP(DEF[[#This Row],[CEDULA]],NCH!$B$7:$AU$229,34,0),"")</f>
        <v/>
      </c>
      <c r="J126" s="186" t="str">
        <f>IFERROR(VLOOKUP(DEF[[#This Row],[CEDULA]],NCH!$B$7:$AU$229,40,0),"")</f>
        <v/>
      </c>
      <c r="K126" s="186" t="str">
        <f>IFERROR(VLOOKUP(DEF[[#This Row],[CEDULA]],NCH!$B$7:$AU$229,46,0),"")</f>
        <v/>
      </c>
      <c r="L126" s="186" t="str">
        <f>IFERROR(VLOOKUP(DEF[CEDULA],METAS[],13,0),"")</f>
        <v/>
      </c>
      <c r="M126" s="187">
        <f>SUM(DEF[[#This Row],[L]:[V]])</f>
        <v>0</v>
      </c>
      <c r="N126" s="188">
        <f>SUM(DEF[[#This Row],[S]:[D]])</f>
        <v>0</v>
      </c>
      <c r="O126" s="188">
        <f>DEF[[#This Row],[TOTAL METAS L-V]]+DEF[[#This Row],[TOTAL METAS S-D-F]]</f>
        <v>0</v>
      </c>
      <c r="P126" s="188" t="e">
        <f>VLOOKUP(DEF[[#This Row],[CEDULA]],METAS[],17,0)</f>
        <v>#N/A</v>
      </c>
      <c r="Q12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26" s="190">
        <f>VLOOKUP(DEF[[#This Row],[CEDULA]],DATOS[],9,0)</f>
        <v>0</v>
      </c>
    </row>
    <row r="127" spans="1:18" hidden="1" x14ac:dyDescent="0.25">
      <c r="A127" s="183">
        <v>12054201</v>
      </c>
      <c r="B127" s="184" t="str">
        <f>IFERROR(IF(DEF[[#This Row],[OTRO PAGO]]=0,VLOOKUP(DEF[[#This Row],[CEDULA]],DATOS[],2,0),""),"")</f>
        <v>YASMIRA RAMIREZ</v>
      </c>
      <c r="C127" s="184" t="str">
        <f>IFERROR(VLOOKUP(DEF[[#This Row],[CEDULA]],DATOS[],5,0),"")</f>
        <v>TECNICO</v>
      </c>
      <c r="D127" s="185" t="s">
        <v>868</v>
      </c>
      <c r="E127" s="186" t="str">
        <f>IFERROR(VLOOKUP(DEF[[#This Row],[CEDULA]],NCH!$B$7:$AU$229,10,0),"")</f>
        <v/>
      </c>
      <c r="F127" s="186" t="str">
        <f>IFERROR(VLOOKUP(DEF[[#This Row],[CEDULA]],NCH!$B$7:$AU$229,16,0),"")</f>
        <v/>
      </c>
      <c r="G127" s="186" t="str">
        <f>IFERROR(VLOOKUP(DEF[[#This Row],[CEDULA]],NCH!$B$7:$AU$229,22,0),"")</f>
        <v/>
      </c>
      <c r="H127" s="186" t="str">
        <f>IFERROR(VLOOKUP(DEF[[#This Row],[CEDULA]],NCH!$B$7:$AU$229,28,0),"")</f>
        <v/>
      </c>
      <c r="I127" s="186" t="str">
        <f>IFERROR(VLOOKUP(DEF[[#This Row],[CEDULA]],NCH!$B$7:$AU$229,34,0),"")</f>
        <v/>
      </c>
      <c r="J127" s="186" t="str">
        <f>IFERROR(VLOOKUP(DEF[[#This Row],[CEDULA]],NCH!$B$7:$AU$229,40,0),"")</f>
        <v/>
      </c>
      <c r="K127" s="186" t="str">
        <f>IFERROR(VLOOKUP(DEF[[#This Row],[CEDULA]],NCH!$B$7:$AU$229,46,0),"")</f>
        <v/>
      </c>
      <c r="L127" s="186" t="str">
        <f>IFERROR(VLOOKUP(DEF[CEDULA],METAS[],13,0),"")</f>
        <v/>
      </c>
      <c r="M127" s="187">
        <f>SUM(DEF[[#This Row],[L]:[V]])</f>
        <v>0</v>
      </c>
      <c r="N127" s="188">
        <f>SUM(DEF[[#This Row],[S]:[D]])</f>
        <v>0</v>
      </c>
      <c r="O127" s="188">
        <f>DEF[[#This Row],[TOTAL METAS L-V]]+DEF[[#This Row],[TOTAL METAS S-D-F]]</f>
        <v>0</v>
      </c>
      <c r="P127" s="188" t="e">
        <f>VLOOKUP(DEF[[#This Row],[CEDULA]],METAS[],17,0)</f>
        <v>#N/A</v>
      </c>
      <c r="Q12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27" s="190">
        <f>VLOOKUP(DEF[[#This Row],[CEDULA]],DATOS[],9,0)</f>
        <v>0</v>
      </c>
    </row>
    <row r="128" spans="1:18" hidden="1" x14ac:dyDescent="0.25">
      <c r="A128" s="183">
        <v>6263882</v>
      </c>
      <c r="B128" s="184" t="str">
        <f>IFERROR(IF(DEF[[#This Row],[OTRO PAGO]]=0,VLOOKUP(DEF[[#This Row],[CEDULA]],DATOS[],2,0),""),"")</f>
        <v>SANCHEZ MANUEL</v>
      </c>
      <c r="C128" s="184" t="str">
        <f>IFERROR(VLOOKUP(DEF[[#This Row],[CEDULA]],DATOS[],5,0),"")</f>
        <v>OBRERO</v>
      </c>
      <c r="D128" s="185" t="s">
        <v>868</v>
      </c>
      <c r="E128" s="186" t="str">
        <f>IFERROR(VLOOKUP(DEF[[#This Row],[CEDULA]],NCH!$B$7:$AU$229,10,0),"")</f>
        <v/>
      </c>
      <c r="F128" s="186" t="str">
        <f>IFERROR(VLOOKUP(DEF[[#This Row],[CEDULA]],NCH!$B$7:$AU$229,16,0),"")</f>
        <v/>
      </c>
      <c r="G128" s="186" t="str">
        <f>IFERROR(VLOOKUP(DEF[[#This Row],[CEDULA]],NCH!$B$7:$AU$229,22,0),"")</f>
        <v/>
      </c>
      <c r="H128" s="186" t="str">
        <f>IFERROR(VLOOKUP(DEF[[#This Row],[CEDULA]],NCH!$B$7:$AU$229,28,0),"")</f>
        <v/>
      </c>
      <c r="I128" s="186" t="str">
        <f>IFERROR(VLOOKUP(DEF[[#This Row],[CEDULA]],NCH!$B$7:$AU$229,34,0),"")</f>
        <v/>
      </c>
      <c r="J128" s="186" t="str">
        <f>IFERROR(VLOOKUP(DEF[[#This Row],[CEDULA]],NCH!$B$7:$AU$229,40,0),"")</f>
        <v/>
      </c>
      <c r="K128" s="186" t="str">
        <f>IFERROR(VLOOKUP(DEF[[#This Row],[CEDULA]],NCH!$B$7:$AU$229,46,0),"")</f>
        <v/>
      </c>
      <c r="L128" s="186" t="str">
        <f>IFERROR(VLOOKUP(DEF[CEDULA],METAS[],13,0),"")</f>
        <v/>
      </c>
      <c r="M128" s="187">
        <f>SUM(DEF[[#This Row],[L]:[V]])</f>
        <v>0</v>
      </c>
      <c r="N128" s="188">
        <f>SUM(DEF[[#This Row],[S]:[D]])</f>
        <v>0</v>
      </c>
      <c r="O128" s="188">
        <f>DEF[[#This Row],[TOTAL METAS L-V]]+DEF[[#This Row],[TOTAL METAS S-D-F]]</f>
        <v>0</v>
      </c>
      <c r="P128" s="188" t="e">
        <f>VLOOKUP(DEF[[#This Row],[CEDULA]],METAS[],17,0)</f>
        <v>#N/A</v>
      </c>
      <c r="Q12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28" s="190">
        <f>VLOOKUP(DEF[[#This Row],[CEDULA]],DATOS[],9,0)</f>
        <v>0</v>
      </c>
    </row>
    <row r="129" spans="1:18" hidden="1" x14ac:dyDescent="0.25">
      <c r="A129" s="183">
        <v>8928635</v>
      </c>
      <c r="B129" s="184" t="str">
        <f>IFERROR(IF(DEF[[#This Row],[OTRO PAGO]]=0,VLOOKUP(DEF[[#This Row],[CEDULA]],DATOS[],2,0),""),"")</f>
        <v>ESTEVES CARMEN</v>
      </c>
      <c r="C129" s="184" t="str">
        <f>IFERROR(VLOOKUP(DEF[[#This Row],[CEDULA]],DATOS[],5,0),"")</f>
        <v>SUPERVISORIO</v>
      </c>
      <c r="D129" s="185" t="s">
        <v>868</v>
      </c>
      <c r="E129" s="186" t="str">
        <f>IFERROR(VLOOKUP(DEF[[#This Row],[CEDULA]],NCH!$B$7:$AU$229,10,0),"")</f>
        <v/>
      </c>
      <c r="F129" s="186" t="str">
        <f>IFERROR(VLOOKUP(DEF[[#This Row],[CEDULA]],NCH!$B$7:$AU$229,16,0),"")</f>
        <v/>
      </c>
      <c r="G129" s="186" t="str">
        <f>IFERROR(VLOOKUP(DEF[[#This Row],[CEDULA]],NCH!$B$7:$AU$229,22,0),"")</f>
        <v/>
      </c>
      <c r="H129" s="186" t="str">
        <f>IFERROR(VLOOKUP(DEF[[#This Row],[CEDULA]],NCH!$B$7:$AU$229,28,0),"")</f>
        <v/>
      </c>
      <c r="I129" s="186" t="str">
        <f>IFERROR(VLOOKUP(DEF[[#This Row],[CEDULA]],NCH!$B$7:$AU$229,34,0),"")</f>
        <v/>
      </c>
      <c r="J129" s="186" t="str">
        <f>IFERROR(VLOOKUP(DEF[[#This Row],[CEDULA]],NCH!$B$7:$AU$229,40,0),"")</f>
        <v/>
      </c>
      <c r="K129" s="186" t="str">
        <f>IFERROR(VLOOKUP(DEF[[#This Row],[CEDULA]],NCH!$B$7:$AU$229,46,0),"")</f>
        <v/>
      </c>
      <c r="L129" s="186" t="str">
        <f>IFERROR(VLOOKUP(DEF[CEDULA],METAS[],13,0),"")</f>
        <v/>
      </c>
      <c r="M129" s="187">
        <f>SUM(DEF[[#This Row],[L]:[V]])</f>
        <v>0</v>
      </c>
      <c r="N129" s="188">
        <f>SUM(DEF[[#This Row],[S]:[D]])</f>
        <v>0</v>
      </c>
      <c r="O129" s="188">
        <f>DEF[[#This Row],[TOTAL METAS L-V]]+DEF[[#This Row],[TOTAL METAS S-D-F]]</f>
        <v>0</v>
      </c>
      <c r="P129" s="188" t="e">
        <f>VLOOKUP(DEF[[#This Row],[CEDULA]],METAS[],17,0)</f>
        <v>#N/A</v>
      </c>
      <c r="Q12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29" s="190">
        <f>VLOOKUP(DEF[[#This Row],[CEDULA]],DATOS[],9,0)</f>
        <v>0</v>
      </c>
    </row>
    <row r="130" spans="1:18" hidden="1" x14ac:dyDescent="0.25">
      <c r="A130" s="183">
        <v>13069845</v>
      </c>
      <c r="B130" s="184" t="str">
        <f>IFERROR(IF(DEF[[#This Row],[OTRO PAGO]]=0,VLOOKUP(DEF[[#This Row],[CEDULA]],DATOS[],2,0),""),"")</f>
        <v>GONZALEZ EVELYN</v>
      </c>
      <c r="C130" s="184" t="str">
        <f>IFERROR(VLOOKUP(DEF[[#This Row],[CEDULA]],DATOS[],5,0),"")</f>
        <v>ADMINISTRATIVO</v>
      </c>
      <c r="D130" s="185" t="s">
        <v>868</v>
      </c>
      <c r="E130" s="186" t="str">
        <f>IFERROR(VLOOKUP(DEF[[#This Row],[CEDULA]],NCH!$B$7:$AU$229,10,0),"")</f>
        <v/>
      </c>
      <c r="F130" s="186" t="str">
        <f>IFERROR(VLOOKUP(DEF[[#This Row],[CEDULA]],NCH!$B$7:$AU$229,16,0),"")</f>
        <v/>
      </c>
      <c r="G130" s="186" t="str">
        <f>IFERROR(VLOOKUP(DEF[[#This Row],[CEDULA]],NCH!$B$7:$AU$229,22,0),"")</f>
        <v/>
      </c>
      <c r="H130" s="186" t="str">
        <f>IFERROR(VLOOKUP(DEF[[#This Row],[CEDULA]],NCH!$B$7:$AU$229,28,0),"")</f>
        <v/>
      </c>
      <c r="I130" s="186" t="str">
        <f>IFERROR(VLOOKUP(DEF[[#This Row],[CEDULA]],NCH!$B$7:$AU$229,34,0),"")</f>
        <v/>
      </c>
      <c r="J130" s="186" t="str">
        <f>IFERROR(VLOOKUP(DEF[[#This Row],[CEDULA]],NCH!$B$7:$AU$229,40,0),"")</f>
        <v/>
      </c>
      <c r="K130" s="186" t="str">
        <f>IFERROR(VLOOKUP(DEF[[#This Row],[CEDULA]],NCH!$B$7:$AU$229,46,0),"")</f>
        <v/>
      </c>
      <c r="L130" s="186" t="str">
        <f>IFERROR(VLOOKUP(DEF[CEDULA],METAS[],13,0),"")</f>
        <v/>
      </c>
      <c r="M130" s="187">
        <f>SUM(DEF[[#This Row],[L]:[V]])</f>
        <v>0</v>
      </c>
      <c r="N130" s="188">
        <f>SUM(DEF[[#This Row],[S]:[D]])</f>
        <v>0</v>
      </c>
      <c r="O130" s="188">
        <f>DEF[[#This Row],[TOTAL METAS L-V]]+DEF[[#This Row],[TOTAL METAS S-D-F]]</f>
        <v>0</v>
      </c>
      <c r="P130" s="188" t="e">
        <f>VLOOKUP(DEF[[#This Row],[CEDULA]],METAS[],17,0)</f>
        <v>#N/A</v>
      </c>
      <c r="Q13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30" s="190">
        <f>VLOOKUP(DEF[[#This Row],[CEDULA]],DATOS[],9,0)</f>
        <v>0</v>
      </c>
    </row>
    <row r="131" spans="1:18" hidden="1" x14ac:dyDescent="0.25">
      <c r="A131" s="183">
        <v>11203282</v>
      </c>
      <c r="B131" s="184" t="str">
        <f>IFERROR(IF(DEF[[#This Row],[OTRO PAGO]]=0,VLOOKUP(DEF[[#This Row],[CEDULA]],DATOS[],2,0),""),"")</f>
        <v>MUJICA EDGAR</v>
      </c>
      <c r="C131" s="184" t="str">
        <f>IFERROR(VLOOKUP(DEF[[#This Row],[CEDULA]],DATOS[],5,0),"")</f>
        <v>TECNICO</v>
      </c>
      <c r="D131" s="185" t="s">
        <v>868</v>
      </c>
      <c r="E131" s="186" t="str">
        <f>IFERROR(VLOOKUP(DEF[[#This Row],[CEDULA]],NCH!$B$7:$AU$229,10,0),"")</f>
        <v/>
      </c>
      <c r="F131" s="186" t="str">
        <f>IFERROR(VLOOKUP(DEF[[#This Row],[CEDULA]],NCH!$B$7:$AU$229,16,0),"")</f>
        <v/>
      </c>
      <c r="G131" s="186" t="str">
        <f>IFERROR(VLOOKUP(DEF[[#This Row],[CEDULA]],NCH!$B$7:$AU$229,22,0),"")</f>
        <v/>
      </c>
      <c r="H131" s="186" t="str">
        <f>IFERROR(VLOOKUP(DEF[[#This Row],[CEDULA]],NCH!$B$7:$AU$229,28,0),"")</f>
        <v/>
      </c>
      <c r="I131" s="186" t="str">
        <f>IFERROR(VLOOKUP(DEF[[#This Row],[CEDULA]],NCH!$B$7:$AU$229,34,0),"")</f>
        <v/>
      </c>
      <c r="J131" s="186" t="str">
        <f>IFERROR(VLOOKUP(DEF[[#This Row],[CEDULA]],NCH!$B$7:$AU$229,40,0),"")</f>
        <v/>
      </c>
      <c r="K131" s="186" t="str">
        <f>IFERROR(VLOOKUP(DEF[[#This Row],[CEDULA]],NCH!$B$7:$AU$229,46,0),"")</f>
        <v/>
      </c>
      <c r="L131" s="186" t="str">
        <f>IFERROR(VLOOKUP(DEF[CEDULA],METAS[],13,0),"")</f>
        <v/>
      </c>
      <c r="M131" s="187">
        <f>SUM(DEF[[#This Row],[L]:[V]])</f>
        <v>0</v>
      </c>
      <c r="N131" s="188">
        <f>SUM(DEF[[#This Row],[S]:[D]])</f>
        <v>0</v>
      </c>
      <c r="O131" s="188">
        <f>DEF[[#This Row],[TOTAL METAS L-V]]+DEF[[#This Row],[TOTAL METAS S-D-F]]</f>
        <v>0</v>
      </c>
      <c r="P131" s="188" t="e">
        <f>VLOOKUP(DEF[[#This Row],[CEDULA]],METAS[],17,0)</f>
        <v>#N/A</v>
      </c>
      <c r="Q13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31" s="190">
        <f>VLOOKUP(DEF[[#This Row],[CEDULA]],DATOS[],9,0)</f>
        <v>0</v>
      </c>
    </row>
    <row r="132" spans="1:18" hidden="1" x14ac:dyDescent="0.25">
      <c r="A132" s="183">
        <v>6302412</v>
      </c>
      <c r="B132" s="184" t="str">
        <f>IFERROR(IF(DEF[[#This Row],[OTRO PAGO]]=0,VLOOKUP(DEF[[#This Row],[CEDULA]],DATOS[],2,0),""),"")</f>
        <v>DURAN MARIO</v>
      </c>
      <c r="C132" s="184" t="str">
        <f>IFERROR(VLOOKUP(DEF[[#This Row],[CEDULA]],DATOS[],5,0),"")</f>
        <v>TECNICO</v>
      </c>
      <c r="D132" s="185" t="s">
        <v>868</v>
      </c>
      <c r="E132" s="186" t="str">
        <f>IFERROR(VLOOKUP(DEF[[#This Row],[CEDULA]],NCH!$B$7:$AU$229,10,0),"")</f>
        <v/>
      </c>
      <c r="F132" s="186" t="str">
        <f>IFERROR(VLOOKUP(DEF[[#This Row],[CEDULA]],NCH!$B$7:$AU$229,16,0),"")</f>
        <v/>
      </c>
      <c r="G132" s="186" t="str">
        <f>IFERROR(VLOOKUP(DEF[[#This Row],[CEDULA]],NCH!$B$7:$AU$229,22,0),"")</f>
        <v/>
      </c>
      <c r="H132" s="186" t="str">
        <f>IFERROR(VLOOKUP(DEF[[#This Row],[CEDULA]],NCH!$B$7:$AU$229,28,0),"")</f>
        <v/>
      </c>
      <c r="I132" s="186" t="str">
        <f>IFERROR(VLOOKUP(DEF[[#This Row],[CEDULA]],NCH!$B$7:$AU$229,34,0),"")</f>
        <v/>
      </c>
      <c r="J132" s="186" t="str">
        <f>IFERROR(VLOOKUP(DEF[[#This Row],[CEDULA]],NCH!$B$7:$AU$229,40,0),"")</f>
        <v/>
      </c>
      <c r="K132" s="186" t="str">
        <f>IFERROR(VLOOKUP(DEF[[#This Row],[CEDULA]],NCH!$B$7:$AU$229,46,0),"")</f>
        <v/>
      </c>
      <c r="L132" s="186" t="str">
        <f>IFERROR(VLOOKUP(DEF[CEDULA],METAS[],13,0),"")</f>
        <v/>
      </c>
      <c r="M132" s="187">
        <f>SUM(DEF[[#This Row],[L]:[V]])</f>
        <v>0</v>
      </c>
      <c r="N132" s="188">
        <f>SUM(DEF[[#This Row],[S]:[D]])</f>
        <v>0</v>
      </c>
      <c r="O132" s="188">
        <f>DEF[[#This Row],[TOTAL METAS L-V]]+DEF[[#This Row],[TOTAL METAS S-D-F]]</f>
        <v>0</v>
      </c>
      <c r="P132" s="188" t="e">
        <f>VLOOKUP(DEF[[#This Row],[CEDULA]],METAS[],17,0)</f>
        <v>#N/A</v>
      </c>
      <c r="Q13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32" s="190">
        <f>VLOOKUP(DEF[[#This Row],[CEDULA]],DATOS[],9,0)</f>
        <v>0</v>
      </c>
    </row>
    <row r="133" spans="1:18" hidden="1" x14ac:dyDescent="0.25">
      <c r="A133" s="183">
        <v>11037153</v>
      </c>
      <c r="B133" s="184" t="str">
        <f>IFERROR(IF(DEF[[#This Row],[OTRO PAGO]]=0,VLOOKUP(DEF[[#This Row],[CEDULA]],DATOS[],2,0),""),"")</f>
        <v>CASTRO JOSEFA</v>
      </c>
      <c r="C133" s="184" t="str">
        <f>IFERROR(VLOOKUP(DEF[[#This Row],[CEDULA]],DATOS[],5,0),"")</f>
        <v>OBRERO</v>
      </c>
      <c r="D133" s="185" t="s">
        <v>868</v>
      </c>
      <c r="E133" s="186" t="str">
        <f>IFERROR(VLOOKUP(DEF[[#This Row],[CEDULA]],NCH!$B$7:$AU$229,10,0),"")</f>
        <v>No tiene huella Biometrico</v>
      </c>
      <c r="F133" s="186" t="str">
        <f>IFERROR(VLOOKUP(DEF[[#This Row],[CEDULA]],NCH!$B$7:$AU$229,16,0),"")</f>
        <v>No tiene huella Biometrico</v>
      </c>
      <c r="G133" s="186" t="str">
        <f>IFERROR(VLOOKUP(DEF[[#This Row],[CEDULA]],NCH!$B$7:$AU$229,22,0),"")</f>
        <v>No tiene huella Biometrico</v>
      </c>
      <c r="H133" s="186" t="str">
        <f>IFERROR(VLOOKUP(DEF[[#This Row],[CEDULA]],NCH!$B$7:$AU$229,28,0),"")</f>
        <v>No tiene huella Biometrico</v>
      </c>
      <c r="I133" s="186" t="str">
        <f>IFERROR(VLOOKUP(DEF[[#This Row],[CEDULA]],NCH!$B$7:$AU$229,34,0),"")</f>
        <v>No tiene huella Biometrico</v>
      </c>
      <c r="J133" s="186" t="str">
        <f>IFERROR(VLOOKUP(DEF[[#This Row],[CEDULA]],NCH!$B$7:$AU$229,40,0),"")</f>
        <v>No tiene huella Biometrico</v>
      </c>
      <c r="K133" s="186" t="str">
        <f>IFERROR(VLOOKUP(DEF[[#This Row],[CEDULA]],NCH!$B$7:$AU$229,46,0),"")</f>
        <v>No tiene huella Biometrico</v>
      </c>
      <c r="L133" s="186">
        <f>IFERROR(VLOOKUP(DEF[CEDULA],METAS[],13,0),"")</f>
        <v>0</v>
      </c>
      <c r="M133" s="187">
        <f>SUM(DEF[[#This Row],[L]:[V]])</f>
        <v>0</v>
      </c>
      <c r="N133" s="188">
        <f>SUM(DEF[[#This Row],[S]:[D]])</f>
        <v>0</v>
      </c>
      <c r="O133" s="188">
        <f>DEF[[#This Row],[TOTAL METAS L-V]]+DEF[[#This Row],[TOTAL METAS S-D-F]]</f>
        <v>0</v>
      </c>
      <c r="P133" s="188">
        <f>VLOOKUP(DEF[[#This Row],[CEDULA]],METAS[],17,0)</f>
        <v>0</v>
      </c>
      <c r="Q13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33" s="190">
        <f>VLOOKUP(DEF[[#This Row],[CEDULA]],DATOS[],9,0)</f>
        <v>0</v>
      </c>
    </row>
    <row r="134" spans="1:18" hidden="1" x14ac:dyDescent="0.25">
      <c r="A134" s="183">
        <v>10352406</v>
      </c>
      <c r="B134" s="184" t="str">
        <f>IFERROR(IF(DEF[[#This Row],[OTRO PAGO]]=0,VLOOKUP(DEF[[#This Row],[CEDULA]],DATOS[],2,0),""),"")</f>
        <v>CISNEROS MARIA</v>
      </c>
      <c r="C134" s="184" t="str">
        <f>IFERROR(VLOOKUP(DEF[[#This Row],[CEDULA]],DATOS[],5,0),"")</f>
        <v>OBRERO</v>
      </c>
      <c r="D134" s="185" t="s">
        <v>868</v>
      </c>
      <c r="E134" s="186" t="str">
        <f>IFERROR(VLOOKUP(DEF[[#This Row],[CEDULA]],NCH!$B$7:$AU$229,10,0),"")</f>
        <v/>
      </c>
      <c r="F134" s="186" t="str">
        <f>IFERROR(VLOOKUP(DEF[[#This Row],[CEDULA]],NCH!$B$7:$AU$229,16,0),"")</f>
        <v/>
      </c>
      <c r="G134" s="186" t="str">
        <f>IFERROR(VLOOKUP(DEF[[#This Row],[CEDULA]],NCH!$B$7:$AU$229,22,0),"")</f>
        <v/>
      </c>
      <c r="H134" s="186" t="str">
        <f>IFERROR(VLOOKUP(DEF[[#This Row],[CEDULA]],NCH!$B$7:$AU$229,28,0),"")</f>
        <v/>
      </c>
      <c r="I134" s="186" t="str">
        <f>IFERROR(VLOOKUP(DEF[[#This Row],[CEDULA]],NCH!$B$7:$AU$229,34,0),"")</f>
        <v/>
      </c>
      <c r="J134" s="186" t="str">
        <f>IFERROR(VLOOKUP(DEF[[#This Row],[CEDULA]],NCH!$B$7:$AU$229,40,0),"")</f>
        <v/>
      </c>
      <c r="K134" s="186" t="str">
        <f>IFERROR(VLOOKUP(DEF[[#This Row],[CEDULA]],NCH!$B$7:$AU$229,46,0),"")</f>
        <v/>
      </c>
      <c r="L134" s="186" t="str">
        <f>IFERROR(VLOOKUP(DEF[CEDULA],METAS[],13,0),"")</f>
        <v/>
      </c>
      <c r="M134" s="187">
        <f>SUM(DEF[[#This Row],[L]:[V]])</f>
        <v>0</v>
      </c>
      <c r="N134" s="188">
        <f>SUM(DEF[[#This Row],[S]:[D]])</f>
        <v>0</v>
      </c>
      <c r="O134" s="188">
        <f>DEF[[#This Row],[TOTAL METAS L-V]]+DEF[[#This Row],[TOTAL METAS S-D-F]]</f>
        <v>0</v>
      </c>
      <c r="P134" s="188" t="e">
        <f>VLOOKUP(DEF[[#This Row],[CEDULA]],METAS[],17,0)</f>
        <v>#N/A</v>
      </c>
      <c r="Q13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34" s="190">
        <f>VLOOKUP(DEF[[#This Row],[CEDULA]],DATOS[],9,0)</f>
        <v>0</v>
      </c>
    </row>
    <row r="135" spans="1:18" hidden="1" x14ac:dyDescent="0.25">
      <c r="A135" s="183">
        <v>5466538</v>
      </c>
      <c r="B135" s="184" t="str">
        <f>IFERROR(IF(DEF[[#This Row],[OTRO PAGO]]=0,VLOOKUP(DEF[[#This Row],[CEDULA]],DATOS[],2,0),""),"")</f>
        <v>BRITO LYSBETH</v>
      </c>
      <c r="C135" s="184" t="str">
        <f>IFERROR(VLOOKUP(DEF[[#This Row],[CEDULA]],DATOS[],5,0),"")</f>
        <v>SUPERVISORIO</v>
      </c>
      <c r="D135" s="185" t="s">
        <v>868</v>
      </c>
      <c r="E135" s="186" t="str">
        <f>IFERROR(VLOOKUP(DEF[[#This Row],[CEDULA]],NCH!$B$7:$AU$229,10,0),"")</f>
        <v>No realizo Metas</v>
      </c>
      <c r="F135" s="186" t="str">
        <f>IFERROR(VLOOKUP(DEF[[#This Row],[CEDULA]],NCH!$B$7:$AU$229,16,0),"")</f>
        <v>No realizo Metas</v>
      </c>
      <c r="G135" s="186" t="str">
        <f>IFERROR(VLOOKUP(DEF[[#This Row],[CEDULA]],NCH!$B$7:$AU$229,22,0),"")</f>
        <v>No cumple H</v>
      </c>
      <c r="H135" s="186" t="str">
        <f>IFERROR(VLOOKUP(DEF[[#This Row],[CEDULA]],NCH!$B$7:$AU$229,28,0),"")</f>
        <v>No cumple H</v>
      </c>
      <c r="I135" s="186" t="str">
        <f>IFERROR(VLOOKUP(DEF[[#This Row],[CEDULA]],NCH!$B$7:$AU$229,34,0),"")</f>
        <v>No cumple H</v>
      </c>
      <c r="J135" s="186" t="str">
        <f>IFERROR(VLOOKUP(DEF[[#This Row],[CEDULA]],NCH!$B$7:$AU$229,40,0),"")</f>
        <v>No cumple H</v>
      </c>
      <c r="K135" s="186" t="str">
        <f>IFERROR(VLOOKUP(DEF[[#This Row],[CEDULA]],NCH!$B$7:$AU$229,46,0),"")</f>
        <v>No cumple H</v>
      </c>
      <c r="L135" s="186">
        <f>IFERROR(VLOOKUP(DEF[CEDULA],METAS[],13,0),"")</f>
        <v>0</v>
      </c>
      <c r="M135" s="187">
        <f>SUM(DEF[[#This Row],[L]:[V]])</f>
        <v>0</v>
      </c>
      <c r="N135" s="188">
        <f>SUM(DEF[[#This Row],[S]:[D]])</f>
        <v>0</v>
      </c>
      <c r="O135" s="188">
        <f>DEF[[#This Row],[TOTAL METAS L-V]]+DEF[[#This Row],[TOTAL METAS S-D-F]]</f>
        <v>0</v>
      </c>
      <c r="P135" s="188">
        <f>VLOOKUP(DEF[[#This Row],[CEDULA]],METAS[],17,0)</f>
        <v>0</v>
      </c>
      <c r="Q13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35" s="190">
        <f>VLOOKUP(DEF[[#This Row],[CEDULA]],DATOS[],9,0)</f>
        <v>0</v>
      </c>
    </row>
    <row r="136" spans="1:18" hidden="1" x14ac:dyDescent="0.25">
      <c r="A136" s="183">
        <v>9962492</v>
      </c>
      <c r="B136" s="184" t="str">
        <f>IFERROR(IF(DEF[[#This Row],[OTRO PAGO]]=0,VLOOKUP(DEF[[#This Row],[CEDULA]],DATOS[],2,0),""),"")</f>
        <v>LORETO RITA</v>
      </c>
      <c r="C136" s="184" t="str">
        <f>IFERROR(VLOOKUP(DEF[[#This Row],[CEDULA]],DATOS[],5,0),"")</f>
        <v>PROFESIONAL</v>
      </c>
      <c r="D136" s="185" t="s">
        <v>868</v>
      </c>
      <c r="E136" s="186" t="str">
        <f>IFERROR(VLOOKUP(DEF[[#This Row],[CEDULA]],NCH!$B$7:$AU$229,10,0),"")</f>
        <v/>
      </c>
      <c r="F136" s="186" t="str">
        <f>IFERROR(VLOOKUP(DEF[[#This Row],[CEDULA]],NCH!$B$7:$AU$229,16,0),"")</f>
        <v/>
      </c>
      <c r="G136" s="186" t="str">
        <f>IFERROR(VLOOKUP(DEF[[#This Row],[CEDULA]],NCH!$B$7:$AU$229,22,0),"")</f>
        <v/>
      </c>
      <c r="H136" s="186" t="str">
        <f>IFERROR(VLOOKUP(DEF[[#This Row],[CEDULA]],NCH!$B$7:$AU$229,28,0),"")</f>
        <v/>
      </c>
      <c r="I136" s="186" t="str">
        <f>IFERROR(VLOOKUP(DEF[[#This Row],[CEDULA]],NCH!$B$7:$AU$229,34,0),"")</f>
        <v/>
      </c>
      <c r="J136" s="186" t="str">
        <f>IFERROR(VLOOKUP(DEF[[#This Row],[CEDULA]],NCH!$B$7:$AU$229,40,0),"")</f>
        <v/>
      </c>
      <c r="K136" s="186" t="str">
        <f>IFERROR(VLOOKUP(DEF[[#This Row],[CEDULA]],NCH!$B$7:$AU$229,46,0),"")</f>
        <v/>
      </c>
      <c r="L136" s="186" t="str">
        <f>IFERROR(VLOOKUP(DEF[CEDULA],METAS[],13,0),"")</f>
        <v/>
      </c>
      <c r="M136" s="187">
        <f>SUM(DEF[[#This Row],[L]:[V]])</f>
        <v>0</v>
      </c>
      <c r="N136" s="188">
        <f>SUM(DEF[[#This Row],[S]:[D]])</f>
        <v>0</v>
      </c>
      <c r="O136" s="188">
        <f>DEF[[#This Row],[TOTAL METAS L-V]]+DEF[[#This Row],[TOTAL METAS S-D-F]]</f>
        <v>0</v>
      </c>
      <c r="P136" s="188" t="e">
        <f>VLOOKUP(DEF[[#This Row],[CEDULA]],METAS[],17,0)</f>
        <v>#N/A</v>
      </c>
      <c r="Q13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36" s="190">
        <f>VLOOKUP(DEF[[#This Row],[CEDULA]],DATOS[],9,0)</f>
        <v>0</v>
      </c>
    </row>
    <row r="137" spans="1:18" hidden="1" x14ac:dyDescent="0.25">
      <c r="A137" s="183">
        <v>19560257</v>
      </c>
      <c r="B137" s="184" t="str">
        <f>IFERROR(IF(DEF[[#This Row],[OTRO PAGO]]=0,VLOOKUP(DEF[[#This Row],[CEDULA]],DATOS[],2,0),""),"")</f>
        <v>ONTIVEROS IVANNA</v>
      </c>
      <c r="C137" s="184" t="str">
        <f>IFERROR(VLOOKUP(DEF[[#This Row],[CEDULA]],DATOS[],5,0),"")</f>
        <v>OBRERO</v>
      </c>
      <c r="D137" s="185" t="s">
        <v>868</v>
      </c>
      <c r="E137" s="186" t="str">
        <f>IFERROR(VLOOKUP(DEF[[#This Row],[CEDULA]],NCH!$B$7:$AU$229,10,0),"")</f>
        <v/>
      </c>
      <c r="F137" s="186" t="str">
        <f>IFERROR(VLOOKUP(DEF[[#This Row],[CEDULA]],NCH!$B$7:$AU$229,16,0),"")</f>
        <v/>
      </c>
      <c r="G137" s="186" t="str">
        <f>IFERROR(VLOOKUP(DEF[[#This Row],[CEDULA]],NCH!$B$7:$AU$229,22,0),"")</f>
        <v/>
      </c>
      <c r="H137" s="186" t="str">
        <f>IFERROR(VLOOKUP(DEF[[#This Row],[CEDULA]],NCH!$B$7:$AU$229,28,0),"")</f>
        <v/>
      </c>
      <c r="I137" s="186" t="str">
        <f>IFERROR(VLOOKUP(DEF[[#This Row],[CEDULA]],NCH!$B$7:$AU$229,34,0),"")</f>
        <v/>
      </c>
      <c r="J137" s="186" t="str">
        <f>IFERROR(VLOOKUP(DEF[[#This Row],[CEDULA]],NCH!$B$7:$AU$229,40,0),"")</f>
        <v/>
      </c>
      <c r="K137" s="186" t="str">
        <f>IFERROR(VLOOKUP(DEF[[#This Row],[CEDULA]],NCH!$B$7:$AU$229,46,0),"")</f>
        <v/>
      </c>
      <c r="L137" s="186" t="str">
        <f>IFERROR(VLOOKUP(DEF[CEDULA],METAS[],13,0),"")</f>
        <v/>
      </c>
      <c r="M137" s="187">
        <f>SUM(DEF[[#This Row],[L]:[V]])</f>
        <v>0</v>
      </c>
      <c r="N137" s="188">
        <f>SUM(DEF[[#This Row],[S]:[D]])</f>
        <v>0</v>
      </c>
      <c r="O137" s="188">
        <f>DEF[[#This Row],[TOTAL METAS L-V]]+DEF[[#This Row],[TOTAL METAS S-D-F]]</f>
        <v>0</v>
      </c>
      <c r="P137" s="188" t="e">
        <f>VLOOKUP(DEF[[#This Row],[CEDULA]],METAS[],17,0)</f>
        <v>#N/A</v>
      </c>
      <c r="Q13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37" s="190">
        <f>VLOOKUP(DEF[[#This Row],[CEDULA]],DATOS[],9,0)</f>
        <v>0</v>
      </c>
    </row>
    <row r="138" spans="1:18" hidden="1" x14ac:dyDescent="0.25">
      <c r="A138" s="183">
        <v>6318111</v>
      </c>
      <c r="B138" s="184" t="str">
        <f>IFERROR(IF(DEF[[#This Row],[OTRO PAGO]]=0,VLOOKUP(DEF[[#This Row],[CEDULA]],DATOS[],2,0),""),"")</f>
        <v>GARCIA CARLOS</v>
      </c>
      <c r="C138" s="184" t="str">
        <f>IFERROR(VLOOKUP(DEF[[#This Row],[CEDULA]],DATOS[],5,0),"")</f>
        <v>OBRERO</v>
      </c>
      <c r="D138" s="185" t="s">
        <v>868</v>
      </c>
      <c r="E138" s="186" t="str">
        <f>IFERROR(VLOOKUP(DEF[[#This Row],[CEDULA]],NCH!$B$7:$AU$229,10,0),"")</f>
        <v>No realizo Metas</v>
      </c>
      <c r="F138" s="186" t="str">
        <f>IFERROR(VLOOKUP(DEF[[#This Row],[CEDULA]],NCH!$B$7:$AU$229,16,0),"")</f>
        <v>No realizo Metas</v>
      </c>
      <c r="G138" s="186" t="str">
        <f>IFERROR(VLOOKUP(DEF[[#This Row],[CEDULA]],NCH!$B$7:$AU$229,22,0),"")</f>
        <v>No cumple H</v>
      </c>
      <c r="H138" s="186" t="str">
        <f>IFERROR(VLOOKUP(DEF[[#This Row],[CEDULA]],NCH!$B$7:$AU$229,28,0),"")</f>
        <v>No cumple H</v>
      </c>
      <c r="I138" s="186" t="str">
        <f>IFERROR(VLOOKUP(DEF[[#This Row],[CEDULA]],NCH!$B$7:$AU$229,34,0),"")</f>
        <v>No cumple H</v>
      </c>
      <c r="J138" s="186" t="str">
        <f>IFERROR(VLOOKUP(DEF[[#This Row],[CEDULA]],NCH!$B$7:$AU$229,40,0),"")</f>
        <v>No cumple H</v>
      </c>
      <c r="K138" s="186" t="str">
        <f>IFERROR(VLOOKUP(DEF[[#This Row],[CEDULA]],NCH!$B$7:$AU$229,46,0),"")</f>
        <v>No cumple H</v>
      </c>
      <c r="L138" s="186">
        <f>IFERROR(VLOOKUP(DEF[CEDULA],METAS[],13,0),"")</f>
        <v>0</v>
      </c>
      <c r="M138" s="187">
        <f>SUM(DEF[[#This Row],[L]:[V]])</f>
        <v>0</v>
      </c>
      <c r="N138" s="188">
        <f>SUM(DEF[[#This Row],[S]:[D]])</f>
        <v>0</v>
      </c>
      <c r="O138" s="188">
        <f>DEF[[#This Row],[TOTAL METAS L-V]]+DEF[[#This Row],[TOTAL METAS S-D-F]]</f>
        <v>0</v>
      </c>
      <c r="P138" s="188">
        <f>VLOOKUP(DEF[[#This Row],[CEDULA]],METAS[],17,0)</f>
        <v>0</v>
      </c>
      <c r="Q13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38" s="190">
        <f>VLOOKUP(DEF[[#This Row],[CEDULA]],DATOS[],9,0)</f>
        <v>0</v>
      </c>
    </row>
    <row r="139" spans="1:18" hidden="1" x14ac:dyDescent="0.25">
      <c r="A139" s="183">
        <v>13872339</v>
      </c>
      <c r="B139" s="184" t="str">
        <f>IFERROR(IF(DEF[[#This Row],[OTRO PAGO]]=0,VLOOKUP(DEF[[#This Row],[CEDULA]],DATOS[],2,0),""),"")</f>
        <v>BARRETO MICHEL</v>
      </c>
      <c r="C139" s="184" t="str">
        <f>IFERROR(VLOOKUP(DEF[[#This Row],[CEDULA]],DATOS[],5,0),"")</f>
        <v>SUPERVISORIO</v>
      </c>
      <c r="D139" s="185" t="s">
        <v>868</v>
      </c>
      <c r="E139" s="186" t="str">
        <f>IFERROR(VLOOKUP(DEF[[#This Row],[CEDULA]],NCH!$B$7:$AU$229,10,0),"")</f>
        <v/>
      </c>
      <c r="F139" s="186" t="str">
        <f>IFERROR(VLOOKUP(DEF[[#This Row],[CEDULA]],NCH!$B$7:$AU$229,16,0),"")</f>
        <v/>
      </c>
      <c r="G139" s="186" t="str">
        <f>IFERROR(VLOOKUP(DEF[[#This Row],[CEDULA]],NCH!$B$7:$AU$229,22,0),"")</f>
        <v/>
      </c>
      <c r="H139" s="186" t="str">
        <f>IFERROR(VLOOKUP(DEF[[#This Row],[CEDULA]],NCH!$B$7:$AU$229,28,0),"")</f>
        <v/>
      </c>
      <c r="I139" s="186" t="str">
        <f>IFERROR(VLOOKUP(DEF[[#This Row],[CEDULA]],NCH!$B$7:$AU$229,34,0),"")</f>
        <v/>
      </c>
      <c r="J139" s="186" t="str">
        <f>IFERROR(VLOOKUP(DEF[[#This Row],[CEDULA]],NCH!$B$7:$AU$229,40,0),"")</f>
        <v/>
      </c>
      <c r="K139" s="186" t="str">
        <f>IFERROR(VLOOKUP(DEF[[#This Row],[CEDULA]],NCH!$B$7:$AU$229,46,0),"")</f>
        <v/>
      </c>
      <c r="L139" s="186" t="str">
        <f>IFERROR(VLOOKUP(DEF[CEDULA],METAS[],13,0),"")</f>
        <v/>
      </c>
      <c r="M139" s="187">
        <f>SUM(DEF[[#This Row],[L]:[V]])</f>
        <v>0</v>
      </c>
      <c r="N139" s="188">
        <f>SUM(DEF[[#This Row],[S]:[D]])</f>
        <v>0</v>
      </c>
      <c r="O139" s="188">
        <f>DEF[[#This Row],[TOTAL METAS L-V]]+DEF[[#This Row],[TOTAL METAS S-D-F]]</f>
        <v>0</v>
      </c>
      <c r="P139" s="188" t="e">
        <f>VLOOKUP(DEF[[#This Row],[CEDULA]],METAS[],17,0)</f>
        <v>#N/A</v>
      </c>
      <c r="Q13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39" s="190">
        <f>VLOOKUP(DEF[[#This Row],[CEDULA]],DATOS[],9,0)</f>
        <v>0</v>
      </c>
    </row>
    <row r="140" spans="1:18" hidden="1" x14ac:dyDescent="0.25">
      <c r="A140" s="183">
        <v>30565743</v>
      </c>
      <c r="B140" s="184" t="str">
        <f>IFERROR(IF(DEF[[#This Row],[OTRO PAGO]]=0,VLOOKUP(DEF[[#This Row],[CEDULA]],DATOS[],2,0),""),"")</f>
        <v>RIVERO GABRIEL</v>
      </c>
      <c r="C140" s="184" t="str">
        <f>IFERROR(VLOOKUP(DEF[[#This Row],[CEDULA]],DATOS[],5,0),"")</f>
        <v>ADMINISTRATIVO</v>
      </c>
      <c r="D140" s="185" t="s">
        <v>868</v>
      </c>
      <c r="E140" s="186" t="str">
        <f>IFERROR(VLOOKUP(DEF[[#This Row],[CEDULA]],NCH!$B$7:$AU$229,10,0),"")</f>
        <v/>
      </c>
      <c r="F140" s="186" t="str">
        <f>IFERROR(VLOOKUP(DEF[[#This Row],[CEDULA]],NCH!$B$7:$AU$229,16,0),"")</f>
        <v/>
      </c>
      <c r="G140" s="186" t="str">
        <f>IFERROR(VLOOKUP(DEF[[#This Row],[CEDULA]],NCH!$B$7:$AU$229,22,0),"")</f>
        <v/>
      </c>
      <c r="H140" s="186" t="str">
        <f>IFERROR(VLOOKUP(DEF[[#This Row],[CEDULA]],NCH!$B$7:$AU$229,28,0),"")</f>
        <v/>
      </c>
      <c r="I140" s="186" t="str">
        <f>IFERROR(VLOOKUP(DEF[[#This Row],[CEDULA]],NCH!$B$7:$AU$229,34,0),"")</f>
        <v/>
      </c>
      <c r="J140" s="186" t="str">
        <f>IFERROR(VLOOKUP(DEF[[#This Row],[CEDULA]],NCH!$B$7:$AU$229,40,0),"")</f>
        <v/>
      </c>
      <c r="K140" s="186" t="str">
        <f>IFERROR(VLOOKUP(DEF[[#This Row],[CEDULA]],NCH!$B$7:$AU$229,46,0),"")</f>
        <v/>
      </c>
      <c r="L140" s="186" t="str">
        <f>IFERROR(VLOOKUP(DEF[CEDULA],METAS[],13,0),"")</f>
        <v/>
      </c>
      <c r="M140" s="187">
        <f>SUM(DEF[[#This Row],[L]:[V]])</f>
        <v>0</v>
      </c>
      <c r="N140" s="188">
        <f>SUM(DEF[[#This Row],[S]:[D]])</f>
        <v>0</v>
      </c>
      <c r="O140" s="188">
        <f>DEF[[#This Row],[TOTAL METAS L-V]]+DEF[[#This Row],[TOTAL METAS S-D-F]]</f>
        <v>0</v>
      </c>
      <c r="P140" s="188" t="e">
        <f>VLOOKUP(DEF[[#This Row],[CEDULA]],METAS[],17,0)</f>
        <v>#N/A</v>
      </c>
      <c r="Q14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40" s="190">
        <f>VLOOKUP(DEF[[#This Row],[CEDULA]],DATOS[],9,0)</f>
        <v>0</v>
      </c>
    </row>
    <row r="141" spans="1:18" hidden="1" x14ac:dyDescent="0.25">
      <c r="A141" s="183">
        <v>30708991</v>
      </c>
      <c r="B141" s="184" t="str">
        <f>IFERROR(IF(DEF[[#This Row],[OTRO PAGO]]=0,VLOOKUP(DEF[[#This Row],[CEDULA]],DATOS[],2,0),""),"")</f>
        <v>ROJAS MEIBERLIN</v>
      </c>
      <c r="C141" s="184" t="str">
        <f>IFERROR(VLOOKUP(DEF[[#This Row],[CEDULA]],DATOS[],5,0),"")</f>
        <v>ADMINISTRATIVO</v>
      </c>
      <c r="D141" s="185" t="s">
        <v>868</v>
      </c>
      <c r="E141" s="186" t="str">
        <f>IFERROR(VLOOKUP(DEF[[#This Row],[CEDULA]],NCH!$B$7:$AU$229,10,0),"")</f>
        <v/>
      </c>
      <c r="F141" s="186" t="str">
        <f>IFERROR(VLOOKUP(DEF[[#This Row],[CEDULA]],NCH!$B$7:$AU$229,16,0),"")</f>
        <v/>
      </c>
      <c r="G141" s="186" t="str">
        <f>IFERROR(VLOOKUP(DEF[[#This Row],[CEDULA]],NCH!$B$7:$AU$229,22,0),"")</f>
        <v/>
      </c>
      <c r="H141" s="186" t="str">
        <f>IFERROR(VLOOKUP(DEF[[#This Row],[CEDULA]],NCH!$B$7:$AU$229,28,0),"")</f>
        <v/>
      </c>
      <c r="I141" s="186" t="str">
        <f>IFERROR(VLOOKUP(DEF[[#This Row],[CEDULA]],NCH!$B$7:$AU$229,34,0),"")</f>
        <v/>
      </c>
      <c r="J141" s="186" t="str">
        <f>IFERROR(VLOOKUP(DEF[[#This Row],[CEDULA]],NCH!$B$7:$AU$229,40,0),"")</f>
        <v/>
      </c>
      <c r="K141" s="186" t="str">
        <f>IFERROR(VLOOKUP(DEF[[#This Row],[CEDULA]],NCH!$B$7:$AU$229,46,0),"")</f>
        <v/>
      </c>
      <c r="L141" s="186" t="str">
        <f>IFERROR(VLOOKUP(DEF[CEDULA],METAS[],13,0),"")</f>
        <v/>
      </c>
      <c r="M141" s="187">
        <f>SUM(DEF[[#This Row],[L]:[V]])</f>
        <v>0</v>
      </c>
      <c r="N141" s="188">
        <f>SUM(DEF[[#This Row],[S]:[D]])</f>
        <v>0</v>
      </c>
      <c r="O141" s="188">
        <f>DEF[[#This Row],[TOTAL METAS L-V]]+DEF[[#This Row],[TOTAL METAS S-D-F]]</f>
        <v>0</v>
      </c>
      <c r="P141" s="188" t="e">
        <f>VLOOKUP(DEF[[#This Row],[CEDULA]],METAS[],17,0)</f>
        <v>#N/A</v>
      </c>
      <c r="Q14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41" s="190">
        <f>VLOOKUP(DEF[[#This Row],[CEDULA]],DATOS[],9,0)</f>
        <v>0</v>
      </c>
    </row>
    <row r="142" spans="1:18" hidden="1" x14ac:dyDescent="0.25">
      <c r="A142" s="183">
        <v>15404951</v>
      </c>
      <c r="B142" s="184" t="str">
        <f>IFERROR(IF(DEF[[#This Row],[OTRO PAGO]]=0,VLOOKUP(DEF[[#This Row],[CEDULA]],DATOS[],2,0),""),"")</f>
        <v>MONSALVE LEOMAR</v>
      </c>
      <c r="C142" s="184" t="str">
        <f>IFERROR(VLOOKUP(DEF[[#This Row],[CEDULA]],DATOS[],5,0),"")</f>
        <v>OBRERO</v>
      </c>
      <c r="D142" s="185" t="s">
        <v>868</v>
      </c>
      <c r="E142" s="186" t="str">
        <f>IFERROR(VLOOKUP(DEF[[#This Row],[CEDULA]],NCH!$B$7:$AU$229,10,0),"")</f>
        <v/>
      </c>
      <c r="F142" s="186" t="str">
        <f>IFERROR(VLOOKUP(DEF[[#This Row],[CEDULA]],NCH!$B$7:$AU$229,16,0),"")</f>
        <v/>
      </c>
      <c r="G142" s="186" t="str">
        <f>IFERROR(VLOOKUP(DEF[[#This Row],[CEDULA]],NCH!$B$7:$AU$229,22,0),"")</f>
        <v/>
      </c>
      <c r="H142" s="186" t="str">
        <f>IFERROR(VLOOKUP(DEF[[#This Row],[CEDULA]],NCH!$B$7:$AU$229,28,0),"")</f>
        <v/>
      </c>
      <c r="I142" s="186" t="str">
        <f>IFERROR(VLOOKUP(DEF[[#This Row],[CEDULA]],NCH!$B$7:$AU$229,34,0),"")</f>
        <v/>
      </c>
      <c r="J142" s="186" t="str">
        <f>IFERROR(VLOOKUP(DEF[[#This Row],[CEDULA]],NCH!$B$7:$AU$229,40,0),"")</f>
        <v/>
      </c>
      <c r="K142" s="186" t="str">
        <f>IFERROR(VLOOKUP(DEF[[#This Row],[CEDULA]],NCH!$B$7:$AU$229,46,0),"")</f>
        <v/>
      </c>
      <c r="L142" s="186" t="str">
        <f>IFERROR(VLOOKUP(DEF[CEDULA],METAS[],13,0),"")</f>
        <v/>
      </c>
      <c r="M142" s="187">
        <f>SUM(DEF[[#This Row],[L]:[V]])</f>
        <v>0</v>
      </c>
      <c r="N142" s="188">
        <f>SUM(DEF[[#This Row],[S]:[D]])</f>
        <v>0</v>
      </c>
      <c r="O142" s="188">
        <f>DEF[[#This Row],[TOTAL METAS L-V]]+DEF[[#This Row],[TOTAL METAS S-D-F]]</f>
        <v>0</v>
      </c>
      <c r="P142" s="188" t="e">
        <f>VLOOKUP(DEF[[#This Row],[CEDULA]],METAS[],17,0)</f>
        <v>#N/A</v>
      </c>
      <c r="Q14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42" s="190">
        <f>VLOOKUP(DEF[[#This Row],[CEDULA]],DATOS[],9,0)</f>
        <v>0</v>
      </c>
    </row>
    <row r="143" spans="1:18" hidden="1" x14ac:dyDescent="0.25">
      <c r="A143" s="183">
        <v>18270489</v>
      </c>
      <c r="B143" s="184" t="str">
        <f>IFERROR(IF(DEF[[#This Row],[OTRO PAGO]]=0,VLOOKUP(DEF[[#This Row],[CEDULA]],DATOS[],2,0),""),"")</f>
        <v>MORENO ROBERT</v>
      </c>
      <c r="C143" s="184" t="str">
        <f>IFERROR(VLOOKUP(DEF[[#This Row],[CEDULA]],DATOS[],5,0),"")</f>
        <v>OBRERO</v>
      </c>
      <c r="D143" s="185" t="s">
        <v>868</v>
      </c>
      <c r="E143" s="186" t="str">
        <f>IFERROR(VLOOKUP(DEF[[#This Row],[CEDULA]],NCH!$B$7:$AU$229,10,0),"")</f>
        <v/>
      </c>
      <c r="F143" s="186" t="str">
        <f>IFERROR(VLOOKUP(DEF[[#This Row],[CEDULA]],NCH!$B$7:$AU$229,16,0),"")</f>
        <v/>
      </c>
      <c r="G143" s="186" t="str">
        <f>IFERROR(VLOOKUP(DEF[[#This Row],[CEDULA]],NCH!$B$7:$AU$229,22,0),"")</f>
        <v/>
      </c>
      <c r="H143" s="186" t="str">
        <f>IFERROR(VLOOKUP(DEF[[#This Row],[CEDULA]],NCH!$B$7:$AU$229,28,0),"")</f>
        <v/>
      </c>
      <c r="I143" s="186" t="str">
        <f>IFERROR(VLOOKUP(DEF[[#This Row],[CEDULA]],NCH!$B$7:$AU$229,34,0),"")</f>
        <v/>
      </c>
      <c r="J143" s="186" t="str">
        <f>IFERROR(VLOOKUP(DEF[[#This Row],[CEDULA]],NCH!$B$7:$AU$229,40,0),"")</f>
        <v/>
      </c>
      <c r="K143" s="186" t="str">
        <f>IFERROR(VLOOKUP(DEF[[#This Row],[CEDULA]],NCH!$B$7:$AU$229,46,0),"")</f>
        <v/>
      </c>
      <c r="L143" s="186" t="str">
        <f>IFERROR(VLOOKUP(DEF[CEDULA],METAS[],13,0),"")</f>
        <v/>
      </c>
      <c r="M143" s="187">
        <f>SUM(DEF[[#This Row],[L]:[V]])</f>
        <v>0</v>
      </c>
      <c r="N143" s="188">
        <f>SUM(DEF[[#This Row],[S]:[D]])</f>
        <v>0</v>
      </c>
      <c r="O143" s="188">
        <f>DEF[[#This Row],[TOTAL METAS L-V]]+DEF[[#This Row],[TOTAL METAS S-D-F]]</f>
        <v>0</v>
      </c>
      <c r="P143" s="188" t="e">
        <f>VLOOKUP(DEF[[#This Row],[CEDULA]],METAS[],17,0)</f>
        <v>#N/A</v>
      </c>
      <c r="Q14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43" s="190">
        <f>VLOOKUP(DEF[[#This Row],[CEDULA]],DATOS[],9,0)</f>
        <v>0</v>
      </c>
    </row>
    <row r="144" spans="1:18" hidden="1" x14ac:dyDescent="0.25">
      <c r="A144" s="183">
        <v>10470628</v>
      </c>
      <c r="B144" s="184" t="str">
        <f>IFERROR(IF(DEF[[#This Row],[OTRO PAGO]]=0,VLOOKUP(DEF[[#This Row],[CEDULA]],DATOS[],2,0),""),"")</f>
        <v>GRATEROL OSWALDO</v>
      </c>
      <c r="C144" s="184" t="str">
        <f>IFERROR(VLOOKUP(DEF[[#This Row],[CEDULA]],DATOS[],5,0),"")</f>
        <v>SUPERVISORIO</v>
      </c>
      <c r="D144" s="185" t="s">
        <v>868</v>
      </c>
      <c r="E144" s="186" t="str">
        <f>IFERROR(VLOOKUP(DEF[[#This Row],[CEDULA]],NCH!$B$7:$AU$229,10,0),"")</f>
        <v/>
      </c>
      <c r="F144" s="186" t="str">
        <f>IFERROR(VLOOKUP(DEF[[#This Row],[CEDULA]],NCH!$B$7:$AU$229,16,0),"")</f>
        <v/>
      </c>
      <c r="G144" s="186" t="str">
        <f>IFERROR(VLOOKUP(DEF[[#This Row],[CEDULA]],NCH!$B$7:$AU$229,22,0),"")</f>
        <v/>
      </c>
      <c r="H144" s="186" t="str">
        <f>IFERROR(VLOOKUP(DEF[[#This Row],[CEDULA]],NCH!$B$7:$AU$229,28,0),"")</f>
        <v/>
      </c>
      <c r="I144" s="186" t="str">
        <f>IFERROR(VLOOKUP(DEF[[#This Row],[CEDULA]],NCH!$B$7:$AU$229,34,0),"")</f>
        <v/>
      </c>
      <c r="J144" s="186" t="str">
        <f>IFERROR(VLOOKUP(DEF[[#This Row],[CEDULA]],NCH!$B$7:$AU$229,40,0),"")</f>
        <v/>
      </c>
      <c r="K144" s="186" t="str">
        <f>IFERROR(VLOOKUP(DEF[[#This Row],[CEDULA]],NCH!$B$7:$AU$229,46,0),"")</f>
        <v/>
      </c>
      <c r="L144" s="186" t="str">
        <f>IFERROR(VLOOKUP(DEF[CEDULA],METAS[],13,0),"")</f>
        <v/>
      </c>
      <c r="M144" s="187">
        <f>SUM(DEF[[#This Row],[L]:[V]])</f>
        <v>0</v>
      </c>
      <c r="N144" s="188">
        <f>SUM(DEF[[#This Row],[S]:[D]])</f>
        <v>0</v>
      </c>
      <c r="O144" s="188">
        <f>DEF[[#This Row],[TOTAL METAS L-V]]+DEF[[#This Row],[TOTAL METAS S-D-F]]</f>
        <v>0</v>
      </c>
      <c r="P144" s="188" t="e">
        <f>VLOOKUP(DEF[[#This Row],[CEDULA]],METAS[],17,0)</f>
        <v>#N/A</v>
      </c>
      <c r="Q14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44" s="190">
        <f>VLOOKUP(DEF[[#This Row],[CEDULA]],DATOS[],9,0)</f>
        <v>0</v>
      </c>
    </row>
    <row r="145" spans="1:18" hidden="1" x14ac:dyDescent="0.25">
      <c r="A145" s="183">
        <v>16857724</v>
      </c>
      <c r="B145" s="184" t="str">
        <f>IFERROR(IF(DEF[[#This Row],[OTRO PAGO]]=0,VLOOKUP(DEF[[#This Row],[CEDULA]],DATOS[],2,0),""),"")</f>
        <v>GARCIA YEDISON</v>
      </c>
      <c r="C145" s="184" t="str">
        <f>IFERROR(VLOOKUP(DEF[[#This Row],[CEDULA]],DATOS[],5,0),"")</f>
        <v>OBRERO</v>
      </c>
      <c r="D145" s="185" t="s">
        <v>868</v>
      </c>
      <c r="E145" s="186" t="str">
        <f>IFERROR(VLOOKUP(DEF[[#This Row],[CEDULA]],NCH!$B$7:$AU$229,10,0),"")</f>
        <v/>
      </c>
      <c r="F145" s="186" t="str">
        <f>IFERROR(VLOOKUP(DEF[[#This Row],[CEDULA]],NCH!$B$7:$AU$229,16,0),"")</f>
        <v/>
      </c>
      <c r="G145" s="186" t="str">
        <f>IFERROR(VLOOKUP(DEF[[#This Row],[CEDULA]],NCH!$B$7:$AU$229,22,0),"")</f>
        <v/>
      </c>
      <c r="H145" s="186" t="str">
        <f>IFERROR(VLOOKUP(DEF[[#This Row],[CEDULA]],NCH!$B$7:$AU$229,28,0),"")</f>
        <v/>
      </c>
      <c r="I145" s="186" t="str">
        <f>IFERROR(VLOOKUP(DEF[[#This Row],[CEDULA]],NCH!$B$7:$AU$229,34,0),"")</f>
        <v/>
      </c>
      <c r="J145" s="186" t="str">
        <f>IFERROR(VLOOKUP(DEF[[#This Row],[CEDULA]],NCH!$B$7:$AU$229,40,0),"")</f>
        <v/>
      </c>
      <c r="K145" s="186" t="str">
        <f>IFERROR(VLOOKUP(DEF[[#This Row],[CEDULA]],NCH!$B$7:$AU$229,46,0),"")</f>
        <v/>
      </c>
      <c r="L145" s="186" t="str">
        <f>IFERROR(VLOOKUP(DEF[CEDULA],METAS[],13,0),"")</f>
        <v/>
      </c>
      <c r="M145" s="187">
        <f>SUM(DEF[[#This Row],[L]:[V]])</f>
        <v>0</v>
      </c>
      <c r="N145" s="188">
        <f>SUM(DEF[[#This Row],[S]:[D]])</f>
        <v>0</v>
      </c>
      <c r="O145" s="188">
        <f>DEF[[#This Row],[TOTAL METAS L-V]]+DEF[[#This Row],[TOTAL METAS S-D-F]]</f>
        <v>0</v>
      </c>
      <c r="P145" s="188" t="e">
        <f>VLOOKUP(DEF[[#This Row],[CEDULA]],METAS[],17,0)</f>
        <v>#N/A</v>
      </c>
      <c r="Q14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45" s="190">
        <f>VLOOKUP(DEF[[#This Row],[CEDULA]],DATOS[],9,0)</f>
        <v>0</v>
      </c>
    </row>
    <row r="146" spans="1:18" hidden="1" x14ac:dyDescent="0.25">
      <c r="A146" s="183">
        <v>24483780</v>
      </c>
      <c r="B146" s="184" t="str">
        <f>IFERROR(IF(DEF[[#This Row],[OTRO PAGO]]=0,VLOOKUP(DEF[[#This Row],[CEDULA]],DATOS[],2,0),""),"")</f>
        <v>MARTINEZ ABIHAIL</v>
      </c>
      <c r="C146" s="184" t="str">
        <f>IFERROR(VLOOKUP(DEF[[#This Row],[CEDULA]],DATOS[],5,0),"")</f>
        <v>PROFESIONAL</v>
      </c>
      <c r="D146" s="185" t="s">
        <v>868</v>
      </c>
      <c r="E146" s="186" t="str">
        <f>IFERROR(VLOOKUP(DEF[[#This Row],[CEDULA]],NCH!$B$7:$AU$229,10,0),"")</f>
        <v/>
      </c>
      <c r="F146" s="186" t="str">
        <f>IFERROR(VLOOKUP(DEF[[#This Row],[CEDULA]],NCH!$B$7:$AU$229,16,0),"")</f>
        <v/>
      </c>
      <c r="G146" s="186" t="str">
        <f>IFERROR(VLOOKUP(DEF[[#This Row],[CEDULA]],NCH!$B$7:$AU$229,22,0),"")</f>
        <v/>
      </c>
      <c r="H146" s="186" t="str">
        <f>IFERROR(VLOOKUP(DEF[[#This Row],[CEDULA]],NCH!$B$7:$AU$229,28,0),"")</f>
        <v/>
      </c>
      <c r="I146" s="186" t="str">
        <f>IFERROR(VLOOKUP(DEF[[#This Row],[CEDULA]],NCH!$B$7:$AU$229,34,0),"")</f>
        <v/>
      </c>
      <c r="J146" s="186" t="str">
        <f>IFERROR(VLOOKUP(DEF[[#This Row],[CEDULA]],NCH!$B$7:$AU$229,40,0),"")</f>
        <v/>
      </c>
      <c r="K146" s="186" t="str">
        <f>IFERROR(VLOOKUP(DEF[[#This Row],[CEDULA]],NCH!$B$7:$AU$229,46,0),"")</f>
        <v/>
      </c>
      <c r="L146" s="186" t="str">
        <f>IFERROR(VLOOKUP(DEF[CEDULA],METAS[],13,0),"")</f>
        <v/>
      </c>
      <c r="M146" s="187">
        <f>SUM(DEF[[#This Row],[L]:[V]])</f>
        <v>0</v>
      </c>
      <c r="N146" s="188">
        <f>SUM(DEF[[#This Row],[S]:[D]])</f>
        <v>0</v>
      </c>
      <c r="O146" s="188">
        <f>DEF[[#This Row],[TOTAL METAS L-V]]+DEF[[#This Row],[TOTAL METAS S-D-F]]</f>
        <v>0</v>
      </c>
      <c r="P146" s="188" t="e">
        <f>VLOOKUP(DEF[[#This Row],[CEDULA]],METAS[],17,0)</f>
        <v>#N/A</v>
      </c>
      <c r="Q14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46" s="190">
        <f>VLOOKUP(DEF[[#This Row],[CEDULA]],DATOS[],9,0)</f>
        <v>0</v>
      </c>
    </row>
    <row r="147" spans="1:18" hidden="1" x14ac:dyDescent="0.25">
      <c r="A147" s="183">
        <v>9482632</v>
      </c>
      <c r="B147" s="184" t="str">
        <f>IFERROR(IF(DEF[[#This Row],[OTRO PAGO]]=0,VLOOKUP(DEF[[#This Row],[CEDULA]],DATOS[],2,0),""),"")</f>
        <v>HERNANDEZ ELIO</v>
      </c>
      <c r="C147" s="184" t="str">
        <f>IFERROR(VLOOKUP(DEF[[#This Row],[CEDULA]],DATOS[],5,0),"")</f>
        <v>OBRERO</v>
      </c>
      <c r="D147" s="185" t="s">
        <v>868</v>
      </c>
      <c r="E147" s="186" t="str">
        <f>IFERROR(VLOOKUP(DEF[[#This Row],[CEDULA]],NCH!$B$7:$AU$229,10,0),"")</f>
        <v/>
      </c>
      <c r="F147" s="186" t="str">
        <f>IFERROR(VLOOKUP(DEF[[#This Row],[CEDULA]],NCH!$B$7:$AU$229,16,0),"")</f>
        <v/>
      </c>
      <c r="G147" s="186" t="str">
        <f>IFERROR(VLOOKUP(DEF[[#This Row],[CEDULA]],NCH!$B$7:$AU$229,22,0),"")</f>
        <v/>
      </c>
      <c r="H147" s="186" t="str">
        <f>IFERROR(VLOOKUP(DEF[[#This Row],[CEDULA]],NCH!$B$7:$AU$229,28,0),"")</f>
        <v/>
      </c>
      <c r="I147" s="186" t="str">
        <f>IFERROR(VLOOKUP(DEF[[#This Row],[CEDULA]],NCH!$B$7:$AU$229,34,0),"")</f>
        <v/>
      </c>
      <c r="J147" s="186" t="str">
        <f>IFERROR(VLOOKUP(DEF[[#This Row],[CEDULA]],NCH!$B$7:$AU$229,40,0),"")</f>
        <v/>
      </c>
      <c r="K147" s="186" t="str">
        <f>IFERROR(VLOOKUP(DEF[[#This Row],[CEDULA]],NCH!$B$7:$AU$229,46,0),"")</f>
        <v/>
      </c>
      <c r="L147" s="186" t="str">
        <f>IFERROR(VLOOKUP(DEF[CEDULA],METAS[],13,0),"")</f>
        <v/>
      </c>
      <c r="M147" s="187">
        <f>SUM(DEF[[#This Row],[L]:[V]])</f>
        <v>0</v>
      </c>
      <c r="N147" s="188">
        <f>SUM(DEF[[#This Row],[S]:[D]])</f>
        <v>0</v>
      </c>
      <c r="O147" s="188">
        <f>DEF[[#This Row],[TOTAL METAS L-V]]+DEF[[#This Row],[TOTAL METAS S-D-F]]</f>
        <v>0</v>
      </c>
      <c r="P147" s="188" t="e">
        <f>VLOOKUP(DEF[[#This Row],[CEDULA]],METAS[],17,0)</f>
        <v>#N/A</v>
      </c>
      <c r="Q14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47" s="190">
        <f>VLOOKUP(DEF[[#This Row],[CEDULA]],DATOS[],9,0)</f>
        <v>0</v>
      </c>
    </row>
    <row r="148" spans="1:18" hidden="1" x14ac:dyDescent="0.25">
      <c r="A148" s="183">
        <v>18837159</v>
      </c>
      <c r="B148" s="184" t="str">
        <f>IFERROR(IF(DEF[[#This Row],[OTRO PAGO]]=0,VLOOKUP(DEF[[#This Row],[CEDULA]],DATOS[],2,0),""),"")</f>
        <v>RODRIGUEZ OBRAYAN</v>
      </c>
      <c r="C148" s="184" t="str">
        <f>IFERROR(VLOOKUP(DEF[[#This Row],[CEDULA]],DATOS[],5,0),"")</f>
        <v>TECNICO</v>
      </c>
      <c r="D148" s="185" t="s">
        <v>868</v>
      </c>
      <c r="E148" s="186" t="str">
        <f>IFERROR(VLOOKUP(DEF[[#This Row],[CEDULA]],NCH!$B$7:$AU$229,10,0),"")</f>
        <v/>
      </c>
      <c r="F148" s="186" t="str">
        <f>IFERROR(VLOOKUP(DEF[[#This Row],[CEDULA]],NCH!$B$7:$AU$229,16,0),"")</f>
        <v/>
      </c>
      <c r="G148" s="186" t="str">
        <f>IFERROR(VLOOKUP(DEF[[#This Row],[CEDULA]],NCH!$B$7:$AU$229,22,0),"")</f>
        <v/>
      </c>
      <c r="H148" s="186" t="str">
        <f>IFERROR(VLOOKUP(DEF[[#This Row],[CEDULA]],NCH!$B$7:$AU$229,28,0),"")</f>
        <v/>
      </c>
      <c r="I148" s="186" t="str">
        <f>IFERROR(VLOOKUP(DEF[[#This Row],[CEDULA]],NCH!$B$7:$AU$229,34,0),"")</f>
        <v/>
      </c>
      <c r="J148" s="186" t="str">
        <f>IFERROR(VLOOKUP(DEF[[#This Row],[CEDULA]],NCH!$B$7:$AU$229,40,0),"")</f>
        <v/>
      </c>
      <c r="K148" s="186" t="str">
        <f>IFERROR(VLOOKUP(DEF[[#This Row],[CEDULA]],NCH!$B$7:$AU$229,46,0),"")</f>
        <v/>
      </c>
      <c r="L148" s="186" t="str">
        <f>IFERROR(VLOOKUP(DEF[CEDULA],METAS[],13,0),"")</f>
        <v/>
      </c>
      <c r="M148" s="187">
        <f>SUM(DEF[[#This Row],[L]:[V]])</f>
        <v>0</v>
      </c>
      <c r="N148" s="188">
        <f>SUM(DEF[[#This Row],[S]:[D]])</f>
        <v>0</v>
      </c>
      <c r="O148" s="188">
        <f>DEF[[#This Row],[TOTAL METAS L-V]]+DEF[[#This Row],[TOTAL METAS S-D-F]]</f>
        <v>0</v>
      </c>
      <c r="P148" s="188" t="e">
        <f>VLOOKUP(DEF[[#This Row],[CEDULA]],METAS[],17,0)</f>
        <v>#N/A</v>
      </c>
      <c r="Q14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48" s="190">
        <f>VLOOKUP(DEF[[#This Row],[CEDULA]],DATOS[],9,0)</f>
        <v>0</v>
      </c>
    </row>
    <row r="149" spans="1:18" hidden="1" x14ac:dyDescent="0.25">
      <c r="A149" s="183">
        <v>30520646</v>
      </c>
      <c r="B149" s="184" t="str">
        <f>IFERROR(IF(DEF[[#This Row],[OTRO PAGO]]=0,VLOOKUP(DEF[[#This Row],[CEDULA]],DATOS[],2,0),""),"")</f>
        <v xml:space="preserve">ROMERO KAREN </v>
      </c>
      <c r="C149" s="184" t="str">
        <f>IFERROR(VLOOKUP(DEF[[#This Row],[CEDULA]],DATOS[],5,0),"")</f>
        <v>ADMINISTRATIVO</v>
      </c>
      <c r="D149" s="185" t="s">
        <v>868</v>
      </c>
      <c r="E149" s="186" t="str">
        <f>IFERROR(VLOOKUP(DEF[[#This Row],[CEDULA]],NCH!$B$7:$AU$229,10,0),"")</f>
        <v/>
      </c>
      <c r="F149" s="186" t="str">
        <f>IFERROR(VLOOKUP(DEF[[#This Row],[CEDULA]],NCH!$B$7:$AU$229,16,0),"")</f>
        <v/>
      </c>
      <c r="G149" s="186" t="str">
        <f>IFERROR(VLOOKUP(DEF[[#This Row],[CEDULA]],NCH!$B$7:$AU$229,22,0),"")</f>
        <v/>
      </c>
      <c r="H149" s="186" t="str">
        <f>IFERROR(VLOOKUP(DEF[[#This Row],[CEDULA]],NCH!$B$7:$AU$229,28,0),"")</f>
        <v/>
      </c>
      <c r="I149" s="186" t="str">
        <f>IFERROR(VLOOKUP(DEF[[#This Row],[CEDULA]],NCH!$B$7:$AU$229,34,0),"")</f>
        <v/>
      </c>
      <c r="J149" s="186" t="str">
        <f>IFERROR(VLOOKUP(DEF[[#This Row],[CEDULA]],NCH!$B$7:$AU$229,40,0),"")</f>
        <v/>
      </c>
      <c r="K149" s="186" t="str">
        <f>IFERROR(VLOOKUP(DEF[[#This Row],[CEDULA]],NCH!$B$7:$AU$229,46,0),"")</f>
        <v/>
      </c>
      <c r="L149" s="186" t="str">
        <f>IFERROR(VLOOKUP(DEF[CEDULA],METAS[],13,0),"")</f>
        <v/>
      </c>
      <c r="M149" s="187">
        <f>SUM(DEF[[#This Row],[L]:[V]])</f>
        <v>0</v>
      </c>
      <c r="N149" s="188">
        <f>SUM(DEF[[#This Row],[S]:[D]])</f>
        <v>0</v>
      </c>
      <c r="O149" s="188">
        <f>DEF[[#This Row],[TOTAL METAS L-V]]+DEF[[#This Row],[TOTAL METAS S-D-F]]</f>
        <v>0</v>
      </c>
      <c r="P149" s="188" t="e">
        <f>VLOOKUP(DEF[[#This Row],[CEDULA]],METAS[],17,0)</f>
        <v>#N/A</v>
      </c>
      <c r="Q14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49" s="190">
        <f>VLOOKUP(DEF[[#This Row],[CEDULA]],DATOS[],9,0)</f>
        <v>0</v>
      </c>
    </row>
    <row r="150" spans="1:18" hidden="1" x14ac:dyDescent="0.25">
      <c r="A150" s="183">
        <v>6254355</v>
      </c>
      <c r="B150" s="184" t="str">
        <f>IFERROR(IF(DEF[[#This Row],[OTRO PAGO]]=0,VLOOKUP(DEF[[#This Row],[CEDULA]],DATOS[],2,0),""),"")</f>
        <v>GUARENAS MIRIAN</v>
      </c>
      <c r="C150" s="184" t="str">
        <f>IFERROR(VLOOKUP(DEF[[#This Row],[CEDULA]],DATOS[],5,0),"")</f>
        <v>OBRERO</v>
      </c>
      <c r="D150" s="185" t="s">
        <v>868</v>
      </c>
      <c r="E150" s="186" t="str">
        <f>IFERROR(VLOOKUP(DEF[[#This Row],[CEDULA]],NCH!$B$7:$AU$229,10,0),"")</f>
        <v/>
      </c>
      <c r="F150" s="186" t="str">
        <f>IFERROR(VLOOKUP(DEF[[#This Row],[CEDULA]],NCH!$B$7:$AU$229,16,0),"")</f>
        <v/>
      </c>
      <c r="G150" s="186" t="str">
        <f>IFERROR(VLOOKUP(DEF[[#This Row],[CEDULA]],NCH!$B$7:$AU$229,22,0),"")</f>
        <v/>
      </c>
      <c r="H150" s="186" t="str">
        <f>IFERROR(VLOOKUP(DEF[[#This Row],[CEDULA]],NCH!$B$7:$AU$229,28,0),"")</f>
        <v/>
      </c>
      <c r="I150" s="186" t="str">
        <f>IFERROR(VLOOKUP(DEF[[#This Row],[CEDULA]],NCH!$B$7:$AU$229,34,0),"")</f>
        <v/>
      </c>
      <c r="J150" s="186" t="str">
        <f>IFERROR(VLOOKUP(DEF[[#This Row],[CEDULA]],NCH!$B$7:$AU$229,40,0),"")</f>
        <v/>
      </c>
      <c r="K150" s="186" t="str">
        <f>IFERROR(VLOOKUP(DEF[[#This Row],[CEDULA]],NCH!$B$7:$AU$229,46,0),"")</f>
        <v/>
      </c>
      <c r="L150" s="186" t="str">
        <f>IFERROR(VLOOKUP(DEF[CEDULA],METAS[],13,0),"")</f>
        <v/>
      </c>
      <c r="M150" s="187">
        <f>SUM(DEF[[#This Row],[L]:[V]])</f>
        <v>0</v>
      </c>
      <c r="N150" s="188">
        <f>SUM(DEF[[#This Row],[S]:[D]])</f>
        <v>0</v>
      </c>
      <c r="O150" s="188">
        <f>DEF[[#This Row],[TOTAL METAS L-V]]+DEF[[#This Row],[TOTAL METAS S-D-F]]</f>
        <v>0</v>
      </c>
      <c r="P150" s="188" t="e">
        <f>VLOOKUP(DEF[[#This Row],[CEDULA]],METAS[],17,0)</f>
        <v>#N/A</v>
      </c>
      <c r="Q15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50" s="190">
        <f>VLOOKUP(DEF[[#This Row],[CEDULA]],DATOS[],9,0)</f>
        <v>0</v>
      </c>
    </row>
    <row r="151" spans="1:18" hidden="1" x14ac:dyDescent="0.25">
      <c r="A151" s="183">
        <v>12616767</v>
      </c>
      <c r="B151" s="184" t="str">
        <f>IFERROR(IF(DEF[[#This Row],[OTRO PAGO]]=0,VLOOKUP(DEF[[#This Row],[CEDULA]],DATOS[],2,0),""),"")</f>
        <v>SANCHEZ MARLENE</v>
      </c>
      <c r="C151" s="184" t="str">
        <f>IFERROR(VLOOKUP(DEF[[#This Row],[CEDULA]],DATOS[],5,0),"")</f>
        <v>OBRERO</v>
      </c>
      <c r="D151" s="185" t="s">
        <v>868</v>
      </c>
      <c r="E151" s="186" t="str">
        <f>IFERROR(VLOOKUP(DEF[[#This Row],[CEDULA]],NCH!$B$7:$AU$229,10,0),"")</f>
        <v/>
      </c>
      <c r="F151" s="186" t="str">
        <f>IFERROR(VLOOKUP(DEF[[#This Row],[CEDULA]],NCH!$B$7:$AU$229,16,0),"")</f>
        <v/>
      </c>
      <c r="G151" s="186" t="str">
        <f>IFERROR(VLOOKUP(DEF[[#This Row],[CEDULA]],NCH!$B$7:$AU$229,22,0),"")</f>
        <v/>
      </c>
      <c r="H151" s="186" t="str">
        <f>IFERROR(VLOOKUP(DEF[[#This Row],[CEDULA]],NCH!$B$7:$AU$229,28,0),"")</f>
        <v/>
      </c>
      <c r="I151" s="186" t="str">
        <f>IFERROR(VLOOKUP(DEF[[#This Row],[CEDULA]],NCH!$B$7:$AU$229,34,0),"")</f>
        <v/>
      </c>
      <c r="J151" s="186" t="str">
        <f>IFERROR(VLOOKUP(DEF[[#This Row],[CEDULA]],NCH!$B$7:$AU$229,40,0),"")</f>
        <v/>
      </c>
      <c r="K151" s="186" t="str">
        <f>IFERROR(VLOOKUP(DEF[[#This Row],[CEDULA]],NCH!$B$7:$AU$229,46,0),"")</f>
        <v/>
      </c>
      <c r="L151" s="186" t="str">
        <f>IFERROR(VLOOKUP(DEF[CEDULA],METAS[],13,0),"")</f>
        <v/>
      </c>
      <c r="M151" s="187">
        <f>SUM(DEF[[#This Row],[L]:[V]])</f>
        <v>0</v>
      </c>
      <c r="N151" s="188">
        <f>SUM(DEF[[#This Row],[S]:[D]])</f>
        <v>0</v>
      </c>
      <c r="O151" s="188">
        <f>DEF[[#This Row],[TOTAL METAS L-V]]+DEF[[#This Row],[TOTAL METAS S-D-F]]</f>
        <v>0</v>
      </c>
      <c r="P151" s="188" t="e">
        <f>VLOOKUP(DEF[[#This Row],[CEDULA]],METAS[],17,0)</f>
        <v>#N/A</v>
      </c>
      <c r="Q15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51" s="190">
        <f>VLOOKUP(DEF[[#This Row],[CEDULA]],DATOS[],9,0)</f>
        <v>0</v>
      </c>
    </row>
    <row r="152" spans="1:18" hidden="1" x14ac:dyDescent="0.25">
      <c r="A152" s="183">
        <v>6511452</v>
      </c>
      <c r="B152" s="184" t="str">
        <f>IFERROR(IF(DEF[[#This Row],[OTRO PAGO]]=0,VLOOKUP(DEF[[#This Row],[CEDULA]],DATOS[],2,0),""),"")</f>
        <v>CONA KENNE</v>
      </c>
      <c r="C152" s="184" t="str">
        <f>IFERROR(VLOOKUP(DEF[[#This Row],[CEDULA]],DATOS[],5,0),"")</f>
        <v>OBRERO</v>
      </c>
      <c r="D152" s="185" t="s">
        <v>868</v>
      </c>
      <c r="E152" s="186" t="str">
        <f>IFERROR(VLOOKUP(DEF[[#This Row],[CEDULA]],NCH!$B$7:$AU$229,10,0),"")</f>
        <v/>
      </c>
      <c r="F152" s="186" t="str">
        <f>IFERROR(VLOOKUP(DEF[[#This Row],[CEDULA]],NCH!$B$7:$AU$229,16,0),"")</f>
        <v/>
      </c>
      <c r="G152" s="186" t="str">
        <f>IFERROR(VLOOKUP(DEF[[#This Row],[CEDULA]],NCH!$B$7:$AU$229,22,0),"")</f>
        <v/>
      </c>
      <c r="H152" s="186" t="str">
        <f>IFERROR(VLOOKUP(DEF[[#This Row],[CEDULA]],NCH!$B$7:$AU$229,28,0),"")</f>
        <v/>
      </c>
      <c r="I152" s="186" t="str">
        <f>IFERROR(VLOOKUP(DEF[[#This Row],[CEDULA]],NCH!$B$7:$AU$229,34,0),"")</f>
        <v/>
      </c>
      <c r="J152" s="186" t="str">
        <f>IFERROR(VLOOKUP(DEF[[#This Row],[CEDULA]],NCH!$B$7:$AU$229,40,0),"")</f>
        <v/>
      </c>
      <c r="K152" s="186" t="str">
        <f>IFERROR(VLOOKUP(DEF[[#This Row],[CEDULA]],NCH!$B$7:$AU$229,46,0),"")</f>
        <v/>
      </c>
      <c r="L152" s="186" t="str">
        <f>IFERROR(VLOOKUP(DEF[CEDULA],METAS[],13,0),"")</f>
        <v/>
      </c>
      <c r="M152" s="187">
        <f>SUM(DEF[[#This Row],[L]:[V]])</f>
        <v>0</v>
      </c>
      <c r="N152" s="188">
        <f>SUM(DEF[[#This Row],[S]:[D]])</f>
        <v>0</v>
      </c>
      <c r="O152" s="188">
        <f>DEF[[#This Row],[TOTAL METAS L-V]]+DEF[[#This Row],[TOTAL METAS S-D-F]]</f>
        <v>0</v>
      </c>
      <c r="P152" s="188" t="e">
        <f>VLOOKUP(DEF[[#This Row],[CEDULA]],METAS[],17,0)</f>
        <v>#N/A</v>
      </c>
      <c r="Q15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52" s="190">
        <f>VLOOKUP(DEF[[#This Row],[CEDULA]],DATOS[],9,0)</f>
        <v>0</v>
      </c>
    </row>
    <row r="153" spans="1:18" hidden="1" x14ac:dyDescent="0.25">
      <c r="A153" s="183">
        <v>6855051</v>
      </c>
      <c r="B153" s="184" t="str">
        <f>IFERROR(IF(DEF[[#This Row],[OTRO PAGO]]=0,VLOOKUP(DEF[[#This Row],[CEDULA]],DATOS[],2,0),""),"")</f>
        <v>DIAZ MARIA EUGENIA</v>
      </c>
      <c r="C153" s="184" t="str">
        <f>IFERROR(VLOOKUP(DEF[[#This Row],[CEDULA]],DATOS[],5,0),"")</f>
        <v>SUPERVISORIO</v>
      </c>
      <c r="D153" s="185" t="s">
        <v>871</v>
      </c>
      <c r="E153" s="186" t="str">
        <f>IFERROR(VLOOKUP(DEF[[#This Row],[CEDULA]],NCH!$B$7:$AU$229,10,0),"")</f>
        <v/>
      </c>
      <c r="F153" s="186" t="str">
        <f>IFERROR(VLOOKUP(DEF[[#This Row],[CEDULA]],NCH!$B$7:$AU$229,16,0),"")</f>
        <v/>
      </c>
      <c r="G153" s="186" t="str">
        <f>IFERROR(VLOOKUP(DEF[[#This Row],[CEDULA]],NCH!$B$7:$AU$229,22,0),"")</f>
        <v/>
      </c>
      <c r="H153" s="186" t="str">
        <f>IFERROR(VLOOKUP(DEF[[#This Row],[CEDULA]],NCH!$B$7:$AU$229,28,0),"")</f>
        <v/>
      </c>
      <c r="I153" s="186" t="str">
        <f>IFERROR(VLOOKUP(DEF[[#This Row],[CEDULA]],NCH!$B$7:$AU$229,34,0),"")</f>
        <v/>
      </c>
      <c r="J153" s="186" t="str">
        <f>IFERROR(VLOOKUP(DEF[[#This Row],[CEDULA]],NCH!$B$7:$AU$229,40,0),"")</f>
        <v/>
      </c>
      <c r="K153" s="186" t="str">
        <f>IFERROR(VLOOKUP(DEF[[#This Row],[CEDULA]],NCH!$B$7:$AU$229,46,0),"")</f>
        <v/>
      </c>
      <c r="L153" s="186" t="str">
        <f>IFERROR(VLOOKUP(DEF[CEDULA],METAS[],13,0),"")</f>
        <v/>
      </c>
      <c r="M153" s="187">
        <f>SUM(DEF[[#This Row],[L]:[V]])</f>
        <v>0</v>
      </c>
      <c r="N153" s="188">
        <f>SUM(DEF[[#This Row],[S]:[D]])</f>
        <v>0</v>
      </c>
      <c r="O153" s="188">
        <f>DEF[[#This Row],[TOTAL METAS L-V]]+DEF[[#This Row],[TOTAL METAS S-D-F]]</f>
        <v>0</v>
      </c>
      <c r="P153" s="188" t="e">
        <f>VLOOKUP(DEF[[#This Row],[CEDULA]],METAS[],17,0)</f>
        <v>#N/A</v>
      </c>
      <c r="Q15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53" s="190">
        <f>VLOOKUP(DEF[[#This Row],[CEDULA]],DATOS[],9,0)</f>
        <v>0</v>
      </c>
    </row>
    <row r="154" spans="1:18" hidden="1" x14ac:dyDescent="0.25">
      <c r="A154" s="183">
        <v>4278632</v>
      </c>
      <c r="B154" s="184" t="str">
        <f>IFERROR(IF(DEF[[#This Row],[OTRO PAGO]]=0,VLOOKUP(DEF[[#This Row],[CEDULA]],DATOS[],2,0),""),"")</f>
        <v>MORELLA MARISTANY</v>
      </c>
      <c r="C154" s="184" t="str">
        <f>IFERROR(VLOOKUP(DEF[[#This Row],[CEDULA]],DATOS[],5,0),"")</f>
        <v>PROFESIONAL</v>
      </c>
      <c r="D154" s="185" t="s">
        <v>871</v>
      </c>
      <c r="E154" s="186" t="str">
        <f>IFERROR(VLOOKUP(DEF[[#This Row],[CEDULA]],NCH!$B$7:$AU$229,10,0),"")</f>
        <v/>
      </c>
      <c r="F154" s="186" t="str">
        <f>IFERROR(VLOOKUP(DEF[[#This Row],[CEDULA]],NCH!$B$7:$AU$229,16,0),"")</f>
        <v/>
      </c>
      <c r="G154" s="186" t="str">
        <f>IFERROR(VLOOKUP(DEF[[#This Row],[CEDULA]],NCH!$B$7:$AU$229,22,0),"")</f>
        <v/>
      </c>
      <c r="H154" s="186" t="str">
        <f>IFERROR(VLOOKUP(DEF[[#This Row],[CEDULA]],NCH!$B$7:$AU$229,28,0),"")</f>
        <v/>
      </c>
      <c r="I154" s="186" t="str">
        <f>IFERROR(VLOOKUP(DEF[[#This Row],[CEDULA]],NCH!$B$7:$AU$229,34,0),"")</f>
        <v/>
      </c>
      <c r="J154" s="186" t="str">
        <f>IFERROR(VLOOKUP(DEF[[#This Row],[CEDULA]],NCH!$B$7:$AU$229,40,0),"")</f>
        <v/>
      </c>
      <c r="K154" s="186" t="str">
        <f>IFERROR(VLOOKUP(DEF[[#This Row],[CEDULA]],NCH!$B$7:$AU$229,46,0),"")</f>
        <v/>
      </c>
      <c r="L154" s="186" t="str">
        <f>IFERROR(VLOOKUP(DEF[CEDULA],METAS[],13,0),"")</f>
        <v/>
      </c>
      <c r="M154" s="187">
        <f>SUM(DEF[[#This Row],[L]:[V]])</f>
        <v>0</v>
      </c>
      <c r="N154" s="188">
        <f>SUM(DEF[[#This Row],[S]:[D]])</f>
        <v>0</v>
      </c>
      <c r="O154" s="188">
        <f>DEF[[#This Row],[TOTAL METAS L-V]]+DEF[[#This Row],[TOTAL METAS S-D-F]]</f>
        <v>0</v>
      </c>
      <c r="P154" s="188" t="e">
        <f>VLOOKUP(DEF[[#This Row],[CEDULA]],METAS[],17,0)</f>
        <v>#N/A</v>
      </c>
      <c r="Q15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54" s="190">
        <f>VLOOKUP(DEF[[#This Row],[CEDULA]],DATOS[],9,0)</f>
        <v>0</v>
      </c>
    </row>
    <row r="155" spans="1:18" hidden="1" x14ac:dyDescent="0.25">
      <c r="A155" s="183">
        <v>4884263</v>
      </c>
      <c r="B155" s="184" t="str">
        <f>IFERROR(IF(DEF[[#This Row],[OTRO PAGO]]=0,VLOOKUP(DEF[[#This Row],[CEDULA]],DATOS[],2,0),""),"")</f>
        <v>BLANCO MAYRA</v>
      </c>
      <c r="C155" s="184" t="str">
        <f>IFERROR(VLOOKUP(DEF[[#This Row],[CEDULA]],DATOS[],5,0),"")</f>
        <v>SUPERVISORIO</v>
      </c>
      <c r="D155" s="185" t="s">
        <v>871</v>
      </c>
      <c r="E155" s="186" t="str">
        <f>IFERROR(VLOOKUP(DEF[[#This Row],[CEDULA]],NCH!$B$7:$AU$229,10,0),"")</f>
        <v/>
      </c>
      <c r="F155" s="186" t="str">
        <f>IFERROR(VLOOKUP(DEF[[#This Row],[CEDULA]],NCH!$B$7:$AU$229,16,0),"")</f>
        <v/>
      </c>
      <c r="G155" s="186" t="str">
        <f>IFERROR(VLOOKUP(DEF[[#This Row],[CEDULA]],NCH!$B$7:$AU$229,22,0),"")</f>
        <v/>
      </c>
      <c r="H155" s="186" t="str">
        <f>IFERROR(VLOOKUP(DEF[[#This Row],[CEDULA]],NCH!$B$7:$AU$229,28,0),"")</f>
        <v/>
      </c>
      <c r="I155" s="186" t="str">
        <f>IFERROR(VLOOKUP(DEF[[#This Row],[CEDULA]],NCH!$B$7:$AU$229,34,0),"")</f>
        <v/>
      </c>
      <c r="J155" s="186" t="str">
        <f>IFERROR(VLOOKUP(DEF[[#This Row],[CEDULA]],NCH!$B$7:$AU$229,40,0),"")</f>
        <v/>
      </c>
      <c r="K155" s="186" t="str">
        <f>IFERROR(VLOOKUP(DEF[[#This Row],[CEDULA]],NCH!$B$7:$AU$229,46,0),"")</f>
        <v/>
      </c>
      <c r="L155" s="186" t="str">
        <f>IFERROR(VLOOKUP(DEF[CEDULA],METAS[],13,0),"")</f>
        <v/>
      </c>
      <c r="M155" s="187">
        <f>SUM(DEF[[#This Row],[L]:[V]])</f>
        <v>0</v>
      </c>
      <c r="N155" s="188">
        <f>SUM(DEF[[#This Row],[S]:[D]])</f>
        <v>0</v>
      </c>
      <c r="O155" s="188">
        <f>DEF[[#This Row],[TOTAL METAS L-V]]+DEF[[#This Row],[TOTAL METAS S-D-F]]</f>
        <v>0</v>
      </c>
      <c r="P155" s="188" t="e">
        <f>VLOOKUP(DEF[[#This Row],[CEDULA]],METAS[],17,0)</f>
        <v>#N/A</v>
      </c>
      <c r="Q15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55" s="190">
        <f>VLOOKUP(DEF[[#This Row],[CEDULA]],DATOS[],9,0)</f>
        <v>0</v>
      </c>
    </row>
    <row r="156" spans="1:18" hidden="1" x14ac:dyDescent="0.25">
      <c r="A156" s="183">
        <v>4884311</v>
      </c>
      <c r="B156" s="184" t="str">
        <f>IFERROR(IF(DEF[[#This Row],[OTRO PAGO]]=0,VLOOKUP(DEF[[#This Row],[CEDULA]],DATOS[],2,0),""),"")</f>
        <v>MARTINEZ CARMEN</v>
      </c>
      <c r="C156" s="184" t="str">
        <f>IFERROR(VLOOKUP(DEF[[#This Row],[CEDULA]],DATOS[],5,0),"")</f>
        <v>PROFESIONAL</v>
      </c>
      <c r="D156" s="185" t="s">
        <v>871</v>
      </c>
      <c r="E156" s="186" t="str">
        <f>IFERROR(VLOOKUP(DEF[[#This Row],[CEDULA]],NCH!$B$7:$AU$229,10,0),"")</f>
        <v/>
      </c>
      <c r="F156" s="186" t="str">
        <f>IFERROR(VLOOKUP(DEF[[#This Row],[CEDULA]],NCH!$B$7:$AU$229,16,0),"")</f>
        <v/>
      </c>
      <c r="G156" s="186" t="str">
        <f>IFERROR(VLOOKUP(DEF[[#This Row],[CEDULA]],NCH!$B$7:$AU$229,22,0),"")</f>
        <v/>
      </c>
      <c r="H156" s="186" t="str">
        <f>IFERROR(VLOOKUP(DEF[[#This Row],[CEDULA]],NCH!$B$7:$AU$229,28,0),"")</f>
        <v/>
      </c>
      <c r="I156" s="186" t="str">
        <f>IFERROR(VLOOKUP(DEF[[#This Row],[CEDULA]],NCH!$B$7:$AU$229,34,0),"")</f>
        <v/>
      </c>
      <c r="J156" s="186" t="str">
        <f>IFERROR(VLOOKUP(DEF[[#This Row],[CEDULA]],NCH!$B$7:$AU$229,40,0),"")</f>
        <v/>
      </c>
      <c r="K156" s="186" t="str">
        <f>IFERROR(VLOOKUP(DEF[[#This Row],[CEDULA]],NCH!$B$7:$AU$229,46,0),"")</f>
        <v/>
      </c>
      <c r="L156" s="186" t="str">
        <f>IFERROR(VLOOKUP(DEF[CEDULA],METAS[],13,0),"")</f>
        <v/>
      </c>
      <c r="M156" s="187">
        <f>SUM(DEF[[#This Row],[L]:[V]])</f>
        <v>0</v>
      </c>
      <c r="N156" s="188">
        <f>SUM(DEF[[#This Row],[S]:[D]])</f>
        <v>0</v>
      </c>
      <c r="O156" s="188">
        <f>DEF[[#This Row],[TOTAL METAS L-V]]+DEF[[#This Row],[TOTAL METAS S-D-F]]</f>
        <v>0</v>
      </c>
      <c r="P156" s="188" t="e">
        <f>VLOOKUP(DEF[[#This Row],[CEDULA]],METAS[],17,0)</f>
        <v>#N/A</v>
      </c>
      <c r="Q15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56" s="190">
        <f>VLOOKUP(DEF[[#This Row],[CEDULA]],DATOS[],9,0)</f>
        <v>0</v>
      </c>
    </row>
    <row r="157" spans="1:18" hidden="1" x14ac:dyDescent="0.25">
      <c r="A157" s="183">
        <v>5608315</v>
      </c>
      <c r="B157" s="184" t="str">
        <f>IFERROR(IF(DEF[[#This Row],[OTRO PAGO]]=0,VLOOKUP(DEF[[#This Row],[CEDULA]],DATOS[],2,0),""),"")</f>
        <v>ALMAO MERCEDES</v>
      </c>
      <c r="C157" s="184" t="str">
        <f>IFERROR(VLOOKUP(DEF[[#This Row],[CEDULA]],DATOS[],5,0),"")</f>
        <v>ADMINISTRATIVO</v>
      </c>
      <c r="D157" s="185" t="s">
        <v>871</v>
      </c>
      <c r="E157" s="186" t="str">
        <f>IFERROR(VLOOKUP(DEF[[#This Row],[CEDULA]],NCH!$B$7:$AU$229,10,0),"")</f>
        <v/>
      </c>
      <c r="F157" s="186" t="str">
        <f>IFERROR(VLOOKUP(DEF[[#This Row],[CEDULA]],NCH!$B$7:$AU$229,16,0),"")</f>
        <v/>
      </c>
      <c r="G157" s="186" t="str">
        <f>IFERROR(VLOOKUP(DEF[[#This Row],[CEDULA]],NCH!$B$7:$AU$229,22,0),"")</f>
        <v/>
      </c>
      <c r="H157" s="186" t="str">
        <f>IFERROR(VLOOKUP(DEF[[#This Row],[CEDULA]],NCH!$B$7:$AU$229,28,0),"")</f>
        <v/>
      </c>
      <c r="I157" s="186" t="str">
        <f>IFERROR(VLOOKUP(DEF[[#This Row],[CEDULA]],NCH!$B$7:$AU$229,34,0),"")</f>
        <v/>
      </c>
      <c r="J157" s="186" t="str">
        <f>IFERROR(VLOOKUP(DEF[[#This Row],[CEDULA]],NCH!$B$7:$AU$229,40,0),"")</f>
        <v/>
      </c>
      <c r="K157" s="186" t="str">
        <f>IFERROR(VLOOKUP(DEF[[#This Row],[CEDULA]],NCH!$B$7:$AU$229,46,0),"")</f>
        <v/>
      </c>
      <c r="L157" s="186" t="str">
        <f>IFERROR(VLOOKUP(DEF[CEDULA],METAS[],13,0),"")</f>
        <v/>
      </c>
      <c r="M157" s="187">
        <f>SUM(DEF[[#This Row],[L]:[V]])</f>
        <v>0</v>
      </c>
      <c r="N157" s="188">
        <f>SUM(DEF[[#This Row],[S]:[D]])</f>
        <v>0</v>
      </c>
      <c r="O157" s="188">
        <f>DEF[[#This Row],[TOTAL METAS L-V]]+DEF[[#This Row],[TOTAL METAS S-D-F]]</f>
        <v>0</v>
      </c>
      <c r="P157" s="188" t="e">
        <f>VLOOKUP(DEF[[#This Row],[CEDULA]],METAS[],17,0)</f>
        <v>#N/A</v>
      </c>
      <c r="Q15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57" s="190">
        <f>VLOOKUP(DEF[[#This Row],[CEDULA]],DATOS[],9,0)</f>
        <v>0</v>
      </c>
    </row>
    <row r="158" spans="1:18" hidden="1" x14ac:dyDescent="0.25">
      <c r="A158" s="183">
        <v>6154833</v>
      </c>
      <c r="B158" s="184" t="str">
        <f>IFERROR(IF(DEF[[#This Row],[OTRO PAGO]]=0,VLOOKUP(DEF[[#This Row],[CEDULA]],DATOS[],2,0),""),"")</f>
        <v/>
      </c>
      <c r="C158" s="184" t="str">
        <f>IFERROR(VLOOKUP(DEF[[#This Row],[CEDULA]],DATOS[],5,0),"")</f>
        <v>PROFESIONAL</v>
      </c>
      <c r="D158" s="185" t="s">
        <v>871</v>
      </c>
      <c r="E158" s="186" t="str">
        <f>IFERROR(VLOOKUP(DEF[[#This Row],[CEDULA]],NCH!$B$7:$AU$229,10,0),"")</f>
        <v/>
      </c>
      <c r="F158" s="186" t="str">
        <f>IFERROR(VLOOKUP(DEF[[#This Row],[CEDULA]],NCH!$B$7:$AU$229,16,0),"")</f>
        <v/>
      </c>
      <c r="G158" s="186" t="str">
        <f>IFERROR(VLOOKUP(DEF[[#This Row],[CEDULA]],NCH!$B$7:$AU$229,22,0),"")</f>
        <v/>
      </c>
      <c r="H158" s="186" t="str">
        <f>IFERROR(VLOOKUP(DEF[[#This Row],[CEDULA]],NCH!$B$7:$AU$229,28,0),"")</f>
        <v/>
      </c>
      <c r="I158" s="186" t="str">
        <f>IFERROR(VLOOKUP(DEF[[#This Row],[CEDULA]],NCH!$B$7:$AU$229,34,0),"")</f>
        <v/>
      </c>
      <c r="J158" s="186" t="str">
        <f>IFERROR(VLOOKUP(DEF[[#This Row],[CEDULA]],NCH!$B$7:$AU$229,40,0),"")</f>
        <v/>
      </c>
      <c r="K158" s="186" t="str">
        <f>IFERROR(VLOOKUP(DEF[[#This Row],[CEDULA]],NCH!$B$7:$AU$229,46,0),"")</f>
        <v/>
      </c>
      <c r="L158" s="186" t="str">
        <f>IFERROR(VLOOKUP(DEF[CEDULA],METAS[],13,0),"")</f>
        <v/>
      </c>
      <c r="M158" s="187">
        <f>SUM(DEF[[#This Row],[L]:[V]])</f>
        <v>0</v>
      </c>
      <c r="N158" s="188">
        <f>SUM(DEF[[#This Row],[S]:[D]])</f>
        <v>0</v>
      </c>
      <c r="O158" s="188">
        <f>DEF[[#This Row],[TOTAL METAS L-V]]+DEF[[#This Row],[TOTAL METAS S-D-F]]</f>
        <v>0</v>
      </c>
      <c r="P158" s="188" t="e">
        <f>VLOOKUP(DEF[[#This Row],[CEDULA]],METAS[],17,0)</f>
        <v>#N/A</v>
      </c>
      <c r="Q15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58" s="190" t="str">
        <f>VLOOKUP(DEF[[#This Row],[CEDULA]],DATOS[],9,0)</f>
        <v>OPERATIVO</v>
      </c>
    </row>
    <row r="159" spans="1:18" hidden="1" x14ac:dyDescent="0.25">
      <c r="A159" s="183">
        <v>6256734</v>
      </c>
      <c r="B159" s="184" t="str">
        <f>IFERROR(IF(DEF[[#This Row],[OTRO PAGO]]=0,VLOOKUP(DEF[[#This Row],[CEDULA]],DATOS[],2,0),""),"")</f>
        <v>ESPINOZA JOSE</v>
      </c>
      <c r="C159" s="184" t="str">
        <f>IFERROR(VLOOKUP(DEF[[#This Row],[CEDULA]],DATOS[],5,0),"")</f>
        <v>OBRERO</v>
      </c>
      <c r="D159" s="185" t="s">
        <v>871</v>
      </c>
      <c r="E159" s="186" t="str">
        <f>IFERROR(VLOOKUP(DEF[[#This Row],[CEDULA]],NCH!$B$7:$AU$229,10,0),"")</f>
        <v>No realizo Metas</v>
      </c>
      <c r="F159" s="186" t="str">
        <f>IFERROR(VLOOKUP(DEF[[#This Row],[CEDULA]],NCH!$B$7:$AU$229,16,0),"")</f>
        <v>No realizo Metas</v>
      </c>
      <c r="G159" s="186" t="str">
        <f>IFERROR(VLOOKUP(DEF[[#This Row],[CEDULA]],NCH!$B$7:$AU$229,22,0),"")</f>
        <v>No cumple H</v>
      </c>
      <c r="H159" s="186" t="str">
        <f>IFERROR(VLOOKUP(DEF[[#This Row],[CEDULA]],NCH!$B$7:$AU$229,28,0),"")</f>
        <v>No cumple H</v>
      </c>
      <c r="I159" s="186" t="str">
        <f>IFERROR(VLOOKUP(DEF[[#This Row],[CEDULA]],NCH!$B$7:$AU$229,34,0),"")</f>
        <v>No cumple H</v>
      </c>
      <c r="J159" s="186" t="str">
        <f>IFERROR(VLOOKUP(DEF[[#This Row],[CEDULA]],NCH!$B$7:$AU$229,40,0),"")</f>
        <v>No cumple H</v>
      </c>
      <c r="K159" s="186" t="str">
        <f>IFERROR(VLOOKUP(DEF[[#This Row],[CEDULA]],NCH!$B$7:$AU$229,46,0),"")</f>
        <v>No cumple H</v>
      </c>
      <c r="L159" s="186">
        <f>IFERROR(VLOOKUP(DEF[CEDULA],METAS[],13,0),"")</f>
        <v>0</v>
      </c>
      <c r="M159" s="187">
        <f>SUM(DEF[[#This Row],[L]:[V]])</f>
        <v>0</v>
      </c>
      <c r="N159" s="188">
        <f>SUM(DEF[[#This Row],[S]:[D]])</f>
        <v>0</v>
      </c>
      <c r="O159" s="188">
        <f>DEF[[#This Row],[TOTAL METAS L-V]]+DEF[[#This Row],[TOTAL METAS S-D-F]]</f>
        <v>0</v>
      </c>
      <c r="P159" s="188">
        <f>VLOOKUP(DEF[[#This Row],[CEDULA]],METAS[],17,0)</f>
        <v>0</v>
      </c>
      <c r="Q15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59" s="190">
        <f>VLOOKUP(DEF[[#This Row],[CEDULA]],DATOS[],9,0)</f>
        <v>0</v>
      </c>
    </row>
    <row r="160" spans="1:18" hidden="1" x14ac:dyDescent="0.25">
      <c r="A160" s="183">
        <v>6268340</v>
      </c>
      <c r="B160" s="184" t="str">
        <f>IFERROR(IF(DEF[[#This Row],[OTRO PAGO]]=0,VLOOKUP(DEF[[#This Row],[CEDULA]],DATOS[],2,0),""),"")</f>
        <v>ALVAREZ YDALID</v>
      </c>
      <c r="C160" s="184" t="str">
        <f>IFERROR(VLOOKUP(DEF[[#This Row],[CEDULA]],DATOS[],5,0),"")</f>
        <v>ADMINISTRATIVO</v>
      </c>
      <c r="D160" s="185" t="s">
        <v>871</v>
      </c>
      <c r="E160" s="186" t="str">
        <f>IFERROR(VLOOKUP(DEF[[#This Row],[CEDULA]],NCH!$B$7:$AU$229,10,0),"")</f>
        <v/>
      </c>
      <c r="F160" s="186" t="str">
        <f>IFERROR(VLOOKUP(DEF[[#This Row],[CEDULA]],NCH!$B$7:$AU$229,16,0),"")</f>
        <v/>
      </c>
      <c r="G160" s="186" t="str">
        <f>IFERROR(VLOOKUP(DEF[[#This Row],[CEDULA]],NCH!$B$7:$AU$229,22,0),"")</f>
        <v/>
      </c>
      <c r="H160" s="186" t="str">
        <f>IFERROR(VLOOKUP(DEF[[#This Row],[CEDULA]],NCH!$B$7:$AU$229,28,0),"")</f>
        <v/>
      </c>
      <c r="I160" s="186" t="str">
        <f>IFERROR(VLOOKUP(DEF[[#This Row],[CEDULA]],NCH!$B$7:$AU$229,34,0),"")</f>
        <v/>
      </c>
      <c r="J160" s="186" t="str">
        <f>IFERROR(VLOOKUP(DEF[[#This Row],[CEDULA]],NCH!$B$7:$AU$229,40,0),"")</f>
        <v/>
      </c>
      <c r="K160" s="186" t="str">
        <f>IFERROR(VLOOKUP(DEF[[#This Row],[CEDULA]],NCH!$B$7:$AU$229,46,0),"")</f>
        <v/>
      </c>
      <c r="L160" s="186" t="str">
        <f>IFERROR(VLOOKUP(DEF[CEDULA],METAS[],13,0),"")</f>
        <v/>
      </c>
      <c r="M160" s="187">
        <f>SUM(DEF[[#This Row],[L]:[V]])</f>
        <v>0</v>
      </c>
      <c r="N160" s="188">
        <f>SUM(DEF[[#This Row],[S]:[D]])</f>
        <v>0</v>
      </c>
      <c r="O160" s="188">
        <f>DEF[[#This Row],[TOTAL METAS L-V]]+DEF[[#This Row],[TOTAL METAS S-D-F]]</f>
        <v>0</v>
      </c>
      <c r="P160" s="188" t="e">
        <f>VLOOKUP(DEF[[#This Row],[CEDULA]],METAS[],17,0)</f>
        <v>#N/A</v>
      </c>
      <c r="Q16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60" s="190">
        <f>VLOOKUP(DEF[[#This Row],[CEDULA]],DATOS[],9,0)</f>
        <v>0</v>
      </c>
    </row>
    <row r="161" spans="1:18" hidden="1" x14ac:dyDescent="0.25">
      <c r="A161" s="183">
        <v>6855894</v>
      </c>
      <c r="B161" s="184" t="str">
        <f>IFERROR(IF(DEF[[#This Row],[OTRO PAGO]]=0,VLOOKUP(DEF[[#This Row],[CEDULA]],DATOS[],2,0),""),"")</f>
        <v>PUENTE MIRTA</v>
      </c>
      <c r="C161" s="184" t="str">
        <f>IFERROR(VLOOKUP(DEF[[#This Row],[CEDULA]],DATOS[],5,0),"")</f>
        <v>SUPERVISORIO</v>
      </c>
      <c r="D161" s="185" t="s">
        <v>871</v>
      </c>
      <c r="E161" s="186" t="str">
        <f>IFERROR(VLOOKUP(DEF[[#This Row],[CEDULA]],NCH!$B$7:$AU$229,10,0),"")</f>
        <v/>
      </c>
      <c r="F161" s="186" t="str">
        <f>IFERROR(VLOOKUP(DEF[[#This Row],[CEDULA]],NCH!$B$7:$AU$229,16,0),"")</f>
        <v/>
      </c>
      <c r="G161" s="186" t="str">
        <f>IFERROR(VLOOKUP(DEF[[#This Row],[CEDULA]],NCH!$B$7:$AU$229,22,0),"")</f>
        <v/>
      </c>
      <c r="H161" s="186" t="str">
        <f>IFERROR(VLOOKUP(DEF[[#This Row],[CEDULA]],NCH!$B$7:$AU$229,28,0),"")</f>
        <v/>
      </c>
      <c r="I161" s="186" t="str">
        <f>IFERROR(VLOOKUP(DEF[[#This Row],[CEDULA]],NCH!$B$7:$AU$229,34,0),"")</f>
        <v/>
      </c>
      <c r="J161" s="186" t="str">
        <f>IFERROR(VLOOKUP(DEF[[#This Row],[CEDULA]],NCH!$B$7:$AU$229,40,0),"")</f>
        <v/>
      </c>
      <c r="K161" s="186" t="str">
        <f>IFERROR(VLOOKUP(DEF[[#This Row],[CEDULA]],NCH!$B$7:$AU$229,46,0),"")</f>
        <v/>
      </c>
      <c r="L161" s="186" t="str">
        <f>IFERROR(VLOOKUP(DEF[CEDULA],METAS[],13,0),"")</f>
        <v/>
      </c>
      <c r="M161" s="187">
        <f>SUM(DEF[[#This Row],[L]:[V]])</f>
        <v>0</v>
      </c>
      <c r="N161" s="188">
        <f>SUM(DEF[[#This Row],[S]:[D]])</f>
        <v>0</v>
      </c>
      <c r="O161" s="188">
        <f>DEF[[#This Row],[TOTAL METAS L-V]]+DEF[[#This Row],[TOTAL METAS S-D-F]]</f>
        <v>0</v>
      </c>
      <c r="P161" s="188" t="e">
        <f>VLOOKUP(DEF[[#This Row],[CEDULA]],METAS[],17,0)</f>
        <v>#N/A</v>
      </c>
      <c r="Q16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61" s="190">
        <f>VLOOKUP(DEF[[#This Row],[CEDULA]],DATOS[],9,0)</f>
        <v>0</v>
      </c>
    </row>
    <row r="162" spans="1:18" hidden="1" x14ac:dyDescent="0.25">
      <c r="A162" s="183">
        <v>6968417</v>
      </c>
      <c r="B162" s="184" t="str">
        <f>IFERROR(IF(DEF[[#This Row],[OTRO PAGO]]=0,VLOOKUP(DEF[[#This Row],[CEDULA]],DATOS[],2,0),""),"")</f>
        <v/>
      </c>
      <c r="C162" s="184" t="str">
        <f>IFERROR(VLOOKUP(DEF[[#This Row],[CEDULA]],DATOS[],5,0),"")</f>
        <v>ADMINISTRATIVO</v>
      </c>
      <c r="D162" s="185" t="s">
        <v>871</v>
      </c>
      <c r="E162" s="186" t="str">
        <f>IFERROR(VLOOKUP(DEF[[#This Row],[CEDULA]],NCH!$B$7:$AU$229,10,0),"")</f>
        <v/>
      </c>
      <c r="F162" s="186" t="str">
        <f>IFERROR(VLOOKUP(DEF[[#This Row],[CEDULA]],NCH!$B$7:$AU$229,16,0),"")</f>
        <v/>
      </c>
      <c r="G162" s="186" t="str">
        <f>IFERROR(VLOOKUP(DEF[[#This Row],[CEDULA]],NCH!$B$7:$AU$229,22,0),"")</f>
        <v/>
      </c>
      <c r="H162" s="186" t="str">
        <f>IFERROR(VLOOKUP(DEF[[#This Row],[CEDULA]],NCH!$B$7:$AU$229,28,0),"")</f>
        <v/>
      </c>
      <c r="I162" s="186" t="str">
        <f>IFERROR(VLOOKUP(DEF[[#This Row],[CEDULA]],NCH!$B$7:$AU$229,34,0),"")</f>
        <v/>
      </c>
      <c r="J162" s="186" t="str">
        <f>IFERROR(VLOOKUP(DEF[[#This Row],[CEDULA]],NCH!$B$7:$AU$229,40,0),"")</f>
        <v/>
      </c>
      <c r="K162" s="186" t="str">
        <f>IFERROR(VLOOKUP(DEF[[#This Row],[CEDULA]],NCH!$B$7:$AU$229,46,0),"")</f>
        <v/>
      </c>
      <c r="L162" s="186" t="str">
        <f>IFERROR(VLOOKUP(DEF[CEDULA],METAS[],13,0),"")</f>
        <v/>
      </c>
      <c r="M162" s="187">
        <f>SUM(DEF[[#This Row],[L]:[V]])</f>
        <v>0</v>
      </c>
      <c r="N162" s="188">
        <f>SUM(DEF[[#This Row],[S]:[D]])</f>
        <v>0</v>
      </c>
      <c r="O162" s="188">
        <f>DEF[[#This Row],[TOTAL METAS L-V]]+DEF[[#This Row],[TOTAL METAS S-D-F]]</f>
        <v>0</v>
      </c>
      <c r="P162" s="188" t="e">
        <f>VLOOKUP(DEF[[#This Row],[CEDULA]],METAS[],17,0)</f>
        <v>#N/A</v>
      </c>
      <c r="Q16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62" s="190" t="str">
        <f>VLOOKUP(DEF[[#This Row],[CEDULA]],DATOS[],9,0)</f>
        <v>OPERATIVO</v>
      </c>
    </row>
    <row r="163" spans="1:18" hidden="1" x14ac:dyDescent="0.25">
      <c r="A163" s="183">
        <v>7953727</v>
      </c>
      <c r="B163" s="184" t="str">
        <f>IFERROR(IF(DEF[[#This Row],[OTRO PAGO]]=0,VLOOKUP(DEF[[#This Row],[CEDULA]],DATOS[],2,0),""),"")</f>
        <v>LARES VICTOR</v>
      </c>
      <c r="C163" s="184" t="str">
        <f>IFERROR(VLOOKUP(DEF[[#This Row],[CEDULA]],DATOS[],5,0),"")</f>
        <v>ADMINISTRATIVO</v>
      </c>
      <c r="D163" s="185" t="s">
        <v>871</v>
      </c>
      <c r="E163" s="186" t="str">
        <f>IFERROR(VLOOKUP(DEF[[#This Row],[CEDULA]],NCH!$B$7:$AU$229,10,0),"")</f>
        <v/>
      </c>
      <c r="F163" s="186" t="str">
        <f>IFERROR(VLOOKUP(DEF[[#This Row],[CEDULA]],NCH!$B$7:$AU$229,16,0),"")</f>
        <v/>
      </c>
      <c r="G163" s="186" t="str">
        <f>IFERROR(VLOOKUP(DEF[[#This Row],[CEDULA]],NCH!$B$7:$AU$229,22,0),"")</f>
        <v/>
      </c>
      <c r="H163" s="186" t="str">
        <f>IFERROR(VLOOKUP(DEF[[#This Row],[CEDULA]],NCH!$B$7:$AU$229,28,0),"")</f>
        <v/>
      </c>
      <c r="I163" s="186" t="str">
        <f>IFERROR(VLOOKUP(DEF[[#This Row],[CEDULA]],NCH!$B$7:$AU$229,34,0),"")</f>
        <v/>
      </c>
      <c r="J163" s="186" t="str">
        <f>IFERROR(VLOOKUP(DEF[[#This Row],[CEDULA]],NCH!$B$7:$AU$229,40,0),"")</f>
        <v/>
      </c>
      <c r="K163" s="186" t="str">
        <f>IFERROR(VLOOKUP(DEF[[#This Row],[CEDULA]],NCH!$B$7:$AU$229,46,0),"")</f>
        <v/>
      </c>
      <c r="L163" s="186" t="str">
        <f>IFERROR(VLOOKUP(DEF[CEDULA],METAS[],13,0),"")</f>
        <v/>
      </c>
      <c r="M163" s="187">
        <f>SUM(DEF[[#This Row],[L]:[V]])</f>
        <v>0</v>
      </c>
      <c r="N163" s="188">
        <f>SUM(DEF[[#This Row],[S]:[D]])</f>
        <v>0</v>
      </c>
      <c r="O163" s="188">
        <f>DEF[[#This Row],[TOTAL METAS L-V]]+DEF[[#This Row],[TOTAL METAS S-D-F]]</f>
        <v>0</v>
      </c>
      <c r="P163" s="188" t="e">
        <f>VLOOKUP(DEF[[#This Row],[CEDULA]],METAS[],17,0)</f>
        <v>#N/A</v>
      </c>
      <c r="Q16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63" s="190">
        <f>VLOOKUP(DEF[[#This Row],[CEDULA]],DATOS[],9,0)</f>
        <v>0</v>
      </c>
    </row>
    <row r="164" spans="1:18" hidden="1" x14ac:dyDescent="0.25">
      <c r="A164" s="183">
        <v>10379575</v>
      </c>
      <c r="B164" s="184" t="str">
        <f>IFERROR(IF(DEF[[#This Row],[OTRO PAGO]]=0,VLOOKUP(DEF[[#This Row],[CEDULA]],DATOS[],2,0),""),"")</f>
        <v>ARRAEZ MEYLIN</v>
      </c>
      <c r="C164" s="184" t="str">
        <f>IFERROR(VLOOKUP(DEF[[#This Row],[CEDULA]],DATOS[],5,0),"")</f>
        <v>TECNICO</v>
      </c>
      <c r="D164" s="185" t="s">
        <v>871</v>
      </c>
      <c r="E164" s="186" t="str">
        <f>IFERROR(VLOOKUP(DEF[[#This Row],[CEDULA]],NCH!$B$7:$AU$229,10,0),"")</f>
        <v/>
      </c>
      <c r="F164" s="186" t="str">
        <f>IFERROR(VLOOKUP(DEF[[#This Row],[CEDULA]],NCH!$B$7:$AU$229,16,0),"")</f>
        <v/>
      </c>
      <c r="G164" s="186" t="str">
        <f>IFERROR(VLOOKUP(DEF[[#This Row],[CEDULA]],NCH!$B$7:$AU$229,22,0),"")</f>
        <v/>
      </c>
      <c r="H164" s="186" t="str">
        <f>IFERROR(VLOOKUP(DEF[[#This Row],[CEDULA]],NCH!$B$7:$AU$229,28,0),"")</f>
        <v/>
      </c>
      <c r="I164" s="186" t="str">
        <f>IFERROR(VLOOKUP(DEF[[#This Row],[CEDULA]],NCH!$B$7:$AU$229,34,0),"")</f>
        <v/>
      </c>
      <c r="J164" s="186" t="str">
        <f>IFERROR(VLOOKUP(DEF[[#This Row],[CEDULA]],NCH!$B$7:$AU$229,40,0),"")</f>
        <v/>
      </c>
      <c r="K164" s="186" t="str">
        <f>IFERROR(VLOOKUP(DEF[[#This Row],[CEDULA]],NCH!$B$7:$AU$229,46,0),"")</f>
        <v/>
      </c>
      <c r="L164" s="186" t="str">
        <f>IFERROR(VLOOKUP(DEF[CEDULA],METAS[],13,0),"")</f>
        <v/>
      </c>
      <c r="M164" s="187">
        <f>SUM(DEF[[#This Row],[L]:[V]])</f>
        <v>0</v>
      </c>
      <c r="N164" s="188">
        <f>SUM(DEF[[#This Row],[S]:[D]])</f>
        <v>0</v>
      </c>
      <c r="O164" s="188">
        <f>DEF[[#This Row],[TOTAL METAS L-V]]+DEF[[#This Row],[TOTAL METAS S-D-F]]</f>
        <v>0</v>
      </c>
      <c r="P164" s="188" t="e">
        <f>VLOOKUP(DEF[[#This Row],[CEDULA]],METAS[],17,0)</f>
        <v>#N/A</v>
      </c>
      <c r="Q16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64" s="190">
        <f>VLOOKUP(DEF[[#This Row],[CEDULA]],DATOS[],9,0)</f>
        <v>0</v>
      </c>
    </row>
    <row r="165" spans="1:18" hidden="1" x14ac:dyDescent="0.25">
      <c r="A165" s="183">
        <v>11500724</v>
      </c>
      <c r="B165" s="184" t="str">
        <f>IFERROR(IF(DEF[[#This Row],[OTRO PAGO]]=0,VLOOKUP(DEF[[#This Row],[CEDULA]],DATOS[],2,0),""),"")</f>
        <v>CARDENAS MARIA</v>
      </c>
      <c r="C165" s="184" t="str">
        <f>IFERROR(VLOOKUP(DEF[[#This Row],[CEDULA]],DATOS[],5,0),"")</f>
        <v>OBRERO</v>
      </c>
      <c r="D165" s="185" t="s">
        <v>871</v>
      </c>
      <c r="E165" s="186" t="str">
        <f>IFERROR(VLOOKUP(DEF[[#This Row],[CEDULA]],NCH!$B$7:$AU$229,10,0),"")</f>
        <v/>
      </c>
      <c r="F165" s="186" t="str">
        <f>IFERROR(VLOOKUP(DEF[[#This Row],[CEDULA]],NCH!$B$7:$AU$229,16,0),"")</f>
        <v/>
      </c>
      <c r="G165" s="186" t="str">
        <f>IFERROR(VLOOKUP(DEF[[#This Row],[CEDULA]],NCH!$B$7:$AU$229,22,0),"")</f>
        <v/>
      </c>
      <c r="H165" s="186" t="str">
        <f>IFERROR(VLOOKUP(DEF[[#This Row],[CEDULA]],NCH!$B$7:$AU$229,28,0),"")</f>
        <v/>
      </c>
      <c r="I165" s="186" t="str">
        <f>IFERROR(VLOOKUP(DEF[[#This Row],[CEDULA]],NCH!$B$7:$AU$229,34,0),"")</f>
        <v/>
      </c>
      <c r="J165" s="186" t="str">
        <f>IFERROR(VLOOKUP(DEF[[#This Row],[CEDULA]],NCH!$B$7:$AU$229,40,0),"")</f>
        <v/>
      </c>
      <c r="K165" s="186" t="str">
        <f>IFERROR(VLOOKUP(DEF[[#This Row],[CEDULA]],NCH!$B$7:$AU$229,46,0),"")</f>
        <v/>
      </c>
      <c r="L165" s="186" t="str">
        <f>IFERROR(VLOOKUP(DEF[CEDULA],METAS[],13,0),"")</f>
        <v/>
      </c>
      <c r="M165" s="187">
        <f>SUM(DEF[[#This Row],[L]:[V]])</f>
        <v>0</v>
      </c>
      <c r="N165" s="188">
        <f>SUM(DEF[[#This Row],[S]:[D]])</f>
        <v>0</v>
      </c>
      <c r="O165" s="188">
        <f>DEF[[#This Row],[TOTAL METAS L-V]]+DEF[[#This Row],[TOTAL METAS S-D-F]]</f>
        <v>0</v>
      </c>
      <c r="P165" s="188" t="e">
        <f>VLOOKUP(DEF[[#This Row],[CEDULA]],METAS[],17,0)</f>
        <v>#N/A</v>
      </c>
      <c r="Q16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65" s="190">
        <f>VLOOKUP(DEF[[#This Row],[CEDULA]],DATOS[],9,0)</f>
        <v>0</v>
      </c>
    </row>
    <row r="166" spans="1:18" hidden="1" x14ac:dyDescent="0.25">
      <c r="A166" s="183">
        <v>11925476</v>
      </c>
      <c r="B166" s="184" t="str">
        <f>IFERROR(IF(DEF[[#This Row],[OTRO PAGO]]=0,VLOOKUP(DEF[[#This Row],[CEDULA]],DATOS[],2,0),""),"")</f>
        <v/>
      </c>
      <c r="C166" s="184" t="str">
        <f>IFERROR(VLOOKUP(DEF[[#This Row],[CEDULA]],DATOS[],5,0),"")</f>
        <v>PROFESIONAL</v>
      </c>
      <c r="D166" s="185" t="s">
        <v>871</v>
      </c>
      <c r="E166" s="186" t="str">
        <f>IFERROR(VLOOKUP(DEF[[#This Row],[CEDULA]],NCH!$B$7:$AU$229,10,0),"")</f>
        <v/>
      </c>
      <c r="F166" s="186" t="str">
        <f>IFERROR(VLOOKUP(DEF[[#This Row],[CEDULA]],NCH!$B$7:$AU$229,16,0),"")</f>
        <v/>
      </c>
      <c r="G166" s="186" t="str">
        <f>IFERROR(VLOOKUP(DEF[[#This Row],[CEDULA]],NCH!$B$7:$AU$229,22,0),"")</f>
        <v/>
      </c>
      <c r="H166" s="186" t="str">
        <f>IFERROR(VLOOKUP(DEF[[#This Row],[CEDULA]],NCH!$B$7:$AU$229,28,0),"")</f>
        <v/>
      </c>
      <c r="I166" s="186" t="str">
        <f>IFERROR(VLOOKUP(DEF[[#This Row],[CEDULA]],NCH!$B$7:$AU$229,34,0),"")</f>
        <v/>
      </c>
      <c r="J166" s="186" t="str">
        <f>IFERROR(VLOOKUP(DEF[[#This Row],[CEDULA]],NCH!$B$7:$AU$229,40,0),"")</f>
        <v/>
      </c>
      <c r="K166" s="186" t="str">
        <f>IFERROR(VLOOKUP(DEF[[#This Row],[CEDULA]],NCH!$B$7:$AU$229,46,0),"")</f>
        <v/>
      </c>
      <c r="L166" s="186" t="str">
        <f>IFERROR(VLOOKUP(DEF[CEDULA],METAS[],13,0),"")</f>
        <v/>
      </c>
      <c r="M166" s="187">
        <f>SUM(DEF[[#This Row],[L]:[V]])</f>
        <v>0</v>
      </c>
      <c r="N166" s="188">
        <f>SUM(DEF[[#This Row],[S]:[D]])</f>
        <v>0</v>
      </c>
      <c r="O166" s="188">
        <f>DEF[[#This Row],[TOTAL METAS L-V]]+DEF[[#This Row],[TOTAL METAS S-D-F]]</f>
        <v>0</v>
      </c>
      <c r="P166" s="188" t="e">
        <f>VLOOKUP(DEF[[#This Row],[CEDULA]],METAS[],17,0)</f>
        <v>#N/A</v>
      </c>
      <c r="Q16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66" s="190" t="str">
        <f>VLOOKUP(DEF[[#This Row],[CEDULA]],DATOS[],9,0)</f>
        <v>OPERATIVO</v>
      </c>
    </row>
    <row r="167" spans="1:18" hidden="1" x14ac:dyDescent="0.25">
      <c r="A167" s="183">
        <v>14163587</v>
      </c>
      <c r="B167" s="184" t="str">
        <f>IFERROR(IF(DEF[[#This Row],[OTRO PAGO]]=0,VLOOKUP(DEF[[#This Row],[CEDULA]],DATOS[],2,0),""),"")</f>
        <v>HERNANDEZ AILE</v>
      </c>
      <c r="C167" s="184" t="str">
        <f>IFERROR(VLOOKUP(DEF[[#This Row],[CEDULA]],DATOS[],5,0),"")</f>
        <v>PROFESIONAL</v>
      </c>
      <c r="D167" s="185" t="s">
        <v>871</v>
      </c>
      <c r="E167" s="186" t="str">
        <f>IFERROR(VLOOKUP(DEF[[#This Row],[CEDULA]],NCH!$B$7:$AU$229,10,0),"")</f>
        <v/>
      </c>
      <c r="F167" s="186" t="str">
        <f>IFERROR(VLOOKUP(DEF[[#This Row],[CEDULA]],NCH!$B$7:$AU$229,16,0),"")</f>
        <v/>
      </c>
      <c r="G167" s="186" t="str">
        <f>IFERROR(VLOOKUP(DEF[[#This Row],[CEDULA]],NCH!$B$7:$AU$229,22,0),"")</f>
        <v/>
      </c>
      <c r="H167" s="186" t="str">
        <f>IFERROR(VLOOKUP(DEF[[#This Row],[CEDULA]],NCH!$B$7:$AU$229,28,0),"")</f>
        <v/>
      </c>
      <c r="I167" s="186" t="str">
        <f>IFERROR(VLOOKUP(DEF[[#This Row],[CEDULA]],NCH!$B$7:$AU$229,34,0),"")</f>
        <v/>
      </c>
      <c r="J167" s="186" t="str">
        <f>IFERROR(VLOOKUP(DEF[[#This Row],[CEDULA]],NCH!$B$7:$AU$229,40,0),"")</f>
        <v/>
      </c>
      <c r="K167" s="186" t="str">
        <f>IFERROR(VLOOKUP(DEF[[#This Row],[CEDULA]],NCH!$B$7:$AU$229,46,0),"")</f>
        <v/>
      </c>
      <c r="L167" s="186" t="str">
        <f>IFERROR(VLOOKUP(DEF[CEDULA],METAS[],13,0),"")</f>
        <v/>
      </c>
      <c r="M167" s="187">
        <f>SUM(DEF[[#This Row],[L]:[V]])</f>
        <v>0</v>
      </c>
      <c r="N167" s="188">
        <f>SUM(DEF[[#This Row],[S]:[D]])</f>
        <v>0</v>
      </c>
      <c r="O167" s="188">
        <f>DEF[[#This Row],[TOTAL METAS L-V]]+DEF[[#This Row],[TOTAL METAS S-D-F]]</f>
        <v>0</v>
      </c>
      <c r="P167" s="188" t="e">
        <f>VLOOKUP(DEF[[#This Row],[CEDULA]],METAS[],17,0)</f>
        <v>#N/A</v>
      </c>
      <c r="Q16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67" s="190">
        <f>VLOOKUP(DEF[[#This Row],[CEDULA]],DATOS[],9,0)</f>
        <v>0</v>
      </c>
    </row>
    <row r="168" spans="1:18" hidden="1" x14ac:dyDescent="0.25">
      <c r="A168" s="183">
        <v>14500900</v>
      </c>
      <c r="B168" s="184" t="str">
        <f>IFERROR(IF(DEF[[#This Row],[OTRO PAGO]]=0,VLOOKUP(DEF[[#This Row],[CEDULA]],DATOS[],2,0),""),"")</f>
        <v>MARTINEZ MARIA</v>
      </c>
      <c r="C168" s="184" t="str">
        <f>IFERROR(VLOOKUP(DEF[[#This Row],[CEDULA]],DATOS[],5,0),"")</f>
        <v>PROFESIONAL</v>
      </c>
      <c r="D168" s="185" t="s">
        <v>871</v>
      </c>
      <c r="E168" s="186" t="str">
        <f>IFERROR(VLOOKUP(DEF[[#This Row],[CEDULA]],NCH!$B$7:$AU$229,10,0),"")</f>
        <v/>
      </c>
      <c r="F168" s="186" t="str">
        <f>IFERROR(VLOOKUP(DEF[[#This Row],[CEDULA]],NCH!$B$7:$AU$229,16,0),"")</f>
        <v/>
      </c>
      <c r="G168" s="186" t="str">
        <f>IFERROR(VLOOKUP(DEF[[#This Row],[CEDULA]],NCH!$B$7:$AU$229,22,0),"")</f>
        <v/>
      </c>
      <c r="H168" s="186" t="str">
        <f>IFERROR(VLOOKUP(DEF[[#This Row],[CEDULA]],NCH!$B$7:$AU$229,28,0),"")</f>
        <v/>
      </c>
      <c r="I168" s="186" t="str">
        <f>IFERROR(VLOOKUP(DEF[[#This Row],[CEDULA]],NCH!$B$7:$AU$229,34,0),"")</f>
        <v/>
      </c>
      <c r="J168" s="186" t="str">
        <f>IFERROR(VLOOKUP(DEF[[#This Row],[CEDULA]],NCH!$B$7:$AU$229,40,0),"")</f>
        <v/>
      </c>
      <c r="K168" s="186" t="str">
        <f>IFERROR(VLOOKUP(DEF[[#This Row],[CEDULA]],NCH!$B$7:$AU$229,46,0),"")</f>
        <v/>
      </c>
      <c r="L168" s="186" t="str">
        <f>IFERROR(VLOOKUP(DEF[CEDULA],METAS[],13,0),"")</f>
        <v/>
      </c>
      <c r="M168" s="187">
        <f>SUM(DEF[[#This Row],[L]:[V]])</f>
        <v>0</v>
      </c>
      <c r="N168" s="188">
        <f>SUM(DEF[[#This Row],[S]:[D]])</f>
        <v>0</v>
      </c>
      <c r="O168" s="188">
        <f>DEF[[#This Row],[TOTAL METAS L-V]]+DEF[[#This Row],[TOTAL METAS S-D-F]]</f>
        <v>0</v>
      </c>
      <c r="P168" s="188" t="e">
        <f>VLOOKUP(DEF[[#This Row],[CEDULA]],METAS[],17,0)</f>
        <v>#N/A</v>
      </c>
      <c r="Q16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68" s="190">
        <f>VLOOKUP(DEF[[#This Row],[CEDULA]],DATOS[],9,0)</f>
        <v>0</v>
      </c>
    </row>
    <row r="169" spans="1:18" hidden="1" x14ac:dyDescent="0.25">
      <c r="A169" s="183">
        <v>14683421</v>
      </c>
      <c r="B169" s="184" t="str">
        <f>IFERROR(IF(DEF[[#This Row],[OTRO PAGO]]=0,VLOOKUP(DEF[[#This Row],[CEDULA]],DATOS[],2,0),""),"")</f>
        <v>MARTINEZ ROSSANA</v>
      </c>
      <c r="C169" s="184" t="str">
        <f>IFERROR(VLOOKUP(DEF[[#This Row],[CEDULA]],DATOS[],5,0),"")</f>
        <v>ADMINISTRATIVO</v>
      </c>
      <c r="D169" s="185" t="s">
        <v>871</v>
      </c>
      <c r="E169" s="186" t="str">
        <f>IFERROR(VLOOKUP(DEF[[#This Row],[CEDULA]],NCH!$B$7:$AU$229,10,0),"")</f>
        <v/>
      </c>
      <c r="F169" s="186" t="str">
        <f>IFERROR(VLOOKUP(DEF[[#This Row],[CEDULA]],NCH!$B$7:$AU$229,16,0),"")</f>
        <v/>
      </c>
      <c r="G169" s="186" t="str">
        <f>IFERROR(VLOOKUP(DEF[[#This Row],[CEDULA]],NCH!$B$7:$AU$229,22,0),"")</f>
        <v/>
      </c>
      <c r="H169" s="186" t="str">
        <f>IFERROR(VLOOKUP(DEF[[#This Row],[CEDULA]],NCH!$B$7:$AU$229,28,0),"")</f>
        <v/>
      </c>
      <c r="I169" s="186" t="str">
        <f>IFERROR(VLOOKUP(DEF[[#This Row],[CEDULA]],NCH!$B$7:$AU$229,34,0),"")</f>
        <v/>
      </c>
      <c r="J169" s="186" t="str">
        <f>IFERROR(VLOOKUP(DEF[[#This Row],[CEDULA]],NCH!$B$7:$AU$229,40,0),"")</f>
        <v/>
      </c>
      <c r="K169" s="186" t="str">
        <f>IFERROR(VLOOKUP(DEF[[#This Row],[CEDULA]],NCH!$B$7:$AU$229,46,0),"")</f>
        <v/>
      </c>
      <c r="L169" s="186" t="str">
        <f>IFERROR(VLOOKUP(DEF[CEDULA],METAS[],13,0),"")</f>
        <v/>
      </c>
      <c r="M169" s="187">
        <f>SUM(DEF[[#This Row],[L]:[V]])</f>
        <v>0</v>
      </c>
      <c r="N169" s="188">
        <f>SUM(DEF[[#This Row],[S]:[D]])</f>
        <v>0</v>
      </c>
      <c r="O169" s="188">
        <f>DEF[[#This Row],[TOTAL METAS L-V]]+DEF[[#This Row],[TOTAL METAS S-D-F]]</f>
        <v>0</v>
      </c>
      <c r="P169" s="188" t="e">
        <f>VLOOKUP(DEF[[#This Row],[CEDULA]],METAS[],17,0)</f>
        <v>#N/A</v>
      </c>
      <c r="Q16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69" s="190">
        <f>VLOOKUP(DEF[[#This Row],[CEDULA]],DATOS[],9,0)</f>
        <v>0</v>
      </c>
    </row>
    <row r="170" spans="1:18" hidden="1" x14ac:dyDescent="0.25">
      <c r="A170" s="183">
        <v>14955826</v>
      </c>
      <c r="B170" s="184" t="str">
        <f>IFERROR(IF(DEF[[#This Row],[OTRO PAGO]]=0,VLOOKUP(DEF[[#This Row],[CEDULA]],DATOS[],2,0),""),"")</f>
        <v/>
      </c>
      <c r="C170" s="184" t="str">
        <f>IFERROR(VLOOKUP(DEF[[#This Row],[CEDULA]],DATOS[],5,0),"")</f>
        <v>TECNICO</v>
      </c>
      <c r="D170" s="185" t="s">
        <v>871</v>
      </c>
      <c r="E170" s="186" t="str">
        <f>IFERROR(VLOOKUP(DEF[[#This Row],[CEDULA]],NCH!$B$7:$AU$229,10,0),"")</f>
        <v/>
      </c>
      <c r="F170" s="186" t="str">
        <f>IFERROR(VLOOKUP(DEF[[#This Row],[CEDULA]],NCH!$B$7:$AU$229,16,0),"")</f>
        <v/>
      </c>
      <c r="G170" s="186" t="str">
        <f>IFERROR(VLOOKUP(DEF[[#This Row],[CEDULA]],NCH!$B$7:$AU$229,22,0),"")</f>
        <v/>
      </c>
      <c r="H170" s="186" t="str">
        <f>IFERROR(VLOOKUP(DEF[[#This Row],[CEDULA]],NCH!$B$7:$AU$229,28,0),"")</f>
        <v/>
      </c>
      <c r="I170" s="186" t="str">
        <f>IFERROR(VLOOKUP(DEF[[#This Row],[CEDULA]],NCH!$B$7:$AU$229,34,0),"")</f>
        <v/>
      </c>
      <c r="J170" s="186" t="str">
        <f>IFERROR(VLOOKUP(DEF[[#This Row],[CEDULA]],NCH!$B$7:$AU$229,40,0),"")</f>
        <v/>
      </c>
      <c r="K170" s="186" t="str">
        <f>IFERROR(VLOOKUP(DEF[[#This Row],[CEDULA]],NCH!$B$7:$AU$229,46,0),"")</f>
        <v/>
      </c>
      <c r="L170" s="186" t="str">
        <f>IFERROR(VLOOKUP(DEF[CEDULA],METAS[],13,0),"")</f>
        <v/>
      </c>
      <c r="M170" s="187">
        <f>SUM(DEF[[#This Row],[L]:[V]])</f>
        <v>0</v>
      </c>
      <c r="N170" s="188">
        <f>SUM(DEF[[#This Row],[S]:[D]])</f>
        <v>0</v>
      </c>
      <c r="O170" s="188">
        <f>DEF[[#This Row],[TOTAL METAS L-V]]+DEF[[#This Row],[TOTAL METAS S-D-F]]</f>
        <v>0</v>
      </c>
      <c r="P170" s="188" t="e">
        <f>VLOOKUP(DEF[[#This Row],[CEDULA]],METAS[],17,0)</f>
        <v>#N/A</v>
      </c>
      <c r="Q17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70" s="190" t="str">
        <f>VLOOKUP(DEF[[#This Row],[CEDULA]],DATOS[],9,0)</f>
        <v>OPERATIVO</v>
      </c>
    </row>
    <row r="171" spans="1:18" hidden="1" x14ac:dyDescent="0.25">
      <c r="A171" s="183">
        <v>15062407</v>
      </c>
      <c r="B171" s="184" t="str">
        <f>IFERROR(IF(DEF[[#This Row],[OTRO PAGO]]=0,VLOOKUP(DEF[[#This Row],[CEDULA]],DATOS[],2,0),""),"")</f>
        <v>LORETO IRIS</v>
      </c>
      <c r="C171" s="184" t="str">
        <f>IFERROR(VLOOKUP(DEF[[#This Row],[CEDULA]],DATOS[],5,0),"")</f>
        <v>ADMINISTRATIVO</v>
      </c>
      <c r="D171" s="185" t="s">
        <v>871</v>
      </c>
      <c r="E171" s="186" t="str">
        <f>IFERROR(VLOOKUP(DEF[[#This Row],[CEDULA]],NCH!$B$7:$AU$229,10,0),"")</f>
        <v/>
      </c>
      <c r="F171" s="186" t="str">
        <f>IFERROR(VLOOKUP(DEF[[#This Row],[CEDULA]],NCH!$B$7:$AU$229,16,0),"")</f>
        <v/>
      </c>
      <c r="G171" s="186" t="str">
        <f>IFERROR(VLOOKUP(DEF[[#This Row],[CEDULA]],NCH!$B$7:$AU$229,22,0),"")</f>
        <v/>
      </c>
      <c r="H171" s="186" t="str">
        <f>IFERROR(VLOOKUP(DEF[[#This Row],[CEDULA]],NCH!$B$7:$AU$229,28,0),"")</f>
        <v/>
      </c>
      <c r="I171" s="186" t="str">
        <f>IFERROR(VLOOKUP(DEF[[#This Row],[CEDULA]],NCH!$B$7:$AU$229,34,0),"")</f>
        <v/>
      </c>
      <c r="J171" s="186" t="str">
        <f>IFERROR(VLOOKUP(DEF[[#This Row],[CEDULA]],NCH!$B$7:$AU$229,40,0),"")</f>
        <v/>
      </c>
      <c r="K171" s="186" t="str">
        <f>IFERROR(VLOOKUP(DEF[[#This Row],[CEDULA]],NCH!$B$7:$AU$229,46,0),"")</f>
        <v/>
      </c>
      <c r="L171" s="186" t="str">
        <f>IFERROR(VLOOKUP(DEF[CEDULA],METAS[],13,0),"")</f>
        <v/>
      </c>
      <c r="M171" s="187">
        <f>SUM(DEF[[#This Row],[L]:[V]])</f>
        <v>0</v>
      </c>
      <c r="N171" s="188">
        <f>SUM(DEF[[#This Row],[S]:[D]])</f>
        <v>0</v>
      </c>
      <c r="O171" s="188">
        <f>DEF[[#This Row],[TOTAL METAS L-V]]+DEF[[#This Row],[TOTAL METAS S-D-F]]</f>
        <v>0</v>
      </c>
      <c r="P171" s="188" t="e">
        <f>VLOOKUP(DEF[[#This Row],[CEDULA]],METAS[],17,0)</f>
        <v>#N/A</v>
      </c>
      <c r="Q17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71" s="190">
        <f>VLOOKUP(DEF[[#This Row],[CEDULA]],DATOS[],9,0)</f>
        <v>0</v>
      </c>
    </row>
    <row r="172" spans="1:18" hidden="1" x14ac:dyDescent="0.25">
      <c r="A172" s="183">
        <v>15131913</v>
      </c>
      <c r="B172" s="184" t="str">
        <f>IFERROR(IF(DEF[[#This Row],[OTRO PAGO]]=0,VLOOKUP(DEF[[#This Row],[CEDULA]],DATOS[],2,0),""),"")</f>
        <v>MARRERO ZULEIDY</v>
      </c>
      <c r="C172" s="184" t="str">
        <f>IFERROR(VLOOKUP(DEF[[#This Row],[CEDULA]],DATOS[],5,0),"")</f>
        <v>ADMINISTRATIVO</v>
      </c>
      <c r="D172" s="185" t="s">
        <v>871</v>
      </c>
      <c r="E172" s="186" t="str">
        <f>IFERROR(VLOOKUP(DEF[[#This Row],[CEDULA]],NCH!$B$7:$AU$229,10,0),"")</f>
        <v/>
      </c>
      <c r="F172" s="186" t="str">
        <f>IFERROR(VLOOKUP(DEF[[#This Row],[CEDULA]],NCH!$B$7:$AU$229,16,0),"")</f>
        <v/>
      </c>
      <c r="G172" s="186" t="str">
        <f>IFERROR(VLOOKUP(DEF[[#This Row],[CEDULA]],NCH!$B$7:$AU$229,22,0),"")</f>
        <v/>
      </c>
      <c r="H172" s="186" t="str">
        <f>IFERROR(VLOOKUP(DEF[[#This Row],[CEDULA]],NCH!$B$7:$AU$229,28,0),"")</f>
        <v/>
      </c>
      <c r="I172" s="186" t="str">
        <f>IFERROR(VLOOKUP(DEF[[#This Row],[CEDULA]],NCH!$B$7:$AU$229,34,0),"")</f>
        <v/>
      </c>
      <c r="J172" s="186" t="str">
        <f>IFERROR(VLOOKUP(DEF[[#This Row],[CEDULA]],NCH!$B$7:$AU$229,40,0),"")</f>
        <v/>
      </c>
      <c r="K172" s="186" t="str">
        <f>IFERROR(VLOOKUP(DEF[[#This Row],[CEDULA]],NCH!$B$7:$AU$229,46,0),"")</f>
        <v/>
      </c>
      <c r="L172" s="186" t="str">
        <f>IFERROR(VLOOKUP(DEF[CEDULA],METAS[],13,0),"")</f>
        <v/>
      </c>
      <c r="M172" s="187">
        <f>SUM(DEF[[#This Row],[L]:[V]])</f>
        <v>0</v>
      </c>
      <c r="N172" s="188">
        <f>SUM(DEF[[#This Row],[S]:[D]])</f>
        <v>0</v>
      </c>
      <c r="O172" s="188">
        <f>DEF[[#This Row],[TOTAL METAS L-V]]+DEF[[#This Row],[TOTAL METAS S-D-F]]</f>
        <v>0</v>
      </c>
      <c r="P172" s="188" t="e">
        <f>VLOOKUP(DEF[[#This Row],[CEDULA]],METAS[],17,0)</f>
        <v>#N/A</v>
      </c>
      <c r="Q17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72" s="190">
        <f>VLOOKUP(DEF[[#This Row],[CEDULA]],DATOS[],9,0)</f>
        <v>0</v>
      </c>
    </row>
    <row r="173" spans="1:18" hidden="1" x14ac:dyDescent="0.25">
      <c r="A173" s="183">
        <v>15870347</v>
      </c>
      <c r="B173" s="184" t="str">
        <f>IFERROR(IF(DEF[[#This Row],[OTRO PAGO]]=0,VLOOKUP(DEF[[#This Row],[CEDULA]],DATOS[],2,0),""),"")</f>
        <v/>
      </c>
      <c r="C173" s="184" t="str">
        <f>IFERROR(VLOOKUP(DEF[[#This Row],[CEDULA]],DATOS[],5,0),"")</f>
        <v>OBRERO</v>
      </c>
      <c r="D173" s="185" t="s">
        <v>871</v>
      </c>
      <c r="E173" s="186" t="str">
        <f>IFERROR(VLOOKUP(DEF[[#This Row],[CEDULA]],NCH!$B$7:$AU$229,10,0),"")</f>
        <v/>
      </c>
      <c r="F173" s="186" t="str">
        <f>IFERROR(VLOOKUP(DEF[[#This Row],[CEDULA]],NCH!$B$7:$AU$229,16,0),"")</f>
        <v/>
      </c>
      <c r="G173" s="186" t="str">
        <f>IFERROR(VLOOKUP(DEF[[#This Row],[CEDULA]],NCH!$B$7:$AU$229,22,0),"")</f>
        <v/>
      </c>
      <c r="H173" s="186" t="str">
        <f>IFERROR(VLOOKUP(DEF[[#This Row],[CEDULA]],NCH!$B$7:$AU$229,28,0),"")</f>
        <v/>
      </c>
      <c r="I173" s="186" t="str">
        <f>IFERROR(VLOOKUP(DEF[[#This Row],[CEDULA]],NCH!$B$7:$AU$229,34,0),"")</f>
        <v/>
      </c>
      <c r="J173" s="186" t="str">
        <f>IFERROR(VLOOKUP(DEF[[#This Row],[CEDULA]],NCH!$B$7:$AU$229,40,0),"")</f>
        <v/>
      </c>
      <c r="K173" s="186" t="str">
        <f>IFERROR(VLOOKUP(DEF[[#This Row],[CEDULA]],NCH!$B$7:$AU$229,46,0),"")</f>
        <v/>
      </c>
      <c r="L173" s="186" t="str">
        <f>IFERROR(VLOOKUP(DEF[CEDULA],METAS[],13,0),"")</f>
        <v/>
      </c>
      <c r="M173" s="187">
        <f>SUM(DEF[[#This Row],[L]:[V]])</f>
        <v>0</v>
      </c>
      <c r="N173" s="188">
        <f>SUM(DEF[[#This Row],[S]:[D]])</f>
        <v>0</v>
      </c>
      <c r="O173" s="188">
        <f>DEF[[#This Row],[TOTAL METAS L-V]]+DEF[[#This Row],[TOTAL METAS S-D-F]]</f>
        <v>0</v>
      </c>
      <c r="P173" s="188" t="e">
        <f>VLOOKUP(DEF[[#This Row],[CEDULA]],METAS[],17,0)</f>
        <v>#N/A</v>
      </c>
      <c r="Q17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73" s="190" t="str">
        <f>VLOOKUP(DEF[[#This Row],[CEDULA]],DATOS[],9,0)</f>
        <v>OPERATIVO</v>
      </c>
    </row>
    <row r="174" spans="1:18" hidden="1" x14ac:dyDescent="0.25">
      <c r="A174" s="183">
        <v>17757322</v>
      </c>
      <c r="B174" s="184" t="str">
        <f>IFERROR(IF(DEF[[#This Row],[OTRO PAGO]]=0,VLOOKUP(DEF[[#This Row],[CEDULA]],DATOS[],2,0),""),"")</f>
        <v/>
      </c>
      <c r="C174" s="184" t="str">
        <f>IFERROR(VLOOKUP(DEF[[#This Row],[CEDULA]],DATOS[],5,0),"")</f>
        <v>PROFESIONAL</v>
      </c>
      <c r="D174" s="185" t="s">
        <v>871</v>
      </c>
      <c r="E174" s="186" t="str">
        <f>IFERROR(VLOOKUP(DEF[[#This Row],[CEDULA]],NCH!$B$7:$AU$229,10,0),"")</f>
        <v/>
      </c>
      <c r="F174" s="186" t="str">
        <f>IFERROR(VLOOKUP(DEF[[#This Row],[CEDULA]],NCH!$B$7:$AU$229,16,0),"")</f>
        <v/>
      </c>
      <c r="G174" s="186" t="str">
        <f>IFERROR(VLOOKUP(DEF[[#This Row],[CEDULA]],NCH!$B$7:$AU$229,22,0),"")</f>
        <v/>
      </c>
      <c r="H174" s="186" t="str">
        <f>IFERROR(VLOOKUP(DEF[[#This Row],[CEDULA]],NCH!$B$7:$AU$229,28,0),"")</f>
        <v/>
      </c>
      <c r="I174" s="186" t="str">
        <f>IFERROR(VLOOKUP(DEF[[#This Row],[CEDULA]],NCH!$B$7:$AU$229,34,0),"")</f>
        <v/>
      </c>
      <c r="J174" s="186" t="str">
        <f>IFERROR(VLOOKUP(DEF[[#This Row],[CEDULA]],NCH!$B$7:$AU$229,40,0),"")</f>
        <v/>
      </c>
      <c r="K174" s="186" t="str">
        <f>IFERROR(VLOOKUP(DEF[[#This Row],[CEDULA]],NCH!$B$7:$AU$229,46,0),"")</f>
        <v/>
      </c>
      <c r="L174" s="186" t="str">
        <f>IFERROR(VLOOKUP(DEF[CEDULA],METAS[],13,0),"")</f>
        <v/>
      </c>
      <c r="M174" s="187">
        <f>SUM(DEF[[#This Row],[L]:[V]])</f>
        <v>0</v>
      </c>
      <c r="N174" s="188">
        <f>SUM(DEF[[#This Row],[S]:[D]])</f>
        <v>0</v>
      </c>
      <c r="O174" s="188">
        <f>DEF[[#This Row],[TOTAL METAS L-V]]+DEF[[#This Row],[TOTAL METAS S-D-F]]</f>
        <v>0</v>
      </c>
      <c r="P174" s="188" t="e">
        <f>VLOOKUP(DEF[[#This Row],[CEDULA]],METAS[],17,0)</f>
        <v>#N/A</v>
      </c>
      <c r="Q17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74" s="190" t="str">
        <f>VLOOKUP(DEF[[#This Row],[CEDULA]],DATOS[],9,0)</f>
        <v>OPERATIVO</v>
      </c>
    </row>
    <row r="175" spans="1:18" hidden="1" x14ac:dyDescent="0.25">
      <c r="A175" s="183">
        <v>27103750</v>
      </c>
      <c r="B175" s="184" t="str">
        <f>IFERROR(IF(DEF[[#This Row],[OTRO PAGO]]=0,VLOOKUP(DEF[[#This Row],[CEDULA]],DATOS[],2,0),""),"")</f>
        <v/>
      </c>
      <c r="C175" s="184" t="str">
        <f>IFERROR(VLOOKUP(DEF[[#This Row],[CEDULA]],DATOS[],5,0),"")</f>
        <v>ADMINISTRATIVO</v>
      </c>
      <c r="D175" s="185" t="s">
        <v>871</v>
      </c>
      <c r="E175" s="186" t="str">
        <f>IFERROR(VLOOKUP(DEF[[#This Row],[CEDULA]],NCH!$B$7:$AU$229,10,0),"")</f>
        <v/>
      </c>
      <c r="F175" s="186" t="str">
        <f>IFERROR(VLOOKUP(DEF[[#This Row],[CEDULA]],NCH!$B$7:$AU$229,16,0),"")</f>
        <v/>
      </c>
      <c r="G175" s="186" t="str">
        <f>IFERROR(VLOOKUP(DEF[[#This Row],[CEDULA]],NCH!$B$7:$AU$229,22,0),"")</f>
        <v/>
      </c>
      <c r="H175" s="186" t="str">
        <f>IFERROR(VLOOKUP(DEF[[#This Row],[CEDULA]],NCH!$B$7:$AU$229,28,0),"")</f>
        <v/>
      </c>
      <c r="I175" s="186" t="str">
        <f>IFERROR(VLOOKUP(DEF[[#This Row],[CEDULA]],NCH!$B$7:$AU$229,34,0),"")</f>
        <v/>
      </c>
      <c r="J175" s="186" t="str">
        <f>IFERROR(VLOOKUP(DEF[[#This Row],[CEDULA]],NCH!$B$7:$AU$229,40,0),"")</f>
        <v/>
      </c>
      <c r="K175" s="186" t="str">
        <f>IFERROR(VLOOKUP(DEF[[#This Row],[CEDULA]],NCH!$B$7:$AU$229,46,0),"")</f>
        <v/>
      </c>
      <c r="L175" s="186" t="str">
        <f>IFERROR(VLOOKUP(DEF[CEDULA],METAS[],13,0),"")</f>
        <v/>
      </c>
      <c r="M175" s="187">
        <f>SUM(DEF[[#This Row],[L]:[V]])</f>
        <v>0</v>
      </c>
      <c r="N175" s="188">
        <f>SUM(DEF[[#This Row],[S]:[D]])</f>
        <v>0</v>
      </c>
      <c r="O175" s="188">
        <f>DEF[[#This Row],[TOTAL METAS L-V]]+DEF[[#This Row],[TOTAL METAS S-D-F]]</f>
        <v>0</v>
      </c>
      <c r="P175" s="188" t="e">
        <f>VLOOKUP(DEF[[#This Row],[CEDULA]],METAS[],17,0)</f>
        <v>#N/A</v>
      </c>
      <c r="Q17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75" s="190" t="str">
        <f>VLOOKUP(DEF[[#This Row],[CEDULA]],DATOS[],9,0)</f>
        <v>OPERATIVO</v>
      </c>
    </row>
    <row r="176" spans="1:18" ht="30" hidden="1" x14ac:dyDescent="0.25">
      <c r="A176" s="183">
        <v>9120768</v>
      </c>
      <c r="B176" s="184" t="str">
        <f>IFERROR(IF(DEF[[#This Row],[OTRO PAGO]]=0,VLOOKUP(DEF[[#This Row],[CEDULA]],DATOS[],2,0),""),"")</f>
        <v>GONZALEZ GLADYS</v>
      </c>
      <c r="C176" s="184" t="str">
        <f>IFERROR(VLOOKUP(DEF[[#This Row],[CEDULA]],DATOS[],5,0),"")</f>
        <v>SUPERVISORIO</v>
      </c>
      <c r="D176" s="185" t="s">
        <v>820</v>
      </c>
      <c r="E176" s="186" t="str">
        <f>IFERROR(VLOOKUP(DEF[[#This Row],[CEDULA]],NCH!$B$7:$AU$229,10,0),"")</f>
        <v/>
      </c>
      <c r="F176" s="186" t="str">
        <f>IFERROR(VLOOKUP(DEF[[#This Row],[CEDULA]],NCH!$B$7:$AU$229,16,0),"")</f>
        <v/>
      </c>
      <c r="G176" s="186" t="str">
        <f>IFERROR(VLOOKUP(DEF[[#This Row],[CEDULA]],NCH!$B$7:$AU$229,22,0),"")</f>
        <v/>
      </c>
      <c r="H176" s="186" t="str">
        <f>IFERROR(VLOOKUP(DEF[[#This Row],[CEDULA]],NCH!$B$7:$AU$229,28,0),"")</f>
        <v/>
      </c>
      <c r="I176" s="186" t="str">
        <f>IFERROR(VLOOKUP(DEF[[#This Row],[CEDULA]],NCH!$B$7:$AU$229,34,0),"")</f>
        <v/>
      </c>
      <c r="J176" s="186" t="str">
        <f>IFERROR(VLOOKUP(DEF[[#This Row],[CEDULA]],NCH!$B$7:$AU$229,40,0),"")</f>
        <v/>
      </c>
      <c r="K176" s="186" t="str">
        <f>IFERROR(VLOOKUP(DEF[[#This Row],[CEDULA]],NCH!$B$7:$AU$229,46,0),"")</f>
        <v/>
      </c>
      <c r="L176" s="186" t="str">
        <f>IFERROR(VLOOKUP(DEF[CEDULA],METAS[],13,0),"")</f>
        <v/>
      </c>
      <c r="M176" s="187">
        <f>SUM(DEF[[#This Row],[L]:[V]])</f>
        <v>0</v>
      </c>
      <c r="N176" s="188">
        <f>SUM(DEF[[#This Row],[S]:[D]])</f>
        <v>0</v>
      </c>
      <c r="O176" s="188">
        <f>DEF[[#This Row],[TOTAL METAS L-V]]+DEF[[#This Row],[TOTAL METAS S-D-F]]</f>
        <v>0</v>
      </c>
      <c r="P176" s="188" t="e">
        <f>VLOOKUP(DEF[[#This Row],[CEDULA]],METAS[],17,0)</f>
        <v>#N/A</v>
      </c>
      <c r="Q17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76" s="190">
        <f>VLOOKUP(DEF[[#This Row],[CEDULA]],DATOS[],9,0)</f>
        <v>0</v>
      </c>
    </row>
    <row r="177" spans="1:18" ht="30" hidden="1" x14ac:dyDescent="0.25">
      <c r="A177" s="183">
        <v>10376653</v>
      </c>
      <c r="B177" s="184" t="str">
        <f>IFERROR(IF(DEF[[#This Row],[OTRO PAGO]]=0,VLOOKUP(DEF[[#This Row],[CEDULA]],DATOS[],2,0),""),"")</f>
        <v>SILVA ARAMIS</v>
      </c>
      <c r="C177" s="184" t="str">
        <f>IFERROR(VLOOKUP(DEF[[#This Row],[CEDULA]],DATOS[],5,0),"")</f>
        <v>PROFESIONAL</v>
      </c>
      <c r="D177" s="185" t="s">
        <v>820</v>
      </c>
      <c r="E177" s="186" t="str">
        <f>IFERROR(VLOOKUP(DEF[[#This Row],[CEDULA]],NCH!$B$7:$AU$229,10,0),"")</f>
        <v/>
      </c>
      <c r="F177" s="186" t="str">
        <f>IFERROR(VLOOKUP(DEF[[#This Row],[CEDULA]],NCH!$B$7:$AU$229,16,0),"")</f>
        <v/>
      </c>
      <c r="G177" s="186" t="str">
        <f>IFERROR(VLOOKUP(DEF[[#This Row],[CEDULA]],NCH!$B$7:$AU$229,22,0),"")</f>
        <v/>
      </c>
      <c r="H177" s="186" t="str">
        <f>IFERROR(VLOOKUP(DEF[[#This Row],[CEDULA]],NCH!$B$7:$AU$229,28,0),"")</f>
        <v/>
      </c>
      <c r="I177" s="186" t="str">
        <f>IFERROR(VLOOKUP(DEF[[#This Row],[CEDULA]],NCH!$B$7:$AU$229,34,0),"")</f>
        <v/>
      </c>
      <c r="J177" s="186" t="str">
        <f>IFERROR(VLOOKUP(DEF[[#This Row],[CEDULA]],NCH!$B$7:$AU$229,40,0),"")</f>
        <v/>
      </c>
      <c r="K177" s="186" t="str">
        <f>IFERROR(VLOOKUP(DEF[[#This Row],[CEDULA]],NCH!$B$7:$AU$229,46,0),"")</f>
        <v/>
      </c>
      <c r="L177" s="186" t="str">
        <f>IFERROR(VLOOKUP(DEF[CEDULA],METAS[],13,0),"")</f>
        <v/>
      </c>
      <c r="M177" s="187">
        <f>SUM(DEF[[#This Row],[L]:[V]])</f>
        <v>0</v>
      </c>
      <c r="N177" s="188">
        <f>SUM(DEF[[#This Row],[S]:[D]])</f>
        <v>0</v>
      </c>
      <c r="O177" s="188">
        <f>DEF[[#This Row],[TOTAL METAS L-V]]+DEF[[#This Row],[TOTAL METAS S-D-F]]</f>
        <v>0</v>
      </c>
      <c r="P177" s="188" t="e">
        <f>VLOOKUP(DEF[[#This Row],[CEDULA]],METAS[],17,0)</f>
        <v>#N/A</v>
      </c>
      <c r="Q17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77" s="190">
        <f>VLOOKUP(DEF[[#This Row],[CEDULA]],DATOS[],9,0)</f>
        <v>0</v>
      </c>
    </row>
    <row r="178" spans="1:18" ht="30" hidden="1" x14ac:dyDescent="0.25">
      <c r="A178" s="183">
        <v>25385813</v>
      </c>
      <c r="B178" s="184" t="str">
        <f>IFERROR(IF(DEF[[#This Row],[OTRO PAGO]]=0,VLOOKUP(DEF[[#This Row],[CEDULA]],DATOS[],2,0),""),"")</f>
        <v/>
      </c>
      <c r="C178" s="184" t="str">
        <f>IFERROR(VLOOKUP(DEF[[#This Row],[CEDULA]],DATOS[],5,0),"")</f>
        <v/>
      </c>
      <c r="D178" s="185" t="s">
        <v>820</v>
      </c>
      <c r="E178" s="186" t="str">
        <f>IFERROR(VLOOKUP(DEF[[#This Row],[CEDULA]],NCH!$B$7:$AU$229,10,0),"")</f>
        <v/>
      </c>
      <c r="F178" s="186" t="str">
        <f>IFERROR(VLOOKUP(DEF[[#This Row],[CEDULA]],NCH!$B$7:$AU$229,16,0),"")</f>
        <v/>
      </c>
      <c r="G178" s="186" t="str">
        <f>IFERROR(VLOOKUP(DEF[[#This Row],[CEDULA]],NCH!$B$7:$AU$229,22,0),"")</f>
        <v/>
      </c>
      <c r="H178" s="186" t="str">
        <f>IFERROR(VLOOKUP(DEF[[#This Row],[CEDULA]],NCH!$B$7:$AU$229,28,0),"")</f>
        <v/>
      </c>
      <c r="I178" s="186" t="str">
        <f>IFERROR(VLOOKUP(DEF[[#This Row],[CEDULA]],NCH!$B$7:$AU$229,34,0),"")</f>
        <v/>
      </c>
      <c r="J178" s="186" t="str">
        <f>IFERROR(VLOOKUP(DEF[[#This Row],[CEDULA]],NCH!$B$7:$AU$229,40,0),"")</f>
        <v/>
      </c>
      <c r="K178" s="186" t="str">
        <f>IFERROR(VLOOKUP(DEF[[#This Row],[CEDULA]],NCH!$B$7:$AU$229,46,0),"")</f>
        <v/>
      </c>
      <c r="L178" s="186" t="str">
        <f>IFERROR(VLOOKUP(DEF[CEDULA],METAS[],13,0),"")</f>
        <v/>
      </c>
      <c r="M178" s="187">
        <f>SUM(DEF[[#This Row],[L]:[V]])</f>
        <v>0</v>
      </c>
      <c r="N178" s="188">
        <f>SUM(DEF[[#This Row],[S]:[D]])</f>
        <v>0</v>
      </c>
      <c r="O178" s="188">
        <f>DEF[[#This Row],[TOTAL METAS L-V]]+DEF[[#This Row],[TOTAL METAS S-D-F]]</f>
        <v>0</v>
      </c>
      <c r="P178" s="188" t="e">
        <f>VLOOKUP(DEF[[#This Row],[CEDULA]],METAS[],17,0)</f>
        <v>#N/A</v>
      </c>
      <c r="Q17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78" s="190" t="e">
        <f>VLOOKUP(DEF[[#This Row],[CEDULA]],DATOS[],9,0)</f>
        <v>#N/A</v>
      </c>
    </row>
    <row r="179" spans="1:18" ht="30" hidden="1" x14ac:dyDescent="0.25">
      <c r="A179" s="183">
        <v>6965440</v>
      </c>
      <c r="B179" s="184" t="str">
        <f>IFERROR(IF(DEF[[#This Row],[OTRO PAGO]]=0,VLOOKUP(DEF[[#This Row],[CEDULA]],DATOS[],2,0),""),"")</f>
        <v>GARCIA JOSMAR</v>
      </c>
      <c r="C179" s="184" t="str">
        <f>IFERROR(VLOOKUP(DEF[[#This Row],[CEDULA]],DATOS[],5,0),"")</f>
        <v>PROFESIONAL</v>
      </c>
      <c r="D179" s="185" t="s">
        <v>820</v>
      </c>
      <c r="E179" s="186" t="str">
        <f>IFERROR(VLOOKUP(DEF[[#This Row],[CEDULA]],NCH!$B$7:$AU$229,10,0),"")</f>
        <v/>
      </c>
      <c r="F179" s="186" t="str">
        <f>IFERROR(VLOOKUP(DEF[[#This Row],[CEDULA]],NCH!$B$7:$AU$229,16,0),"")</f>
        <v/>
      </c>
      <c r="G179" s="186" t="str">
        <f>IFERROR(VLOOKUP(DEF[[#This Row],[CEDULA]],NCH!$B$7:$AU$229,22,0),"")</f>
        <v/>
      </c>
      <c r="H179" s="186" t="str">
        <f>IFERROR(VLOOKUP(DEF[[#This Row],[CEDULA]],NCH!$B$7:$AU$229,28,0),"")</f>
        <v/>
      </c>
      <c r="I179" s="186" t="str">
        <f>IFERROR(VLOOKUP(DEF[[#This Row],[CEDULA]],NCH!$B$7:$AU$229,34,0),"")</f>
        <v/>
      </c>
      <c r="J179" s="186" t="str">
        <f>IFERROR(VLOOKUP(DEF[[#This Row],[CEDULA]],NCH!$B$7:$AU$229,40,0),"")</f>
        <v/>
      </c>
      <c r="K179" s="186" t="str">
        <f>IFERROR(VLOOKUP(DEF[[#This Row],[CEDULA]],NCH!$B$7:$AU$229,46,0),"")</f>
        <v/>
      </c>
      <c r="L179" s="186" t="str">
        <f>IFERROR(VLOOKUP(DEF[CEDULA],METAS[],13,0),"")</f>
        <v/>
      </c>
      <c r="M179" s="187">
        <f>SUM(DEF[[#This Row],[L]:[V]])</f>
        <v>0</v>
      </c>
      <c r="N179" s="188">
        <f>SUM(DEF[[#This Row],[S]:[D]])</f>
        <v>0</v>
      </c>
      <c r="O179" s="188">
        <f>DEF[[#This Row],[TOTAL METAS L-V]]+DEF[[#This Row],[TOTAL METAS S-D-F]]</f>
        <v>0</v>
      </c>
      <c r="P179" s="188" t="e">
        <f>VLOOKUP(DEF[[#This Row],[CEDULA]],METAS[],17,0)</f>
        <v>#N/A</v>
      </c>
      <c r="Q17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79" s="190">
        <f>VLOOKUP(DEF[[#This Row],[CEDULA]],DATOS[],9,0)</f>
        <v>0</v>
      </c>
    </row>
    <row r="180" spans="1:18" ht="30" hidden="1" x14ac:dyDescent="0.25">
      <c r="A180" s="183">
        <v>7991468</v>
      </c>
      <c r="B180" s="184" t="str">
        <f>IFERROR(IF(DEF[[#This Row],[OTRO PAGO]]=0,VLOOKUP(DEF[[#This Row],[CEDULA]],DATOS[],2,0),""),"")</f>
        <v>MORIN GLENDA</v>
      </c>
      <c r="C180" s="184" t="str">
        <f>IFERROR(VLOOKUP(DEF[[#This Row],[CEDULA]],DATOS[],5,0),"")</f>
        <v>ADMINISTRATIVO</v>
      </c>
      <c r="D180" s="185" t="s">
        <v>820</v>
      </c>
      <c r="E180" s="186" t="str">
        <f>IFERROR(VLOOKUP(DEF[[#This Row],[CEDULA]],NCH!$B$7:$AU$229,10,0),"")</f>
        <v/>
      </c>
      <c r="F180" s="186" t="str">
        <f>IFERROR(VLOOKUP(DEF[[#This Row],[CEDULA]],NCH!$B$7:$AU$229,16,0),"")</f>
        <v/>
      </c>
      <c r="G180" s="186" t="str">
        <f>IFERROR(VLOOKUP(DEF[[#This Row],[CEDULA]],NCH!$B$7:$AU$229,22,0),"")</f>
        <v/>
      </c>
      <c r="H180" s="186" t="str">
        <f>IFERROR(VLOOKUP(DEF[[#This Row],[CEDULA]],NCH!$B$7:$AU$229,28,0),"")</f>
        <v/>
      </c>
      <c r="I180" s="186" t="str">
        <f>IFERROR(VLOOKUP(DEF[[#This Row],[CEDULA]],NCH!$B$7:$AU$229,34,0),"")</f>
        <v/>
      </c>
      <c r="J180" s="186" t="str">
        <f>IFERROR(VLOOKUP(DEF[[#This Row],[CEDULA]],NCH!$B$7:$AU$229,40,0),"")</f>
        <v/>
      </c>
      <c r="K180" s="186" t="str">
        <f>IFERROR(VLOOKUP(DEF[[#This Row],[CEDULA]],NCH!$B$7:$AU$229,46,0),"")</f>
        <v/>
      </c>
      <c r="L180" s="186" t="str">
        <f>IFERROR(VLOOKUP(DEF[CEDULA],METAS[],13,0),"")</f>
        <v/>
      </c>
      <c r="M180" s="187">
        <f>SUM(DEF[[#This Row],[L]:[V]])</f>
        <v>0</v>
      </c>
      <c r="N180" s="188">
        <f>SUM(DEF[[#This Row],[S]:[D]])</f>
        <v>0</v>
      </c>
      <c r="O180" s="188">
        <f>DEF[[#This Row],[TOTAL METAS L-V]]+DEF[[#This Row],[TOTAL METAS S-D-F]]</f>
        <v>0</v>
      </c>
      <c r="P180" s="188" t="e">
        <f>VLOOKUP(DEF[[#This Row],[CEDULA]],METAS[],17,0)</f>
        <v>#N/A</v>
      </c>
      <c r="Q18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80" s="190">
        <f>VLOOKUP(DEF[[#This Row],[CEDULA]],DATOS[],9,0)</f>
        <v>0</v>
      </c>
    </row>
    <row r="181" spans="1:18" hidden="1" x14ac:dyDescent="0.25">
      <c r="A181" s="183">
        <v>10815747</v>
      </c>
      <c r="B181" s="184" t="str">
        <f>IFERROR(IF(DEF[[#This Row],[OTRO PAGO]]=0,VLOOKUP(DEF[[#This Row],[CEDULA]],DATOS[],2,0),""),"")</f>
        <v>VARGAS JACOB</v>
      </c>
      <c r="C181" s="184" t="str">
        <f>IFERROR(VLOOKUP(DEF[[#This Row],[CEDULA]],DATOS[],5,0),"")</f>
        <v>PROFESIONAL</v>
      </c>
      <c r="D181" s="185" t="s">
        <v>870</v>
      </c>
      <c r="E181" s="186" t="str">
        <f>IFERROR(VLOOKUP(DEF[[#This Row],[CEDULA]],NCH!$B$7:$AU$229,10,0),"")</f>
        <v/>
      </c>
      <c r="F181" s="186" t="str">
        <f>IFERROR(VLOOKUP(DEF[[#This Row],[CEDULA]],NCH!$B$7:$AU$229,16,0),"")</f>
        <v/>
      </c>
      <c r="G181" s="186" t="str">
        <f>IFERROR(VLOOKUP(DEF[[#This Row],[CEDULA]],NCH!$B$7:$AU$229,22,0),"")</f>
        <v/>
      </c>
      <c r="H181" s="186" t="str">
        <f>IFERROR(VLOOKUP(DEF[[#This Row],[CEDULA]],NCH!$B$7:$AU$229,28,0),"")</f>
        <v/>
      </c>
      <c r="I181" s="186" t="str">
        <f>IFERROR(VLOOKUP(DEF[[#This Row],[CEDULA]],NCH!$B$7:$AU$229,34,0),"")</f>
        <v/>
      </c>
      <c r="J181" s="186" t="str">
        <f>IFERROR(VLOOKUP(DEF[[#This Row],[CEDULA]],NCH!$B$7:$AU$229,40,0),"")</f>
        <v/>
      </c>
      <c r="K181" s="186" t="str">
        <f>IFERROR(VLOOKUP(DEF[[#This Row],[CEDULA]],NCH!$B$7:$AU$229,46,0),"")</f>
        <v/>
      </c>
      <c r="L181" s="186" t="str">
        <f>IFERROR(VLOOKUP(DEF[CEDULA],METAS[],13,0),"")</f>
        <v/>
      </c>
      <c r="M181" s="187">
        <f>SUM(DEF[[#This Row],[L]:[V]])</f>
        <v>0</v>
      </c>
      <c r="N181" s="188">
        <f>SUM(DEF[[#This Row],[S]:[D]])</f>
        <v>0</v>
      </c>
      <c r="O181" s="188">
        <f>DEF[[#This Row],[TOTAL METAS L-V]]+DEF[[#This Row],[TOTAL METAS S-D-F]]</f>
        <v>0</v>
      </c>
      <c r="P181" s="188" t="e">
        <f>VLOOKUP(DEF[[#This Row],[CEDULA]],METAS[],17,0)</f>
        <v>#N/A</v>
      </c>
      <c r="Q18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81" s="190">
        <f>VLOOKUP(DEF[[#This Row],[CEDULA]],DATOS[],9,0)</f>
        <v>0</v>
      </c>
    </row>
    <row r="182" spans="1:18" hidden="1" x14ac:dyDescent="0.25">
      <c r="A182" s="183">
        <v>6969577</v>
      </c>
      <c r="B182" s="184" t="str">
        <f>IFERROR(IF(DEF[[#This Row],[OTRO PAGO]]=0,VLOOKUP(DEF[[#This Row],[CEDULA]],DATOS[],2,0),""),"")</f>
        <v>PEREZ IVAN</v>
      </c>
      <c r="C182" s="184" t="str">
        <f>IFERROR(VLOOKUP(DEF[[#This Row],[CEDULA]],DATOS[],5,0),"")</f>
        <v>OBRERO</v>
      </c>
      <c r="D182" s="185" t="s">
        <v>870</v>
      </c>
      <c r="E182" s="186" t="str">
        <f>IFERROR(VLOOKUP(DEF[[#This Row],[CEDULA]],NCH!$B$7:$AU$229,10,0),"")</f>
        <v/>
      </c>
      <c r="F182" s="186" t="str">
        <f>IFERROR(VLOOKUP(DEF[[#This Row],[CEDULA]],NCH!$B$7:$AU$229,16,0),"")</f>
        <v/>
      </c>
      <c r="G182" s="186" t="str">
        <f>IFERROR(VLOOKUP(DEF[[#This Row],[CEDULA]],NCH!$B$7:$AU$229,22,0),"")</f>
        <v/>
      </c>
      <c r="H182" s="186" t="str">
        <f>IFERROR(VLOOKUP(DEF[[#This Row],[CEDULA]],NCH!$B$7:$AU$229,28,0),"")</f>
        <v/>
      </c>
      <c r="I182" s="186" t="str">
        <f>IFERROR(VLOOKUP(DEF[[#This Row],[CEDULA]],NCH!$B$7:$AU$229,34,0),"")</f>
        <v/>
      </c>
      <c r="J182" s="186" t="str">
        <f>IFERROR(VLOOKUP(DEF[[#This Row],[CEDULA]],NCH!$B$7:$AU$229,40,0),"")</f>
        <v/>
      </c>
      <c r="K182" s="186" t="str">
        <f>IFERROR(VLOOKUP(DEF[[#This Row],[CEDULA]],NCH!$B$7:$AU$229,46,0),"")</f>
        <v/>
      </c>
      <c r="L182" s="186" t="str">
        <f>IFERROR(VLOOKUP(DEF[CEDULA],METAS[],13,0),"")</f>
        <v/>
      </c>
      <c r="M182" s="187">
        <f>SUM(DEF[[#This Row],[L]:[V]])</f>
        <v>0</v>
      </c>
      <c r="N182" s="188">
        <f>SUM(DEF[[#This Row],[S]:[D]])</f>
        <v>0</v>
      </c>
      <c r="O182" s="188">
        <f>DEF[[#This Row],[TOTAL METAS L-V]]+DEF[[#This Row],[TOTAL METAS S-D-F]]</f>
        <v>0</v>
      </c>
      <c r="P182" s="188" t="e">
        <f>VLOOKUP(DEF[[#This Row],[CEDULA]],METAS[],17,0)</f>
        <v>#N/A</v>
      </c>
      <c r="Q18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82" s="190">
        <f>VLOOKUP(DEF[[#This Row],[CEDULA]],DATOS[],9,0)</f>
        <v>0</v>
      </c>
    </row>
    <row r="183" spans="1:18" hidden="1" x14ac:dyDescent="0.25">
      <c r="A183" s="183">
        <v>22915227</v>
      </c>
      <c r="B183" s="184" t="str">
        <f>IFERROR(IF(DEF[[#This Row],[OTRO PAGO]]=0,VLOOKUP(DEF[[#This Row],[CEDULA]],DATOS[],2,0),""),"")</f>
        <v>PEROZA RONAYQUEL</v>
      </c>
      <c r="C183" s="184" t="str">
        <f>IFERROR(VLOOKUP(DEF[[#This Row],[CEDULA]],DATOS[],5,0),"")</f>
        <v>PROFESIONAL</v>
      </c>
      <c r="D183" s="185" t="s">
        <v>870</v>
      </c>
      <c r="E183" s="186" t="str">
        <f>IFERROR(VLOOKUP(DEF[[#This Row],[CEDULA]],NCH!$B$7:$AU$229,10,0),"")</f>
        <v/>
      </c>
      <c r="F183" s="186" t="str">
        <f>IFERROR(VLOOKUP(DEF[[#This Row],[CEDULA]],NCH!$B$7:$AU$229,16,0),"")</f>
        <v/>
      </c>
      <c r="G183" s="186" t="str">
        <f>IFERROR(VLOOKUP(DEF[[#This Row],[CEDULA]],NCH!$B$7:$AU$229,22,0),"")</f>
        <v/>
      </c>
      <c r="H183" s="186" t="str">
        <f>IFERROR(VLOOKUP(DEF[[#This Row],[CEDULA]],NCH!$B$7:$AU$229,28,0),"")</f>
        <v/>
      </c>
      <c r="I183" s="186" t="str">
        <f>IFERROR(VLOOKUP(DEF[[#This Row],[CEDULA]],NCH!$B$7:$AU$229,34,0),"")</f>
        <v/>
      </c>
      <c r="J183" s="186" t="str">
        <f>IFERROR(VLOOKUP(DEF[[#This Row],[CEDULA]],NCH!$B$7:$AU$229,40,0),"")</f>
        <v/>
      </c>
      <c r="K183" s="186" t="str">
        <f>IFERROR(VLOOKUP(DEF[[#This Row],[CEDULA]],NCH!$B$7:$AU$229,46,0),"")</f>
        <v/>
      </c>
      <c r="L183" s="186" t="str">
        <f>IFERROR(VLOOKUP(DEF[CEDULA],METAS[],13,0),"")</f>
        <v/>
      </c>
      <c r="M183" s="187">
        <f>SUM(DEF[[#This Row],[L]:[V]])</f>
        <v>0</v>
      </c>
      <c r="N183" s="188">
        <f>SUM(DEF[[#This Row],[S]:[D]])</f>
        <v>0</v>
      </c>
      <c r="O183" s="188">
        <f>DEF[[#This Row],[TOTAL METAS L-V]]+DEF[[#This Row],[TOTAL METAS S-D-F]]</f>
        <v>0</v>
      </c>
      <c r="P183" s="188" t="e">
        <f>VLOOKUP(DEF[[#This Row],[CEDULA]],METAS[],17,0)</f>
        <v>#N/A</v>
      </c>
      <c r="Q18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83" s="190">
        <f>VLOOKUP(DEF[[#This Row],[CEDULA]],DATOS[],9,0)</f>
        <v>0</v>
      </c>
    </row>
    <row r="184" spans="1:18" hidden="1" x14ac:dyDescent="0.25">
      <c r="A184" s="183">
        <v>6965462</v>
      </c>
      <c r="B184" s="184" t="str">
        <f>IFERROR(IF(DEF[[#This Row],[OTRO PAGO]]=0,VLOOKUP(DEF[[#This Row],[CEDULA]],DATOS[],2,0),""),"")</f>
        <v>QUINTANA ANTONIO</v>
      </c>
      <c r="C184" s="184" t="str">
        <f>IFERROR(VLOOKUP(DEF[[#This Row],[CEDULA]],DATOS[],5,0),"")</f>
        <v>PROFESIONAL</v>
      </c>
      <c r="D184" s="185" t="s">
        <v>870</v>
      </c>
      <c r="E184" s="186" t="str">
        <f>IFERROR(VLOOKUP(DEF[[#This Row],[CEDULA]],NCH!$B$7:$AU$229,10,0),"")</f>
        <v>No realizo Metas</v>
      </c>
      <c r="F184" s="186" t="str">
        <f>IFERROR(VLOOKUP(DEF[[#This Row],[CEDULA]],NCH!$B$7:$AU$229,16,0),"")</f>
        <v>No realizo Metas</v>
      </c>
      <c r="G184" s="186" t="str">
        <f>IFERROR(VLOOKUP(DEF[[#This Row],[CEDULA]],NCH!$B$7:$AU$229,22,0),"")</f>
        <v>No cumple H</v>
      </c>
      <c r="H184" s="186" t="str">
        <f>IFERROR(VLOOKUP(DEF[[#This Row],[CEDULA]],NCH!$B$7:$AU$229,28,0),"")</f>
        <v>No cumple H</v>
      </c>
      <c r="I184" s="186" t="str">
        <f>IFERROR(VLOOKUP(DEF[[#This Row],[CEDULA]],NCH!$B$7:$AU$229,34,0),"")</f>
        <v>No cumple H</v>
      </c>
      <c r="J184" s="186" t="str">
        <f>IFERROR(VLOOKUP(DEF[[#This Row],[CEDULA]],NCH!$B$7:$AU$229,40,0),"")</f>
        <v>No cumple H</v>
      </c>
      <c r="K184" s="186" t="str">
        <f>IFERROR(VLOOKUP(DEF[[#This Row],[CEDULA]],NCH!$B$7:$AU$229,46,0),"")</f>
        <v>No cumple H</v>
      </c>
      <c r="L184" s="186">
        <f>IFERROR(VLOOKUP(DEF[CEDULA],METAS[],13,0),"")</f>
        <v>0</v>
      </c>
      <c r="M184" s="187">
        <f>SUM(DEF[[#This Row],[L]:[V]])</f>
        <v>0</v>
      </c>
      <c r="N184" s="188">
        <f>SUM(DEF[[#This Row],[S]:[D]])</f>
        <v>0</v>
      </c>
      <c r="O184" s="188">
        <f>DEF[[#This Row],[TOTAL METAS L-V]]+DEF[[#This Row],[TOTAL METAS S-D-F]]</f>
        <v>0</v>
      </c>
      <c r="P184" s="188">
        <f>VLOOKUP(DEF[[#This Row],[CEDULA]],METAS[],17,0)</f>
        <v>0</v>
      </c>
      <c r="Q18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84" s="190">
        <f>VLOOKUP(DEF[[#This Row],[CEDULA]],DATOS[],9,0)</f>
        <v>0</v>
      </c>
    </row>
    <row r="185" spans="1:18" hidden="1" x14ac:dyDescent="0.25">
      <c r="A185" s="183">
        <v>10541565</v>
      </c>
      <c r="B185" s="184" t="str">
        <f>IFERROR(IF(DEF[[#This Row],[OTRO PAGO]]=0,VLOOKUP(DEF[[#This Row],[CEDULA]],DATOS[],2,0),""),"")</f>
        <v>VERGARA MERCEDES</v>
      </c>
      <c r="C185" s="184" t="str">
        <f>IFERROR(VLOOKUP(DEF[[#This Row],[CEDULA]],DATOS[],5,0),"")</f>
        <v>SUPERVISORIO</v>
      </c>
      <c r="D185" s="185" t="s">
        <v>870</v>
      </c>
      <c r="E185" s="186" t="str">
        <f>IFERROR(VLOOKUP(DEF[[#This Row],[CEDULA]],NCH!$B$7:$AU$229,10,0),"")</f>
        <v/>
      </c>
      <c r="F185" s="186" t="str">
        <f>IFERROR(VLOOKUP(DEF[[#This Row],[CEDULA]],NCH!$B$7:$AU$229,16,0),"")</f>
        <v/>
      </c>
      <c r="G185" s="186" t="str">
        <f>IFERROR(VLOOKUP(DEF[[#This Row],[CEDULA]],NCH!$B$7:$AU$229,22,0),"")</f>
        <v/>
      </c>
      <c r="H185" s="186" t="str">
        <f>IFERROR(VLOOKUP(DEF[[#This Row],[CEDULA]],NCH!$B$7:$AU$229,28,0),"")</f>
        <v/>
      </c>
      <c r="I185" s="186" t="str">
        <f>IFERROR(VLOOKUP(DEF[[#This Row],[CEDULA]],NCH!$B$7:$AU$229,34,0),"")</f>
        <v/>
      </c>
      <c r="J185" s="186" t="str">
        <f>IFERROR(VLOOKUP(DEF[[#This Row],[CEDULA]],NCH!$B$7:$AU$229,40,0),"")</f>
        <v/>
      </c>
      <c r="K185" s="186" t="str">
        <f>IFERROR(VLOOKUP(DEF[[#This Row],[CEDULA]],NCH!$B$7:$AU$229,46,0),"")</f>
        <v/>
      </c>
      <c r="L185" s="186" t="str">
        <f>IFERROR(VLOOKUP(DEF[CEDULA],METAS[],13,0),"")</f>
        <v/>
      </c>
      <c r="M185" s="187">
        <f>SUM(DEF[[#This Row],[L]:[V]])</f>
        <v>0</v>
      </c>
      <c r="N185" s="188">
        <f>SUM(DEF[[#This Row],[S]:[D]])</f>
        <v>0</v>
      </c>
      <c r="O185" s="188">
        <f>DEF[[#This Row],[TOTAL METAS L-V]]+DEF[[#This Row],[TOTAL METAS S-D-F]]</f>
        <v>0</v>
      </c>
      <c r="P185" s="188" t="e">
        <f>VLOOKUP(DEF[[#This Row],[CEDULA]],METAS[],17,0)</f>
        <v>#N/A</v>
      </c>
      <c r="Q18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85" s="190">
        <f>VLOOKUP(DEF[[#This Row],[CEDULA]],DATOS[],9,0)</f>
        <v>0</v>
      </c>
    </row>
    <row r="186" spans="1:18" hidden="1" x14ac:dyDescent="0.25">
      <c r="A186" s="183">
        <v>6276576</v>
      </c>
      <c r="B186" s="184" t="str">
        <f>IFERROR(IF(DEF[[#This Row],[OTRO PAGO]]=0,VLOOKUP(DEF[[#This Row],[CEDULA]],DATOS[],2,0),""),"")</f>
        <v>GUERRERO FRANKLIN</v>
      </c>
      <c r="C186" s="184" t="str">
        <f>IFERROR(VLOOKUP(DEF[[#This Row],[CEDULA]],DATOS[],5,0),"")</f>
        <v>OBRERO</v>
      </c>
      <c r="D186" s="185" t="s">
        <v>862</v>
      </c>
      <c r="E186" s="186" t="str">
        <f>IFERROR(VLOOKUP(DEF[[#This Row],[CEDULA]],NCH!$B$7:$AU$229,10,0),"")</f>
        <v>No cumple H</v>
      </c>
      <c r="F186" s="186" t="str">
        <f>IFERROR(VLOOKUP(DEF[[#This Row],[CEDULA]],NCH!$B$7:$AU$229,16,0),"")</f>
        <v>No cumple H</v>
      </c>
      <c r="G186" s="186" t="str">
        <f>IFERROR(VLOOKUP(DEF[[#This Row],[CEDULA]],NCH!$B$7:$AU$229,22,0),"")</f>
        <v>No cumple H</v>
      </c>
      <c r="H186" s="186" t="str">
        <f>IFERROR(VLOOKUP(DEF[[#This Row],[CEDULA]],NCH!$B$7:$AU$229,28,0),"")</f>
        <v>No cumple H</v>
      </c>
      <c r="I186" s="186" t="str">
        <f>IFERROR(VLOOKUP(DEF[[#This Row],[CEDULA]],NCH!$B$7:$AU$229,34,0),"")</f>
        <v>No cumple H</v>
      </c>
      <c r="J186" s="186" t="str">
        <f>IFERROR(VLOOKUP(DEF[[#This Row],[CEDULA]],NCH!$B$7:$AU$229,40,0),"")</f>
        <v>No cumple H</v>
      </c>
      <c r="K186" s="186" t="str">
        <f>IFERROR(VLOOKUP(DEF[[#This Row],[CEDULA]],NCH!$B$7:$AU$229,46,0),"")</f>
        <v>No cumple H</v>
      </c>
      <c r="L186" s="186">
        <f>IFERROR(VLOOKUP(DEF[CEDULA],METAS[],13,0),"")</f>
        <v>0</v>
      </c>
      <c r="M186" s="187">
        <f>SUM(DEF[[#This Row],[L]:[V]])</f>
        <v>0</v>
      </c>
      <c r="N186" s="188">
        <f>SUM(DEF[[#This Row],[S]:[D]])</f>
        <v>0</v>
      </c>
      <c r="O186" s="188">
        <f>DEF[[#This Row],[TOTAL METAS L-V]]+DEF[[#This Row],[TOTAL METAS S-D-F]]</f>
        <v>0</v>
      </c>
      <c r="P186" s="188">
        <f>VLOOKUP(DEF[[#This Row],[CEDULA]],METAS[],17,0)</f>
        <v>0</v>
      </c>
      <c r="Q18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86" s="190">
        <f>VLOOKUP(DEF[[#This Row],[CEDULA]],DATOS[],9,0)</f>
        <v>0</v>
      </c>
    </row>
    <row r="187" spans="1:18" hidden="1" x14ac:dyDescent="0.25">
      <c r="A187" s="183">
        <v>5413927</v>
      </c>
      <c r="B187" s="184" t="str">
        <f>IFERROR(IF(DEF[[#This Row],[OTRO PAGO]]=0,VLOOKUP(DEF[[#This Row],[CEDULA]],DATOS[],2,0),""),"")</f>
        <v>ROMERO ROMER</v>
      </c>
      <c r="C187" s="184" t="str">
        <f>IFERROR(VLOOKUP(DEF[[#This Row],[CEDULA]],DATOS[],5,0),"")</f>
        <v>OBRERO</v>
      </c>
      <c r="D187" s="185" t="s">
        <v>862</v>
      </c>
      <c r="E187" s="186" t="str">
        <f>IFERROR(VLOOKUP(DEF[[#This Row],[CEDULA]],NCH!$B$7:$AU$229,10,0),"")</f>
        <v/>
      </c>
      <c r="F187" s="186" t="str">
        <f>IFERROR(VLOOKUP(DEF[[#This Row],[CEDULA]],NCH!$B$7:$AU$229,16,0),"")</f>
        <v/>
      </c>
      <c r="G187" s="186" t="str">
        <f>IFERROR(VLOOKUP(DEF[[#This Row],[CEDULA]],NCH!$B$7:$AU$229,22,0),"")</f>
        <v/>
      </c>
      <c r="H187" s="186" t="str">
        <f>IFERROR(VLOOKUP(DEF[[#This Row],[CEDULA]],NCH!$B$7:$AU$229,28,0),"")</f>
        <v/>
      </c>
      <c r="I187" s="186" t="str">
        <f>IFERROR(VLOOKUP(DEF[[#This Row],[CEDULA]],NCH!$B$7:$AU$229,34,0),"")</f>
        <v/>
      </c>
      <c r="J187" s="186" t="str">
        <f>IFERROR(VLOOKUP(DEF[[#This Row],[CEDULA]],NCH!$B$7:$AU$229,40,0),"")</f>
        <v/>
      </c>
      <c r="K187" s="186" t="str">
        <f>IFERROR(VLOOKUP(DEF[[#This Row],[CEDULA]],NCH!$B$7:$AU$229,46,0),"")</f>
        <v/>
      </c>
      <c r="L187" s="186" t="str">
        <f>IFERROR(VLOOKUP(DEF[CEDULA],METAS[],13,0),"")</f>
        <v/>
      </c>
      <c r="M187" s="187">
        <f>SUM(DEF[[#This Row],[L]:[V]])</f>
        <v>0</v>
      </c>
      <c r="N187" s="188">
        <f>SUM(DEF[[#This Row],[S]:[D]])</f>
        <v>0</v>
      </c>
      <c r="O187" s="188">
        <f>DEF[[#This Row],[TOTAL METAS L-V]]+DEF[[#This Row],[TOTAL METAS S-D-F]]</f>
        <v>0</v>
      </c>
      <c r="P187" s="188" t="e">
        <f>VLOOKUP(DEF[[#This Row],[CEDULA]],METAS[],17,0)</f>
        <v>#N/A</v>
      </c>
      <c r="Q18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87" s="190">
        <f>VLOOKUP(DEF[[#This Row],[CEDULA]],DATOS[],9,0)</f>
        <v>0</v>
      </c>
    </row>
    <row r="188" spans="1:18" hidden="1" x14ac:dyDescent="0.25">
      <c r="A188" s="183">
        <v>9489511</v>
      </c>
      <c r="B188" s="184" t="str">
        <f>IFERROR(IF(DEF[[#This Row],[OTRO PAGO]]=0,VLOOKUP(DEF[[#This Row],[CEDULA]],DATOS[],2,0),""),"")</f>
        <v>FEO LUIS</v>
      </c>
      <c r="C188" s="184" t="str">
        <f>IFERROR(VLOOKUP(DEF[[#This Row],[CEDULA]],DATOS[],5,0),"")</f>
        <v>OBRERO</v>
      </c>
      <c r="D188" s="185" t="s">
        <v>862</v>
      </c>
      <c r="E188" s="186" t="str">
        <f>IFERROR(VLOOKUP(DEF[[#This Row],[CEDULA]],NCH!$B$7:$AU$229,10,0),"")</f>
        <v>No cumple H</v>
      </c>
      <c r="F188" s="186" t="str">
        <f>IFERROR(VLOOKUP(DEF[[#This Row],[CEDULA]],NCH!$B$7:$AU$229,16,0),"")</f>
        <v>No cumple H</v>
      </c>
      <c r="G188" s="186" t="str">
        <f>IFERROR(VLOOKUP(DEF[[#This Row],[CEDULA]],NCH!$B$7:$AU$229,22,0),"")</f>
        <v>No cumple H</v>
      </c>
      <c r="H188" s="186" t="str">
        <f>IFERROR(VLOOKUP(DEF[[#This Row],[CEDULA]],NCH!$B$7:$AU$229,28,0),"")</f>
        <v>No cumple H</v>
      </c>
      <c r="I188" s="186" t="str">
        <f>IFERROR(VLOOKUP(DEF[[#This Row],[CEDULA]],NCH!$B$7:$AU$229,34,0),"")</f>
        <v>No cumple H</v>
      </c>
      <c r="J188" s="186" t="str">
        <f>IFERROR(VLOOKUP(DEF[[#This Row],[CEDULA]],NCH!$B$7:$AU$229,40,0),"")</f>
        <v>No realizo Metas</v>
      </c>
      <c r="K188" s="186" t="str">
        <f>IFERROR(VLOOKUP(DEF[[#This Row],[CEDULA]],NCH!$B$7:$AU$229,46,0),"")</f>
        <v>No cumple H</v>
      </c>
      <c r="L188" s="186">
        <f>IFERROR(VLOOKUP(DEF[CEDULA],METAS[],13,0),"")</f>
        <v>0</v>
      </c>
      <c r="M188" s="187">
        <f>SUM(DEF[[#This Row],[L]:[V]])</f>
        <v>0</v>
      </c>
      <c r="N188" s="188">
        <f>SUM(DEF[[#This Row],[S]:[D]])</f>
        <v>0</v>
      </c>
      <c r="O188" s="188">
        <f>DEF[[#This Row],[TOTAL METAS L-V]]+DEF[[#This Row],[TOTAL METAS S-D-F]]</f>
        <v>0</v>
      </c>
      <c r="P188" s="188">
        <f>VLOOKUP(DEF[[#This Row],[CEDULA]],METAS[],17,0)</f>
        <v>0</v>
      </c>
      <c r="Q18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88" s="190">
        <f>VLOOKUP(DEF[[#This Row],[CEDULA]],DATOS[],9,0)</f>
        <v>0</v>
      </c>
    </row>
    <row r="189" spans="1:18" hidden="1" x14ac:dyDescent="0.25">
      <c r="A189" s="183">
        <v>11944937</v>
      </c>
      <c r="B189" s="184" t="str">
        <f>IFERROR(IF(DEF[[#This Row],[OTRO PAGO]]=0,VLOOKUP(DEF[[#This Row],[CEDULA]],DATOS[],2,0),""),"")</f>
        <v>TORREALBA NAUDYS</v>
      </c>
      <c r="C189" s="184" t="str">
        <f>IFERROR(VLOOKUP(DEF[[#This Row],[CEDULA]],DATOS[],5,0),"")</f>
        <v>OBRERO</v>
      </c>
      <c r="D189" s="185" t="s">
        <v>862</v>
      </c>
      <c r="E189" s="186" t="str">
        <f>IFERROR(VLOOKUP(DEF[[#This Row],[CEDULA]],NCH!$B$7:$AU$229,10,0),"")</f>
        <v>Horario Metas</v>
      </c>
      <c r="F189" s="186" t="str">
        <f>IFERROR(VLOOKUP(DEF[[#This Row],[CEDULA]],NCH!$B$7:$AU$229,16,0),"")</f>
        <v>No cumple H</v>
      </c>
      <c r="G189" s="186" t="str">
        <f>IFERROR(VLOOKUP(DEF[[#This Row],[CEDULA]],NCH!$B$7:$AU$229,22,0),"")</f>
        <v>No cumple H</v>
      </c>
      <c r="H189" s="186" t="str">
        <f>IFERROR(VLOOKUP(DEF[[#This Row],[CEDULA]],NCH!$B$7:$AU$229,28,0),"")</f>
        <v>No cumple H</v>
      </c>
      <c r="I189" s="186" t="str">
        <f>IFERROR(VLOOKUP(DEF[[#This Row],[CEDULA]],NCH!$B$7:$AU$229,34,0),"")</f>
        <v>No cumple H</v>
      </c>
      <c r="J189" s="186" t="str">
        <f>IFERROR(VLOOKUP(DEF[[#This Row],[CEDULA]],NCH!$B$7:$AU$229,40,0),"")</f>
        <v>No cumple H</v>
      </c>
      <c r="K189" s="186" t="str">
        <f>IFERROR(VLOOKUP(DEF[[#This Row],[CEDULA]],NCH!$B$7:$AU$229,46,0),"")</f>
        <v>No cumple H</v>
      </c>
      <c r="L189" s="186">
        <f>IFERROR(VLOOKUP(DEF[CEDULA],METAS[],13,0),"")</f>
        <v>0</v>
      </c>
      <c r="M189" s="187">
        <f>SUM(DEF[[#This Row],[L]:[V]])</f>
        <v>0</v>
      </c>
      <c r="N189" s="188">
        <f>SUM(DEF[[#This Row],[S]:[D]])</f>
        <v>0</v>
      </c>
      <c r="O189" s="188">
        <f>DEF[[#This Row],[TOTAL METAS L-V]]+DEF[[#This Row],[TOTAL METAS S-D-F]]</f>
        <v>0</v>
      </c>
      <c r="P189" s="188">
        <f>VLOOKUP(DEF[[#This Row],[CEDULA]],METAS[],17,0)</f>
        <v>0</v>
      </c>
      <c r="Q18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89" s="190">
        <f>VLOOKUP(DEF[[#This Row],[CEDULA]],DATOS[],9,0)</f>
        <v>0</v>
      </c>
    </row>
    <row r="190" spans="1:18" hidden="1" x14ac:dyDescent="0.25">
      <c r="A190" s="183">
        <v>6852779</v>
      </c>
      <c r="B190" s="184" t="str">
        <f>IFERROR(IF(DEF[[#This Row],[OTRO PAGO]]=0,VLOOKUP(DEF[[#This Row],[CEDULA]],DATOS[],2,0),""),"")</f>
        <v>HERNANDEZ CARLOS</v>
      </c>
      <c r="C190" s="184" t="str">
        <f>IFERROR(VLOOKUP(DEF[[#This Row],[CEDULA]],DATOS[],5,0),"")</f>
        <v>SUPERVISORIO</v>
      </c>
      <c r="D190" s="185" t="s">
        <v>862</v>
      </c>
      <c r="E190" s="186" t="str">
        <f>IFERROR(VLOOKUP(DEF[[#This Row],[CEDULA]],NCH!$B$7:$AU$229,10,0),"")</f>
        <v>No realizo Metas</v>
      </c>
      <c r="F190" s="186" t="str">
        <f>IFERROR(VLOOKUP(DEF[[#This Row],[CEDULA]],NCH!$B$7:$AU$229,16,0),"")</f>
        <v>No cumple H</v>
      </c>
      <c r="G190" s="186" t="str">
        <f>IFERROR(VLOOKUP(DEF[[#This Row],[CEDULA]],NCH!$B$7:$AU$229,22,0),"")</f>
        <v>No cumple H</v>
      </c>
      <c r="H190" s="186" t="str">
        <f>IFERROR(VLOOKUP(DEF[[#This Row],[CEDULA]],NCH!$B$7:$AU$229,28,0),"")</f>
        <v>No cumple H</v>
      </c>
      <c r="I190" s="186" t="str">
        <f>IFERROR(VLOOKUP(DEF[[#This Row],[CEDULA]],NCH!$B$7:$AU$229,34,0),"")</f>
        <v>No cumple H</v>
      </c>
      <c r="J190" s="186" t="str">
        <f>IFERROR(VLOOKUP(DEF[[#This Row],[CEDULA]],NCH!$B$7:$AU$229,40,0),"")</f>
        <v>No cumple H</v>
      </c>
      <c r="K190" s="186" t="str">
        <f>IFERROR(VLOOKUP(DEF[[#This Row],[CEDULA]],NCH!$B$7:$AU$229,46,0),"")</f>
        <v>No cumple H</v>
      </c>
      <c r="L190" s="186">
        <f>IFERROR(VLOOKUP(DEF[CEDULA],METAS[],13,0),"")</f>
        <v>0</v>
      </c>
      <c r="M190" s="187">
        <f>SUM(DEF[[#This Row],[L]:[V]])</f>
        <v>0</v>
      </c>
      <c r="N190" s="188">
        <f>SUM(DEF[[#This Row],[S]:[D]])</f>
        <v>0</v>
      </c>
      <c r="O190" s="188">
        <f>DEF[[#This Row],[TOTAL METAS L-V]]+DEF[[#This Row],[TOTAL METAS S-D-F]]</f>
        <v>0</v>
      </c>
      <c r="P190" s="188">
        <f>VLOOKUP(DEF[[#This Row],[CEDULA]],METAS[],17,0)</f>
        <v>0</v>
      </c>
      <c r="Q19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90" s="190">
        <f>VLOOKUP(DEF[[#This Row],[CEDULA]],DATOS[],9,0)</f>
        <v>0</v>
      </c>
    </row>
    <row r="191" spans="1:18" hidden="1" x14ac:dyDescent="0.25">
      <c r="A191" s="183">
        <v>6893084</v>
      </c>
      <c r="B191" s="184" t="str">
        <f>IFERROR(IF(DEF[[#This Row],[OTRO PAGO]]=0,VLOOKUP(DEF[[#This Row],[CEDULA]],DATOS[],2,0),""),"")</f>
        <v/>
      </c>
      <c r="C191" s="184" t="str">
        <f>IFERROR(VLOOKUP(DEF[[#This Row],[CEDULA]],DATOS[],5,0),"")</f>
        <v/>
      </c>
      <c r="D191" s="185" t="s">
        <v>862</v>
      </c>
      <c r="E191" s="186" t="str">
        <f>IFERROR(VLOOKUP(DEF[[#This Row],[CEDULA]],NCH!$B$7:$AU$229,10,0),"")</f>
        <v/>
      </c>
      <c r="F191" s="186" t="str">
        <f>IFERROR(VLOOKUP(DEF[[#This Row],[CEDULA]],NCH!$B$7:$AU$229,16,0),"")</f>
        <v/>
      </c>
      <c r="G191" s="186" t="str">
        <f>IFERROR(VLOOKUP(DEF[[#This Row],[CEDULA]],NCH!$B$7:$AU$229,22,0),"")</f>
        <v/>
      </c>
      <c r="H191" s="186" t="str">
        <f>IFERROR(VLOOKUP(DEF[[#This Row],[CEDULA]],NCH!$B$7:$AU$229,28,0),"")</f>
        <v/>
      </c>
      <c r="I191" s="186" t="str">
        <f>IFERROR(VLOOKUP(DEF[[#This Row],[CEDULA]],NCH!$B$7:$AU$229,34,0),"")</f>
        <v/>
      </c>
      <c r="J191" s="186" t="str">
        <f>IFERROR(VLOOKUP(DEF[[#This Row],[CEDULA]],NCH!$B$7:$AU$229,40,0),"")</f>
        <v/>
      </c>
      <c r="K191" s="186" t="str">
        <f>IFERROR(VLOOKUP(DEF[[#This Row],[CEDULA]],NCH!$B$7:$AU$229,46,0),"")</f>
        <v/>
      </c>
      <c r="L191" s="186" t="str">
        <f>IFERROR(VLOOKUP(DEF[CEDULA],METAS[],13,0),"")</f>
        <v/>
      </c>
      <c r="M191" s="187">
        <f>SUM(DEF[[#This Row],[L]:[V]])</f>
        <v>0</v>
      </c>
      <c r="N191" s="188">
        <f>SUM(DEF[[#This Row],[S]:[D]])</f>
        <v>0</v>
      </c>
      <c r="O191" s="188">
        <f>DEF[[#This Row],[TOTAL METAS L-V]]+DEF[[#This Row],[TOTAL METAS S-D-F]]</f>
        <v>0</v>
      </c>
      <c r="P191" s="188" t="e">
        <f>VLOOKUP(DEF[[#This Row],[CEDULA]],METAS[],17,0)</f>
        <v>#N/A</v>
      </c>
      <c r="Q19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91" s="190" t="e">
        <f>VLOOKUP(DEF[[#This Row],[CEDULA]],DATOS[],9,0)</f>
        <v>#N/A</v>
      </c>
    </row>
    <row r="192" spans="1:18" hidden="1" x14ac:dyDescent="0.25">
      <c r="A192" s="183">
        <v>6040404</v>
      </c>
      <c r="B192" s="184" t="str">
        <f>IFERROR(IF(DEF[[#This Row],[OTRO PAGO]]=0,VLOOKUP(DEF[[#This Row],[CEDULA]],DATOS[],2,0),""),"")</f>
        <v>CRISTANCHO CIRO</v>
      </c>
      <c r="C192" s="184" t="str">
        <f>IFERROR(VLOOKUP(DEF[[#This Row],[CEDULA]],DATOS[],5,0),"")</f>
        <v>OBRERO</v>
      </c>
      <c r="D192" s="185" t="s">
        <v>862</v>
      </c>
      <c r="E192" s="186" t="str">
        <f>IFERROR(VLOOKUP(DEF[[#This Row],[CEDULA]],NCH!$B$7:$AU$229,10,0),"")</f>
        <v>No realizo Metas</v>
      </c>
      <c r="F192" s="186" t="str">
        <f>IFERROR(VLOOKUP(DEF[[#This Row],[CEDULA]],NCH!$B$7:$AU$229,16,0),"")</f>
        <v>No realizo Metas</v>
      </c>
      <c r="G192" s="186" t="str">
        <f>IFERROR(VLOOKUP(DEF[[#This Row],[CEDULA]],NCH!$B$7:$AU$229,22,0),"")</f>
        <v>No cumple H</v>
      </c>
      <c r="H192" s="186" t="str">
        <f>IFERROR(VLOOKUP(DEF[[#This Row],[CEDULA]],NCH!$B$7:$AU$229,28,0),"")</f>
        <v>No cumple H</v>
      </c>
      <c r="I192" s="186" t="str">
        <f>IFERROR(VLOOKUP(DEF[[#This Row],[CEDULA]],NCH!$B$7:$AU$229,34,0),"")</f>
        <v>No cumple H</v>
      </c>
      <c r="J192" s="186" t="str">
        <f>IFERROR(VLOOKUP(DEF[[#This Row],[CEDULA]],NCH!$B$7:$AU$229,40,0),"")</f>
        <v>No cumple H</v>
      </c>
      <c r="K192" s="186" t="str">
        <f>IFERROR(VLOOKUP(DEF[[#This Row],[CEDULA]],NCH!$B$7:$AU$229,46,0),"")</f>
        <v>No cumple H</v>
      </c>
      <c r="L192" s="186">
        <f>IFERROR(VLOOKUP(DEF[CEDULA],METAS[],13,0),"")</f>
        <v>0</v>
      </c>
      <c r="M192" s="187">
        <f>SUM(DEF[[#This Row],[L]:[V]])</f>
        <v>0</v>
      </c>
      <c r="N192" s="188">
        <f>SUM(DEF[[#This Row],[S]:[D]])</f>
        <v>0</v>
      </c>
      <c r="O192" s="188">
        <f>DEF[[#This Row],[TOTAL METAS L-V]]+DEF[[#This Row],[TOTAL METAS S-D-F]]</f>
        <v>0</v>
      </c>
      <c r="P192" s="188">
        <f>VLOOKUP(DEF[[#This Row],[CEDULA]],METAS[],17,0)</f>
        <v>0</v>
      </c>
      <c r="Q19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92" s="190">
        <f>VLOOKUP(DEF[[#This Row],[CEDULA]],DATOS[],9,0)</f>
        <v>0</v>
      </c>
    </row>
    <row r="193" spans="1:18" hidden="1" x14ac:dyDescent="0.25">
      <c r="A193" s="183">
        <v>3524735</v>
      </c>
      <c r="B193" s="184" t="str">
        <f>IFERROR(IF(DEF[[#This Row],[OTRO PAGO]]=0,VLOOKUP(DEF[[#This Row],[CEDULA]],DATOS[],2,0),""),"")</f>
        <v>BASTIDAS JOSE</v>
      </c>
      <c r="C193" s="184" t="str">
        <f>IFERROR(VLOOKUP(DEF[[#This Row],[CEDULA]],DATOS[],5,0),"")</f>
        <v>SUPERVISORIO</v>
      </c>
      <c r="D193" s="185" t="s">
        <v>862</v>
      </c>
      <c r="E193" s="186" t="str">
        <f>IFERROR(VLOOKUP(DEF[[#This Row],[CEDULA]],NCH!$B$7:$AU$229,10,0),"")</f>
        <v>No cumple H</v>
      </c>
      <c r="F193" s="186" t="str">
        <f>IFERROR(VLOOKUP(DEF[[#This Row],[CEDULA]],NCH!$B$7:$AU$229,16,0),"")</f>
        <v>No cumple H</v>
      </c>
      <c r="G193" s="186" t="str">
        <f>IFERROR(VLOOKUP(DEF[[#This Row],[CEDULA]],NCH!$B$7:$AU$229,22,0),"")</f>
        <v>No cumple H</v>
      </c>
      <c r="H193" s="186" t="str">
        <f>IFERROR(VLOOKUP(DEF[[#This Row],[CEDULA]],NCH!$B$7:$AU$229,28,0),"")</f>
        <v>No cumple H</v>
      </c>
      <c r="I193" s="186" t="str">
        <f>IFERROR(VLOOKUP(DEF[[#This Row],[CEDULA]],NCH!$B$7:$AU$229,34,0),"")</f>
        <v>No cumple H</v>
      </c>
      <c r="J193" s="186" t="str">
        <f>IFERROR(VLOOKUP(DEF[[#This Row],[CEDULA]],NCH!$B$7:$AU$229,40,0),"")</f>
        <v>No cumple H</v>
      </c>
      <c r="K193" s="186" t="str">
        <f>IFERROR(VLOOKUP(DEF[[#This Row],[CEDULA]],NCH!$B$7:$AU$229,46,0),"")</f>
        <v>No cumple H</v>
      </c>
      <c r="L193" s="186">
        <f>IFERROR(VLOOKUP(DEF[CEDULA],METAS[],13,0),"")</f>
        <v>0</v>
      </c>
      <c r="M193" s="187">
        <f>SUM(DEF[[#This Row],[L]:[V]])</f>
        <v>0</v>
      </c>
      <c r="N193" s="188">
        <f>SUM(DEF[[#This Row],[S]:[D]])</f>
        <v>0</v>
      </c>
      <c r="O193" s="188">
        <f>DEF[[#This Row],[TOTAL METAS L-V]]+DEF[[#This Row],[TOTAL METAS S-D-F]]</f>
        <v>0</v>
      </c>
      <c r="P193" s="188">
        <f>VLOOKUP(DEF[[#This Row],[CEDULA]],METAS[],17,0)</f>
        <v>0</v>
      </c>
      <c r="Q19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93" s="190">
        <f>VLOOKUP(DEF[[#This Row],[CEDULA]],DATOS[],9,0)</f>
        <v>0</v>
      </c>
    </row>
    <row r="194" spans="1:18" hidden="1" x14ac:dyDescent="0.25">
      <c r="A194" s="183">
        <v>6826775</v>
      </c>
      <c r="B194" s="184" t="str">
        <f>IFERROR(IF(DEF[[#This Row],[OTRO PAGO]]=0,VLOOKUP(DEF[[#This Row],[CEDULA]],DATOS[],2,0),""),"")</f>
        <v>GONZALEZ CARLOS</v>
      </c>
      <c r="C194" s="184" t="str">
        <f>IFERROR(VLOOKUP(DEF[[#This Row],[CEDULA]],DATOS[],5,0),"")</f>
        <v>OBRERO</v>
      </c>
      <c r="D194" s="185" t="s">
        <v>862</v>
      </c>
      <c r="E194" s="186" t="str">
        <f>IFERROR(VLOOKUP(DEF[[#This Row],[CEDULA]],NCH!$B$7:$AU$229,10,0),"")</f>
        <v>No cumple H</v>
      </c>
      <c r="F194" s="186" t="str">
        <f>IFERROR(VLOOKUP(DEF[[#This Row],[CEDULA]],NCH!$B$7:$AU$229,16,0),"")</f>
        <v>Horario Metas</v>
      </c>
      <c r="G194" s="186" t="str">
        <f>IFERROR(VLOOKUP(DEF[[#This Row],[CEDULA]],NCH!$B$7:$AU$229,22,0),"")</f>
        <v>No realizo Metas</v>
      </c>
      <c r="H194" s="186" t="str">
        <f>IFERROR(VLOOKUP(DEF[[#This Row],[CEDULA]],NCH!$B$7:$AU$229,28,0),"")</f>
        <v>No cumple H</v>
      </c>
      <c r="I194" s="186" t="str">
        <f>IFERROR(VLOOKUP(DEF[[#This Row],[CEDULA]],NCH!$B$7:$AU$229,34,0),"")</f>
        <v>No cumple H</v>
      </c>
      <c r="J194" s="186" t="str">
        <f>IFERROR(VLOOKUP(DEF[[#This Row],[CEDULA]],NCH!$B$7:$AU$229,40,0),"")</f>
        <v>Horario Metas</v>
      </c>
      <c r="K194" s="186" t="str">
        <f>IFERROR(VLOOKUP(DEF[[#This Row],[CEDULA]],NCH!$B$7:$AU$229,46,0),"")</f>
        <v>No realizo Metas</v>
      </c>
      <c r="L194" s="186">
        <f>IFERROR(VLOOKUP(DEF[CEDULA],METAS[],13,0),"")</f>
        <v>0</v>
      </c>
      <c r="M194" s="187">
        <f>SUM(DEF[[#This Row],[L]:[V]])</f>
        <v>0</v>
      </c>
      <c r="N194" s="188">
        <f>SUM(DEF[[#This Row],[S]:[D]])</f>
        <v>0</v>
      </c>
      <c r="O194" s="188">
        <f>DEF[[#This Row],[TOTAL METAS L-V]]+DEF[[#This Row],[TOTAL METAS S-D-F]]</f>
        <v>0</v>
      </c>
      <c r="P194" s="188">
        <f>VLOOKUP(DEF[[#This Row],[CEDULA]],METAS[],17,0)</f>
        <v>0</v>
      </c>
      <c r="Q19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94" s="190">
        <f>VLOOKUP(DEF[[#This Row],[CEDULA]],DATOS[],9,0)</f>
        <v>0</v>
      </c>
    </row>
    <row r="195" spans="1:18" hidden="1" x14ac:dyDescent="0.25">
      <c r="A195" s="183">
        <v>11405463</v>
      </c>
      <c r="B195" s="184" t="str">
        <f>IFERROR(IF(DEF[[#This Row],[OTRO PAGO]]=0,VLOOKUP(DEF[[#This Row],[CEDULA]],DATOS[],2,0),""),"")</f>
        <v>RONDON GREGORIO</v>
      </c>
      <c r="C195" s="184" t="str">
        <f>IFERROR(VLOOKUP(DEF[[#This Row],[CEDULA]],DATOS[],5,0),"")</f>
        <v>OBRERO</v>
      </c>
      <c r="D195" s="185" t="s">
        <v>862</v>
      </c>
      <c r="E195" s="186" t="str">
        <f>IFERROR(VLOOKUP(DEF[[#This Row],[CEDULA]],NCH!$B$7:$AU$229,10,0),"")</f>
        <v/>
      </c>
      <c r="F195" s="186" t="str">
        <f>IFERROR(VLOOKUP(DEF[[#This Row],[CEDULA]],NCH!$B$7:$AU$229,16,0),"")</f>
        <v/>
      </c>
      <c r="G195" s="186" t="str">
        <f>IFERROR(VLOOKUP(DEF[[#This Row],[CEDULA]],NCH!$B$7:$AU$229,22,0),"")</f>
        <v/>
      </c>
      <c r="H195" s="186" t="str">
        <f>IFERROR(VLOOKUP(DEF[[#This Row],[CEDULA]],NCH!$B$7:$AU$229,28,0),"")</f>
        <v/>
      </c>
      <c r="I195" s="186" t="str">
        <f>IFERROR(VLOOKUP(DEF[[#This Row],[CEDULA]],NCH!$B$7:$AU$229,34,0),"")</f>
        <v/>
      </c>
      <c r="J195" s="186" t="str">
        <f>IFERROR(VLOOKUP(DEF[[#This Row],[CEDULA]],NCH!$B$7:$AU$229,40,0),"")</f>
        <v/>
      </c>
      <c r="K195" s="186" t="str">
        <f>IFERROR(VLOOKUP(DEF[[#This Row],[CEDULA]],NCH!$B$7:$AU$229,46,0),"")</f>
        <v/>
      </c>
      <c r="L195" s="186" t="str">
        <f>IFERROR(VLOOKUP(DEF[CEDULA],METAS[],13,0),"")</f>
        <v/>
      </c>
      <c r="M195" s="187">
        <f>SUM(DEF[[#This Row],[L]:[V]])</f>
        <v>0</v>
      </c>
      <c r="N195" s="188">
        <f>SUM(DEF[[#This Row],[S]:[D]])</f>
        <v>0</v>
      </c>
      <c r="O195" s="188">
        <f>DEF[[#This Row],[TOTAL METAS L-V]]+DEF[[#This Row],[TOTAL METAS S-D-F]]</f>
        <v>0</v>
      </c>
      <c r="P195" s="188" t="e">
        <f>VLOOKUP(DEF[[#This Row],[CEDULA]],METAS[],17,0)</f>
        <v>#N/A</v>
      </c>
      <c r="Q19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95" s="190">
        <f>VLOOKUP(DEF[[#This Row],[CEDULA]],DATOS[],9,0)</f>
        <v>0</v>
      </c>
    </row>
    <row r="196" spans="1:18" hidden="1" x14ac:dyDescent="0.25">
      <c r="A196" s="183">
        <v>9062557</v>
      </c>
      <c r="B196" s="184" t="str">
        <f>IFERROR(IF(DEF[[#This Row],[OTRO PAGO]]=0,VLOOKUP(DEF[[#This Row],[CEDULA]],DATOS[],2,0),""),"")</f>
        <v>GOMEZ SILFREDO</v>
      </c>
      <c r="C196" s="184" t="str">
        <f>IFERROR(VLOOKUP(DEF[[#This Row],[CEDULA]],DATOS[],5,0),"")</f>
        <v>SUPERVISORIO</v>
      </c>
      <c r="D196" s="185" t="s">
        <v>862</v>
      </c>
      <c r="E196" s="186" t="str">
        <f>IFERROR(VLOOKUP(DEF[[#This Row],[CEDULA]],NCH!$B$7:$AU$229,10,0),"")</f>
        <v>No cumple H</v>
      </c>
      <c r="F196" s="186" t="str">
        <f>IFERROR(VLOOKUP(DEF[[#This Row],[CEDULA]],NCH!$B$7:$AU$229,16,0),"")</f>
        <v>No cumple H</v>
      </c>
      <c r="G196" s="186" t="str">
        <f>IFERROR(VLOOKUP(DEF[[#This Row],[CEDULA]],NCH!$B$7:$AU$229,22,0),"")</f>
        <v>No cumple H</v>
      </c>
      <c r="H196" s="186" t="str">
        <f>IFERROR(VLOOKUP(DEF[[#This Row],[CEDULA]],NCH!$B$7:$AU$229,28,0),"")</f>
        <v>No cumple H</v>
      </c>
      <c r="I196" s="186" t="str">
        <f>IFERROR(VLOOKUP(DEF[[#This Row],[CEDULA]],NCH!$B$7:$AU$229,34,0),"")</f>
        <v>No cumple H</v>
      </c>
      <c r="J196" s="186" t="str">
        <f>IFERROR(VLOOKUP(DEF[[#This Row],[CEDULA]],NCH!$B$7:$AU$229,40,0),"")</f>
        <v>No cumple H</v>
      </c>
      <c r="K196" s="186" t="str">
        <f>IFERROR(VLOOKUP(DEF[[#This Row],[CEDULA]],NCH!$B$7:$AU$229,46,0),"")</f>
        <v>No cumple H</v>
      </c>
      <c r="L196" s="186">
        <f>IFERROR(VLOOKUP(DEF[CEDULA],METAS[],13,0),"")</f>
        <v>0</v>
      </c>
      <c r="M196" s="187">
        <f>SUM(DEF[[#This Row],[L]:[V]])</f>
        <v>0</v>
      </c>
      <c r="N196" s="188">
        <f>SUM(DEF[[#This Row],[S]:[D]])</f>
        <v>0</v>
      </c>
      <c r="O196" s="188">
        <f>DEF[[#This Row],[TOTAL METAS L-V]]+DEF[[#This Row],[TOTAL METAS S-D-F]]</f>
        <v>0</v>
      </c>
      <c r="P196" s="188">
        <f>VLOOKUP(DEF[[#This Row],[CEDULA]],METAS[],17,0)</f>
        <v>0</v>
      </c>
      <c r="Q19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96" s="190">
        <f>VLOOKUP(DEF[[#This Row],[CEDULA]],DATOS[],9,0)</f>
        <v>0</v>
      </c>
    </row>
    <row r="197" spans="1:18" hidden="1" x14ac:dyDescent="0.25">
      <c r="A197" s="183">
        <v>17927965</v>
      </c>
      <c r="B197" s="184" t="str">
        <f>IFERROR(IF(DEF[[#This Row],[OTRO PAGO]]=0,VLOOKUP(DEF[[#This Row],[CEDULA]],DATOS[],2,0),""),"")</f>
        <v>PEREZ YAJAIRA</v>
      </c>
      <c r="C197" s="184" t="str">
        <f>IFERROR(VLOOKUP(DEF[[#This Row],[CEDULA]],DATOS[],5,0),"")</f>
        <v>OBRERO</v>
      </c>
      <c r="D197" s="185" t="s">
        <v>862</v>
      </c>
      <c r="E197" s="186" t="str">
        <f>IFERROR(VLOOKUP(DEF[[#This Row],[CEDULA]],NCH!$B$7:$AU$229,10,0),"")</f>
        <v/>
      </c>
      <c r="F197" s="186" t="str">
        <f>IFERROR(VLOOKUP(DEF[[#This Row],[CEDULA]],NCH!$B$7:$AU$229,16,0),"")</f>
        <v/>
      </c>
      <c r="G197" s="186" t="str">
        <f>IFERROR(VLOOKUP(DEF[[#This Row],[CEDULA]],NCH!$B$7:$AU$229,22,0),"")</f>
        <v/>
      </c>
      <c r="H197" s="186" t="str">
        <f>IFERROR(VLOOKUP(DEF[[#This Row],[CEDULA]],NCH!$B$7:$AU$229,28,0),"")</f>
        <v/>
      </c>
      <c r="I197" s="186" t="str">
        <f>IFERROR(VLOOKUP(DEF[[#This Row],[CEDULA]],NCH!$B$7:$AU$229,34,0),"")</f>
        <v/>
      </c>
      <c r="J197" s="186" t="str">
        <f>IFERROR(VLOOKUP(DEF[[#This Row],[CEDULA]],NCH!$B$7:$AU$229,40,0),"")</f>
        <v/>
      </c>
      <c r="K197" s="186" t="str">
        <f>IFERROR(VLOOKUP(DEF[[#This Row],[CEDULA]],NCH!$B$7:$AU$229,46,0),"")</f>
        <v/>
      </c>
      <c r="L197" s="186" t="str">
        <f>IFERROR(VLOOKUP(DEF[CEDULA],METAS[],13,0),"")</f>
        <v/>
      </c>
      <c r="M197" s="187">
        <f>SUM(DEF[[#This Row],[L]:[V]])</f>
        <v>0</v>
      </c>
      <c r="N197" s="188">
        <f>SUM(DEF[[#This Row],[S]:[D]])</f>
        <v>0</v>
      </c>
      <c r="O197" s="188">
        <f>DEF[[#This Row],[TOTAL METAS L-V]]+DEF[[#This Row],[TOTAL METAS S-D-F]]</f>
        <v>0</v>
      </c>
      <c r="P197" s="188" t="e">
        <f>VLOOKUP(DEF[[#This Row],[CEDULA]],METAS[],17,0)</f>
        <v>#N/A</v>
      </c>
      <c r="Q19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97" s="190">
        <f>VLOOKUP(DEF[[#This Row],[CEDULA]],DATOS[],9,0)</f>
        <v>0</v>
      </c>
    </row>
    <row r="198" spans="1:18" hidden="1" x14ac:dyDescent="0.25">
      <c r="A198" s="183">
        <v>6853103</v>
      </c>
      <c r="B198" s="184" t="str">
        <f>IFERROR(IF(DEF[[#This Row],[OTRO PAGO]]=0,VLOOKUP(DEF[[#This Row],[CEDULA]],DATOS[],2,0),""),"")</f>
        <v>PEREIRA RAMON</v>
      </c>
      <c r="C198" s="184" t="str">
        <f>IFERROR(VLOOKUP(DEF[[#This Row],[CEDULA]],DATOS[],5,0),"")</f>
        <v>OBRERO</v>
      </c>
      <c r="D198" s="185" t="s">
        <v>862</v>
      </c>
      <c r="E198" s="186" t="str">
        <f>IFERROR(VLOOKUP(DEF[[#This Row],[CEDULA]],NCH!$B$7:$AU$229,10,0),"")</f>
        <v>No cumple H</v>
      </c>
      <c r="F198" s="186" t="str">
        <f>IFERROR(VLOOKUP(DEF[[#This Row],[CEDULA]],NCH!$B$7:$AU$229,16,0),"")</f>
        <v>No cumple H</v>
      </c>
      <c r="G198" s="186" t="str">
        <f>IFERROR(VLOOKUP(DEF[[#This Row],[CEDULA]],NCH!$B$7:$AU$229,22,0),"")</f>
        <v>No cumple H</v>
      </c>
      <c r="H198" s="186" t="str">
        <f>IFERROR(VLOOKUP(DEF[[#This Row],[CEDULA]],NCH!$B$7:$AU$229,28,0),"")</f>
        <v>No cumple H</v>
      </c>
      <c r="I198" s="186" t="str">
        <f>IFERROR(VLOOKUP(DEF[[#This Row],[CEDULA]],NCH!$B$7:$AU$229,34,0),"")</f>
        <v>No cumple H</v>
      </c>
      <c r="J198" s="186" t="str">
        <f>IFERROR(VLOOKUP(DEF[[#This Row],[CEDULA]],NCH!$B$7:$AU$229,40,0),"")</f>
        <v>No realizo Metas</v>
      </c>
      <c r="K198" s="186" t="str">
        <f>IFERROR(VLOOKUP(DEF[[#This Row],[CEDULA]],NCH!$B$7:$AU$229,46,0),"")</f>
        <v>No cumple H</v>
      </c>
      <c r="L198" s="186">
        <f>IFERROR(VLOOKUP(DEF[CEDULA],METAS[],13,0),"")</f>
        <v>0</v>
      </c>
      <c r="M198" s="187">
        <f>SUM(DEF[[#This Row],[L]:[V]])</f>
        <v>0</v>
      </c>
      <c r="N198" s="188">
        <f>SUM(DEF[[#This Row],[S]:[D]])</f>
        <v>0</v>
      </c>
      <c r="O198" s="188">
        <f>DEF[[#This Row],[TOTAL METAS L-V]]+DEF[[#This Row],[TOTAL METAS S-D-F]]</f>
        <v>0</v>
      </c>
      <c r="P198" s="188">
        <f>VLOOKUP(DEF[[#This Row],[CEDULA]],METAS[],17,0)</f>
        <v>0</v>
      </c>
      <c r="Q19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98" s="190">
        <f>VLOOKUP(DEF[[#This Row],[CEDULA]],DATOS[],9,0)</f>
        <v>0</v>
      </c>
    </row>
    <row r="199" spans="1:18" hidden="1" x14ac:dyDescent="0.25">
      <c r="A199" s="183">
        <v>6435695</v>
      </c>
      <c r="B199" s="184" t="str">
        <f>IFERROR(IF(DEF[[#This Row],[OTRO PAGO]]=0,VLOOKUP(DEF[[#This Row],[CEDULA]],DATOS[],2,0),""),"")</f>
        <v>OCHOA LUIS</v>
      </c>
      <c r="C199" s="184" t="str">
        <f>IFERROR(VLOOKUP(DEF[[#This Row],[CEDULA]],DATOS[],5,0),"")</f>
        <v>OBRERO</v>
      </c>
      <c r="D199" s="185" t="s">
        <v>862</v>
      </c>
      <c r="E199" s="186" t="str">
        <f>IFERROR(VLOOKUP(DEF[[#This Row],[CEDULA]],NCH!$B$7:$AU$229,10,0),"")</f>
        <v/>
      </c>
      <c r="F199" s="186" t="str">
        <f>IFERROR(VLOOKUP(DEF[[#This Row],[CEDULA]],NCH!$B$7:$AU$229,16,0),"")</f>
        <v/>
      </c>
      <c r="G199" s="186" t="str">
        <f>IFERROR(VLOOKUP(DEF[[#This Row],[CEDULA]],NCH!$B$7:$AU$229,22,0),"")</f>
        <v/>
      </c>
      <c r="H199" s="186" t="str">
        <f>IFERROR(VLOOKUP(DEF[[#This Row],[CEDULA]],NCH!$B$7:$AU$229,28,0),"")</f>
        <v/>
      </c>
      <c r="I199" s="186" t="str">
        <f>IFERROR(VLOOKUP(DEF[[#This Row],[CEDULA]],NCH!$B$7:$AU$229,34,0),"")</f>
        <v/>
      </c>
      <c r="J199" s="186" t="str">
        <f>IFERROR(VLOOKUP(DEF[[#This Row],[CEDULA]],NCH!$B$7:$AU$229,40,0),"")</f>
        <v/>
      </c>
      <c r="K199" s="186" t="str">
        <f>IFERROR(VLOOKUP(DEF[[#This Row],[CEDULA]],NCH!$B$7:$AU$229,46,0),"")</f>
        <v/>
      </c>
      <c r="L199" s="186" t="str">
        <f>IFERROR(VLOOKUP(DEF[CEDULA],METAS[],13,0),"")</f>
        <v/>
      </c>
      <c r="M199" s="187">
        <f>SUM(DEF[[#This Row],[L]:[V]])</f>
        <v>0</v>
      </c>
      <c r="N199" s="188">
        <f>SUM(DEF[[#This Row],[S]:[D]])</f>
        <v>0</v>
      </c>
      <c r="O199" s="188">
        <f>DEF[[#This Row],[TOTAL METAS L-V]]+DEF[[#This Row],[TOTAL METAS S-D-F]]</f>
        <v>0</v>
      </c>
      <c r="P199" s="188" t="e">
        <f>VLOOKUP(DEF[[#This Row],[CEDULA]],METAS[],17,0)</f>
        <v>#N/A</v>
      </c>
      <c r="Q19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199" s="190">
        <f>VLOOKUP(DEF[[#This Row],[CEDULA]],DATOS[],9,0)</f>
        <v>0</v>
      </c>
    </row>
    <row r="200" spans="1:18" hidden="1" x14ac:dyDescent="0.25">
      <c r="A200" s="183">
        <v>13537176</v>
      </c>
      <c r="B200" s="184" t="str">
        <f>IFERROR(IF(DEF[[#This Row],[OTRO PAGO]]=0,VLOOKUP(DEF[[#This Row],[CEDULA]],DATOS[],2,0),""),"")</f>
        <v>SERRANO GIORGI</v>
      </c>
      <c r="C200" s="184" t="str">
        <f>IFERROR(VLOOKUP(DEF[[#This Row],[CEDULA]],DATOS[],5,0),"")</f>
        <v>SUPERVISORIO</v>
      </c>
      <c r="D200" s="185" t="s">
        <v>862</v>
      </c>
      <c r="E200" s="186" t="str">
        <f>IFERROR(VLOOKUP(DEF[[#This Row],[CEDULA]],NCH!$B$7:$AU$229,10,0),"")</f>
        <v>No cumple H</v>
      </c>
      <c r="F200" s="186" t="str">
        <f>IFERROR(VLOOKUP(DEF[[#This Row],[CEDULA]],NCH!$B$7:$AU$229,16,0),"")</f>
        <v>No cumple H</v>
      </c>
      <c r="G200" s="186" t="str">
        <f>IFERROR(VLOOKUP(DEF[[#This Row],[CEDULA]],NCH!$B$7:$AU$229,22,0),"")</f>
        <v>No cumple H</v>
      </c>
      <c r="H200" s="186" t="str">
        <f>IFERROR(VLOOKUP(DEF[[#This Row],[CEDULA]],NCH!$B$7:$AU$229,28,0),"")</f>
        <v>No cumple H</v>
      </c>
      <c r="I200" s="186" t="str">
        <f>IFERROR(VLOOKUP(DEF[[#This Row],[CEDULA]],NCH!$B$7:$AU$229,34,0),"")</f>
        <v>No cumple H</v>
      </c>
      <c r="J200" s="186" t="str">
        <f>IFERROR(VLOOKUP(DEF[[#This Row],[CEDULA]],NCH!$B$7:$AU$229,40,0),"")</f>
        <v>No cumple H</v>
      </c>
      <c r="K200" s="186" t="str">
        <f>IFERROR(VLOOKUP(DEF[[#This Row],[CEDULA]],NCH!$B$7:$AU$229,46,0),"")</f>
        <v>No cumple H</v>
      </c>
      <c r="L200" s="186">
        <f>IFERROR(VLOOKUP(DEF[CEDULA],METAS[],13,0),"")</f>
        <v>0</v>
      </c>
      <c r="M200" s="187">
        <f>SUM(DEF[[#This Row],[L]:[V]])</f>
        <v>0</v>
      </c>
      <c r="N200" s="188">
        <f>SUM(DEF[[#This Row],[S]:[D]])</f>
        <v>0</v>
      </c>
      <c r="O200" s="188">
        <f>DEF[[#This Row],[TOTAL METAS L-V]]+DEF[[#This Row],[TOTAL METAS S-D-F]]</f>
        <v>0</v>
      </c>
      <c r="P200" s="188">
        <f>VLOOKUP(DEF[[#This Row],[CEDULA]],METAS[],17,0)</f>
        <v>0</v>
      </c>
      <c r="Q20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00" s="190">
        <f>VLOOKUP(DEF[[#This Row],[CEDULA]],DATOS[],9,0)</f>
        <v>0</v>
      </c>
    </row>
    <row r="201" spans="1:18" hidden="1" x14ac:dyDescent="0.25">
      <c r="A201" s="183">
        <v>6857823</v>
      </c>
      <c r="B201" s="184" t="str">
        <f>IFERROR(IF(DEF[[#This Row],[OTRO PAGO]]=0,VLOOKUP(DEF[[#This Row],[CEDULA]],DATOS[],2,0),""),"")</f>
        <v>GODOY RAFAEL</v>
      </c>
      <c r="C201" s="184" t="str">
        <f>IFERROR(VLOOKUP(DEF[[#This Row],[CEDULA]],DATOS[],5,0),"")</f>
        <v>SUPERVISORIO</v>
      </c>
      <c r="D201" s="185" t="s">
        <v>862</v>
      </c>
      <c r="E201" s="186" t="str">
        <f>IFERROR(VLOOKUP(DEF[[#This Row],[CEDULA]],NCH!$B$7:$AU$229,10,0),"")</f>
        <v>Horario Metas</v>
      </c>
      <c r="F201" s="186" t="str">
        <f>IFERROR(VLOOKUP(DEF[[#This Row],[CEDULA]],NCH!$B$7:$AU$229,16,0),"")</f>
        <v>Horario Metas</v>
      </c>
      <c r="G201" s="186" t="str">
        <f>IFERROR(VLOOKUP(DEF[[#This Row],[CEDULA]],NCH!$B$7:$AU$229,22,0),"")</f>
        <v>No cumple H</v>
      </c>
      <c r="H201" s="186" t="str">
        <f>IFERROR(VLOOKUP(DEF[[#This Row],[CEDULA]],NCH!$B$7:$AU$229,28,0),"")</f>
        <v>No cumple H</v>
      </c>
      <c r="I201" s="186" t="str">
        <f>IFERROR(VLOOKUP(DEF[[#This Row],[CEDULA]],NCH!$B$7:$AU$229,34,0),"")</f>
        <v>No cumple H</v>
      </c>
      <c r="J201" s="186" t="str">
        <f>IFERROR(VLOOKUP(DEF[[#This Row],[CEDULA]],NCH!$B$7:$AU$229,40,0),"")</f>
        <v>No cumple H</v>
      </c>
      <c r="K201" s="186" t="str">
        <f>IFERROR(VLOOKUP(DEF[[#This Row],[CEDULA]],NCH!$B$7:$AU$229,46,0),"")</f>
        <v>No cumple H</v>
      </c>
      <c r="L201" s="186">
        <f>IFERROR(VLOOKUP(DEF[CEDULA],METAS[],13,0),"")</f>
        <v>0</v>
      </c>
      <c r="M201" s="187">
        <f>SUM(DEF[[#This Row],[L]:[V]])</f>
        <v>0</v>
      </c>
      <c r="N201" s="188">
        <f>SUM(DEF[[#This Row],[S]:[D]])</f>
        <v>0</v>
      </c>
      <c r="O201" s="188">
        <f>DEF[[#This Row],[TOTAL METAS L-V]]+DEF[[#This Row],[TOTAL METAS S-D-F]]</f>
        <v>0</v>
      </c>
      <c r="P201" s="188">
        <f>VLOOKUP(DEF[[#This Row],[CEDULA]],METAS[],17,0)</f>
        <v>0</v>
      </c>
      <c r="Q20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01" s="190">
        <f>VLOOKUP(DEF[[#This Row],[CEDULA]],DATOS[],9,0)</f>
        <v>0</v>
      </c>
    </row>
    <row r="202" spans="1:18" hidden="1" x14ac:dyDescent="0.25">
      <c r="A202" s="183">
        <v>6435693</v>
      </c>
      <c r="B202" s="184" t="str">
        <f>IFERROR(IF(DEF[[#This Row],[OTRO PAGO]]=0,VLOOKUP(DEF[[#This Row],[CEDULA]],DATOS[],2,0),""),"")</f>
        <v>OCHOA ANTONIO</v>
      </c>
      <c r="C202" s="184" t="str">
        <f>IFERROR(VLOOKUP(DEF[[#This Row],[CEDULA]],DATOS[],5,0),"")</f>
        <v>OBRERO</v>
      </c>
      <c r="D202" s="185" t="s">
        <v>862</v>
      </c>
      <c r="E202" s="186" t="str">
        <f>IFERROR(VLOOKUP(DEF[[#This Row],[CEDULA]],NCH!$B$7:$AU$229,10,0),"")</f>
        <v/>
      </c>
      <c r="F202" s="186" t="str">
        <f>IFERROR(VLOOKUP(DEF[[#This Row],[CEDULA]],NCH!$B$7:$AU$229,16,0),"")</f>
        <v/>
      </c>
      <c r="G202" s="186" t="str">
        <f>IFERROR(VLOOKUP(DEF[[#This Row],[CEDULA]],NCH!$B$7:$AU$229,22,0),"")</f>
        <v/>
      </c>
      <c r="H202" s="186" t="str">
        <f>IFERROR(VLOOKUP(DEF[[#This Row],[CEDULA]],NCH!$B$7:$AU$229,28,0),"")</f>
        <v/>
      </c>
      <c r="I202" s="186" t="str">
        <f>IFERROR(VLOOKUP(DEF[[#This Row],[CEDULA]],NCH!$B$7:$AU$229,34,0),"")</f>
        <v/>
      </c>
      <c r="J202" s="186" t="str">
        <f>IFERROR(VLOOKUP(DEF[[#This Row],[CEDULA]],NCH!$B$7:$AU$229,40,0),"")</f>
        <v/>
      </c>
      <c r="K202" s="186" t="str">
        <f>IFERROR(VLOOKUP(DEF[[#This Row],[CEDULA]],NCH!$B$7:$AU$229,46,0),"")</f>
        <v/>
      </c>
      <c r="L202" s="186" t="str">
        <f>IFERROR(VLOOKUP(DEF[CEDULA],METAS[],13,0),"")</f>
        <v/>
      </c>
      <c r="M202" s="187">
        <f>SUM(DEF[[#This Row],[L]:[V]])</f>
        <v>0</v>
      </c>
      <c r="N202" s="188">
        <f>SUM(DEF[[#This Row],[S]:[D]])</f>
        <v>0</v>
      </c>
      <c r="O202" s="188">
        <f>DEF[[#This Row],[TOTAL METAS L-V]]+DEF[[#This Row],[TOTAL METAS S-D-F]]</f>
        <v>0</v>
      </c>
      <c r="P202" s="188" t="e">
        <f>VLOOKUP(DEF[[#This Row],[CEDULA]],METAS[],17,0)</f>
        <v>#N/A</v>
      </c>
      <c r="Q20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02" s="190">
        <f>VLOOKUP(DEF[[#This Row],[CEDULA]],DATOS[],9,0)</f>
        <v>0</v>
      </c>
    </row>
    <row r="203" spans="1:18" hidden="1" x14ac:dyDescent="0.25">
      <c r="A203" s="183">
        <v>10793044</v>
      </c>
      <c r="B203" s="184" t="str">
        <f>IFERROR(IF(DEF[[#This Row],[OTRO PAGO]]=0,VLOOKUP(DEF[[#This Row],[CEDULA]],DATOS[],2,0),""),"")</f>
        <v>ORTEGA FREDDY</v>
      </c>
      <c r="C203" s="184" t="str">
        <f>IFERROR(VLOOKUP(DEF[[#This Row],[CEDULA]],DATOS[],5,0),"")</f>
        <v>OBRERO</v>
      </c>
      <c r="D203" s="185" t="s">
        <v>862</v>
      </c>
      <c r="E203" s="186" t="str">
        <f>IFERROR(VLOOKUP(DEF[[#This Row],[CEDULA]],NCH!$B$7:$AU$229,10,0),"")</f>
        <v>No cumple H</v>
      </c>
      <c r="F203" s="186" t="str">
        <f>IFERROR(VLOOKUP(DEF[[#This Row],[CEDULA]],NCH!$B$7:$AU$229,16,0),"")</f>
        <v>No cumple H</v>
      </c>
      <c r="G203" s="186" t="str">
        <f>IFERROR(VLOOKUP(DEF[[#This Row],[CEDULA]],NCH!$B$7:$AU$229,22,0),"")</f>
        <v>No cumple H</v>
      </c>
      <c r="H203" s="186" t="str">
        <f>IFERROR(VLOOKUP(DEF[[#This Row],[CEDULA]],NCH!$B$7:$AU$229,28,0),"")</f>
        <v>No cumple H</v>
      </c>
      <c r="I203" s="186" t="str">
        <f>IFERROR(VLOOKUP(DEF[[#This Row],[CEDULA]],NCH!$B$7:$AU$229,34,0),"")</f>
        <v>No cumple H</v>
      </c>
      <c r="J203" s="186" t="str">
        <f>IFERROR(VLOOKUP(DEF[[#This Row],[CEDULA]],NCH!$B$7:$AU$229,40,0),"")</f>
        <v>No cumple H</v>
      </c>
      <c r="K203" s="186" t="str">
        <f>IFERROR(VLOOKUP(DEF[[#This Row],[CEDULA]],NCH!$B$7:$AU$229,46,0),"")</f>
        <v>No cumple H</v>
      </c>
      <c r="L203" s="186">
        <f>IFERROR(VLOOKUP(DEF[CEDULA],METAS[],13,0),"")</f>
        <v>0</v>
      </c>
      <c r="M203" s="187">
        <f>SUM(DEF[[#This Row],[L]:[V]])</f>
        <v>0</v>
      </c>
      <c r="N203" s="188">
        <f>SUM(DEF[[#This Row],[S]:[D]])</f>
        <v>0</v>
      </c>
      <c r="O203" s="188">
        <f>DEF[[#This Row],[TOTAL METAS L-V]]+DEF[[#This Row],[TOTAL METAS S-D-F]]</f>
        <v>0</v>
      </c>
      <c r="P203" s="188">
        <f>VLOOKUP(DEF[[#This Row],[CEDULA]],METAS[],17,0)</f>
        <v>0</v>
      </c>
      <c r="Q20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03" s="190">
        <f>VLOOKUP(DEF[[#This Row],[CEDULA]],DATOS[],9,0)</f>
        <v>0</v>
      </c>
    </row>
    <row r="204" spans="1:18" hidden="1" x14ac:dyDescent="0.25">
      <c r="A204" s="183">
        <v>6290210</v>
      </c>
      <c r="B204" s="184" t="str">
        <f>IFERROR(IF(DEF[[#This Row],[OTRO PAGO]]=0,VLOOKUP(DEF[[#This Row],[CEDULA]],DATOS[],2,0),""),"")</f>
        <v>MORENO JULIO</v>
      </c>
      <c r="C204" s="184" t="str">
        <f>IFERROR(VLOOKUP(DEF[[#This Row],[CEDULA]],DATOS[],5,0),"")</f>
        <v>SUPERVISORIO</v>
      </c>
      <c r="D204" s="185" t="s">
        <v>862</v>
      </c>
      <c r="E204" s="186" t="str">
        <f>IFERROR(VLOOKUP(DEF[[#This Row],[CEDULA]],NCH!$B$7:$AU$229,10,0),"")</f>
        <v>Horario Metas</v>
      </c>
      <c r="F204" s="186" t="str">
        <f>IFERROR(VLOOKUP(DEF[[#This Row],[CEDULA]],NCH!$B$7:$AU$229,16,0),"")</f>
        <v>Horario Metas</v>
      </c>
      <c r="G204" s="186" t="str">
        <f>IFERROR(VLOOKUP(DEF[[#This Row],[CEDULA]],NCH!$B$7:$AU$229,22,0),"")</f>
        <v>No cumple H</v>
      </c>
      <c r="H204" s="186" t="str">
        <f>IFERROR(VLOOKUP(DEF[[#This Row],[CEDULA]],NCH!$B$7:$AU$229,28,0),"")</f>
        <v>No cumple H</v>
      </c>
      <c r="I204" s="186" t="str">
        <f>IFERROR(VLOOKUP(DEF[[#This Row],[CEDULA]],NCH!$B$7:$AU$229,34,0),"")</f>
        <v>No cumple H</v>
      </c>
      <c r="J204" s="186" t="str">
        <f>IFERROR(VLOOKUP(DEF[[#This Row],[CEDULA]],NCH!$B$7:$AU$229,40,0),"")</f>
        <v>No cumple H</v>
      </c>
      <c r="K204" s="186" t="str">
        <f>IFERROR(VLOOKUP(DEF[[#This Row],[CEDULA]],NCH!$B$7:$AU$229,46,0),"")</f>
        <v>No cumple H</v>
      </c>
      <c r="L204" s="186">
        <f>IFERROR(VLOOKUP(DEF[CEDULA],METAS[],13,0),"")</f>
        <v>0</v>
      </c>
      <c r="M204" s="187">
        <f>SUM(DEF[[#This Row],[L]:[V]])</f>
        <v>0</v>
      </c>
      <c r="N204" s="188">
        <f>SUM(DEF[[#This Row],[S]:[D]])</f>
        <v>0</v>
      </c>
      <c r="O204" s="188">
        <f>DEF[[#This Row],[TOTAL METAS L-V]]+DEF[[#This Row],[TOTAL METAS S-D-F]]</f>
        <v>0</v>
      </c>
      <c r="P204" s="188">
        <f>VLOOKUP(DEF[[#This Row],[CEDULA]],METAS[],17,0)</f>
        <v>0</v>
      </c>
      <c r="Q20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04" s="190">
        <f>VLOOKUP(DEF[[#This Row],[CEDULA]],DATOS[],9,0)</f>
        <v>0</v>
      </c>
    </row>
    <row r="205" spans="1:18" hidden="1" x14ac:dyDescent="0.25">
      <c r="A205" s="183">
        <v>8643689</v>
      </c>
      <c r="B205" s="184" t="str">
        <f>IFERROR(IF(DEF[[#This Row],[OTRO PAGO]]=0,VLOOKUP(DEF[[#This Row],[CEDULA]],DATOS[],2,0),""),"")</f>
        <v>BASTARDO COSME</v>
      </c>
      <c r="C205" s="184" t="str">
        <f>IFERROR(VLOOKUP(DEF[[#This Row],[CEDULA]],DATOS[],5,0),"")</f>
        <v>OBRERO</v>
      </c>
      <c r="D205" s="185" t="s">
        <v>862</v>
      </c>
      <c r="E205" s="186" t="str">
        <f>IFERROR(VLOOKUP(DEF[[#This Row],[CEDULA]],NCH!$B$7:$AU$229,10,0),"")</f>
        <v>No cumple H</v>
      </c>
      <c r="F205" s="186" t="str">
        <f>IFERROR(VLOOKUP(DEF[[#This Row],[CEDULA]],NCH!$B$7:$AU$229,16,0),"")</f>
        <v>No cumple H</v>
      </c>
      <c r="G205" s="186" t="str">
        <f>IFERROR(VLOOKUP(DEF[[#This Row],[CEDULA]],NCH!$B$7:$AU$229,22,0),"")</f>
        <v>No realizo Metas</v>
      </c>
      <c r="H205" s="186" t="str">
        <f>IFERROR(VLOOKUP(DEF[[#This Row],[CEDULA]],NCH!$B$7:$AU$229,28,0),"")</f>
        <v>No cumple H</v>
      </c>
      <c r="I205" s="186" t="str">
        <f>IFERROR(VLOOKUP(DEF[[#This Row],[CEDULA]],NCH!$B$7:$AU$229,34,0),"")</f>
        <v>No cumple H</v>
      </c>
      <c r="J205" s="186" t="str">
        <f>IFERROR(VLOOKUP(DEF[[#This Row],[CEDULA]],NCH!$B$7:$AU$229,40,0),"")</f>
        <v>No cumple H</v>
      </c>
      <c r="K205" s="186" t="str">
        <f>IFERROR(VLOOKUP(DEF[[#This Row],[CEDULA]],NCH!$B$7:$AU$229,46,0),"")</f>
        <v>No cumple H</v>
      </c>
      <c r="L205" s="186">
        <f>IFERROR(VLOOKUP(DEF[CEDULA],METAS[],13,0),"")</f>
        <v>0</v>
      </c>
      <c r="M205" s="187">
        <f>SUM(DEF[[#This Row],[L]:[V]])</f>
        <v>0</v>
      </c>
      <c r="N205" s="188">
        <f>SUM(DEF[[#This Row],[S]:[D]])</f>
        <v>0</v>
      </c>
      <c r="O205" s="188">
        <f>DEF[[#This Row],[TOTAL METAS L-V]]+DEF[[#This Row],[TOTAL METAS S-D-F]]</f>
        <v>0</v>
      </c>
      <c r="P205" s="188">
        <f>VLOOKUP(DEF[[#This Row],[CEDULA]],METAS[],17,0)</f>
        <v>0</v>
      </c>
      <c r="Q20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05" s="190">
        <f>VLOOKUP(DEF[[#This Row],[CEDULA]],DATOS[],9,0)</f>
        <v>0</v>
      </c>
    </row>
    <row r="206" spans="1:18" hidden="1" x14ac:dyDescent="0.25">
      <c r="A206" s="183">
        <v>15574216</v>
      </c>
      <c r="B206" s="184" t="str">
        <f>IFERROR(IF(DEF[[#This Row],[OTRO PAGO]]=0,VLOOKUP(DEF[[#This Row],[CEDULA]],DATOS[],2,0),""),"")</f>
        <v>TERAN LUIS</v>
      </c>
      <c r="C206" s="184" t="str">
        <f>IFERROR(VLOOKUP(DEF[[#This Row],[CEDULA]],DATOS[],5,0),"")</f>
        <v>OBRERO</v>
      </c>
      <c r="D206" s="185" t="s">
        <v>862</v>
      </c>
      <c r="E206" s="186" t="str">
        <f>IFERROR(VLOOKUP(DEF[[#This Row],[CEDULA]],NCH!$B$7:$AU$229,10,0),"")</f>
        <v>No cumple H</v>
      </c>
      <c r="F206" s="186" t="str">
        <f>IFERROR(VLOOKUP(DEF[[#This Row],[CEDULA]],NCH!$B$7:$AU$229,16,0),"")</f>
        <v>No realizo Metas</v>
      </c>
      <c r="G206" s="186" t="str">
        <f>IFERROR(VLOOKUP(DEF[[#This Row],[CEDULA]],NCH!$B$7:$AU$229,22,0),"")</f>
        <v>No cumple H</v>
      </c>
      <c r="H206" s="186" t="str">
        <f>IFERROR(VLOOKUP(DEF[[#This Row],[CEDULA]],NCH!$B$7:$AU$229,28,0),"")</f>
        <v>No cumple H</v>
      </c>
      <c r="I206" s="186" t="str">
        <f>IFERROR(VLOOKUP(DEF[[#This Row],[CEDULA]],NCH!$B$7:$AU$229,34,0),"")</f>
        <v>No cumple H</v>
      </c>
      <c r="J206" s="186" t="str">
        <f>IFERROR(VLOOKUP(DEF[[#This Row],[CEDULA]],NCH!$B$7:$AU$229,40,0),"")</f>
        <v>No cumple H</v>
      </c>
      <c r="K206" s="186" t="str">
        <f>IFERROR(VLOOKUP(DEF[[#This Row],[CEDULA]],NCH!$B$7:$AU$229,46,0),"")</f>
        <v>No cumple H</v>
      </c>
      <c r="L206" s="186">
        <f>IFERROR(VLOOKUP(DEF[CEDULA],METAS[],13,0),"")</f>
        <v>0</v>
      </c>
      <c r="M206" s="187">
        <f>SUM(DEF[[#This Row],[L]:[V]])</f>
        <v>0</v>
      </c>
      <c r="N206" s="188">
        <f>SUM(DEF[[#This Row],[S]:[D]])</f>
        <v>0</v>
      </c>
      <c r="O206" s="188">
        <f>DEF[[#This Row],[TOTAL METAS L-V]]+DEF[[#This Row],[TOTAL METAS S-D-F]]</f>
        <v>0</v>
      </c>
      <c r="P206" s="188">
        <f>VLOOKUP(DEF[[#This Row],[CEDULA]],METAS[],17,0)</f>
        <v>0</v>
      </c>
      <c r="Q20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06" s="190">
        <f>VLOOKUP(DEF[[#This Row],[CEDULA]],DATOS[],9,0)</f>
        <v>0</v>
      </c>
    </row>
    <row r="207" spans="1:18" hidden="1" x14ac:dyDescent="0.25">
      <c r="A207" s="183">
        <v>4854896</v>
      </c>
      <c r="B207" s="184" t="str">
        <f>IFERROR(IF(DEF[[#This Row],[OTRO PAGO]]=0,VLOOKUP(DEF[[#This Row],[CEDULA]],DATOS[],2,0),""),"")</f>
        <v>PENA ENRIQUE</v>
      </c>
      <c r="C207" s="184" t="str">
        <f>IFERROR(VLOOKUP(DEF[[#This Row],[CEDULA]],DATOS[],5,0),"")</f>
        <v>SUPERVISORIO</v>
      </c>
      <c r="D207" s="185" t="s">
        <v>862</v>
      </c>
      <c r="E207" s="186" t="str">
        <f>IFERROR(VLOOKUP(DEF[[#This Row],[CEDULA]],NCH!$B$7:$AU$229,10,0),"")</f>
        <v>No cumple H</v>
      </c>
      <c r="F207" s="186" t="str">
        <f>IFERROR(VLOOKUP(DEF[[#This Row],[CEDULA]],NCH!$B$7:$AU$229,16,0),"")</f>
        <v>No cumple H</v>
      </c>
      <c r="G207" s="186" t="str">
        <f>IFERROR(VLOOKUP(DEF[[#This Row],[CEDULA]],NCH!$B$7:$AU$229,22,0),"")</f>
        <v>No cumple H</v>
      </c>
      <c r="H207" s="186" t="str">
        <f>IFERROR(VLOOKUP(DEF[[#This Row],[CEDULA]],NCH!$B$7:$AU$229,28,0),"")</f>
        <v>No realizo Metas</v>
      </c>
      <c r="I207" s="186" t="str">
        <f>IFERROR(VLOOKUP(DEF[[#This Row],[CEDULA]],NCH!$B$7:$AU$229,34,0),"")</f>
        <v>No cumple H</v>
      </c>
      <c r="J207" s="186" t="str">
        <f>IFERROR(VLOOKUP(DEF[[#This Row],[CEDULA]],NCH!$B$7:$AU$229,40,0),"")</f>
        <v>No cumple H</v>
      </c>
      <c r="K207" s="186" t="str">
        <f>IFERROR(VLOOKUP(DEF[[#This Row],[CEDULA]],NCH!$B$7:$AU$229,46,0),"")</f>
        <v>No cumple H</v>
      </c>
      <c r="L207" s="186">
        <f>IFERROR(VLOOKUP(DEF[CEDULA],METAS[],13,0),"")</f>
        <v>0</v>
      </c>
      <c r="M207" s="187">
        <f>SUM(DEF[[#This Row],[L]:[V]])</f>
        <v>0</v>
      </c>
      <c r="N207" s="188">
        <f>SUM(DEF[[#This Row],[S]:[D]])</f>
        <v>0</v>
      </c>
      <c r="O207" s="188">
        <f>DEF[[#This Row],[TOTAL METAS L-V]]+DEF[[#This Row],[TOTAL METAS S-D-F]]</f>
        <v>0</v>
      </c>
      <c r="P207" s="188">
        <f>VLOOKUP(DEF[[#This Row],[CEDULA]],METAS[],17,0)</f>
        <v>0</v>
      </c>
      <c r="Q20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07" s="190">
        <f>VLOOKUP(DEF[[#This Row],[CEDULA]],DATOS[],9,0)</f>
        <v>0</v>
      </c>
    </row>
    <row r="208" spans="1:18" hidden="1" x14ac:dyDescent="0.25">
      <c r="A208" s="183">
        <v>11994919</v>
      </c>
      <c r="B208" s="184" t="str">
        <f>IFERROR(IF(DEF[[#This Row],[OTRO PAGO]]=0,VLOOKUP(DEF[[#This Row],[CEDULA]],DATOS[],2,0),""),"")</f>
        <v>DIAZ JORGE</v>
      </c>
      <c r="C208" s="184" t="str">
        <f>IFERROR(VLOOKUP(DEF[[#This Row],[CEDULA]],DATOS[],5,0),"")</f>
        <v>OBRERO</v>
      </c>
      <c r="D208" s="185" t="s">
        <v>862</v>
      </c>
      <c r="E208" s="186" t="str">
        <f>IFERROR(VLOOKUP(DEF[[#This Row],[CEDULA]],NCH!$B$7:$AU$229,10,0),"")</f>
        <v>No cumple H</v>
      </c>
      <c r="F208" s="186" t="str">
        <f>IFERROR(VLOOKUP(DEF[[#This Row],[CEDULA]],NCH!$B$7:$AU$229,16,0),"")</f>
        <v>No cumple H</v>
      </c>
      <c r="G208" s="186" t="str">
        <f>IFERROR(VLOOKUP(DEF[[#This Row],[CEDULA]],NCH!$B$7:$AU$229,22,0),"")</f>
        <v>No cumple H</v>
      </c>
      <c r="H208" s="186" t="str">
        <f>IFERROR(VLOOKUP(DEF[[#This Row],[CEDULA]],NCH!$B$7:$AU$229,28,0),"")</f>
        <v>No cumple H</v>
      </c>
      <c r="I208" s="186" t="str">
        <f>IFERROR(VLOOKUP(DEF[[#This Row],[CEDULA]],NCH!$B$7:$AU$229,34,0),"")</f>
        <v>No cumple H</v>
      </c>
      <c r="J208" s="186" t="str">
        <f>IFERROR(VLOOKUP(DEF[[#This Row],[CEDULA]],NCH!$B$7:$AU$229,40,0),"")</f>
        <v>No cumple H</v>
      </c>
      <c r="K208" s="186" t="str">
        <f>IFERROR(VLOOKUP(DEF[[#This Row],[CEDULA]],NCH!$B$7:$AU$229,46,0),"")</f>
        <v>No cumple H</v>
      </c>
      <c r="L208" s="186">
        <f>IFERROR(VLOOKUP(DEF[CEDULA],METAS[],13,0),"")</f>
        <v>0</v>
      </c>
      <c r="M208" s="187">
        <f>SUM(DEF[[#This Row],[L]:[V]])</f>
        <v>0</v>
      </c>
      <c r="N208" s="188">
        <f>SUM(DEF[[#This Row],[S]:[D]])</f>
        <v>0</v>
      </c>
      <c r="O208" s="188">
        <f>DEF[[#This Row],[TOTAL METAS L-V]]+DEF[[#This Row],[TOTAL METAS S-D-F]]</f>
        <v>0</v>
      </c>
      <c r="P208" s="188">
        <f>VLOOKUP(DEF[[#This Row],[CEDULA]],METAS[],17,0)</f>
        <v>0</v>
      </c>
      <c r="Q20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08" s="190">
        <f>VLOOKUP(DEF[[#This Row],[CEDULA]],DATOS[],9,0)</f>
        <v>0</v>
      </c>
    </row>
    <row r="209" spans="1:18" hidden="1" x14ac:dyDescent="0.25">
      <c r="A209" s="183">
        <v>13786283</v>
      </c>
      <c r="B209" s="184" t="str">
        <f>IFERROR(IF(DEF[[#This Row],[OTRO PAGO]]=0,VLOOKUP(DEF[[#This Row],[CEDULA]],DATOS[],2,0),""),"")</f>
        <v>CARUCI WILMER</v>
      </c>
      <c r="C209" s="184" t="str">
        <f>IFERROR(VLOOKUP(DEF[[#This Row],[CEDULA]],DATOS[],5,0),"")</f>
        <v>SUPERVISORIO</v>
      </c>
      <c r="D209" s="185" t="s">
        <v>862</v>
      </c>
      <c r="E209" s="186" t="str">
        <f>IFERROR(VLOOKUP(DEF[[#This Row],[CEDULA]],NCH!$B$7:$AU$229,10,0),"")</f>
        <v>Horario Metas</v>
      </c>
      <c r="F209" s="186" t="str">
        <f>IFERROR(VLOOKUP(DEF[[#This Row],[CEDULA]],NCH!$B$7:$AU$229,16,0),"")</f>
        <v>Horario Metas</v>
      </c>
      <c r="G209" s="186" t="str">
        <f>IFERROR(VLOOKUP(DEF[[#This Row],[CEDULA]],NCH!$B$7:$AU$229,22,0),"")</f>
        <v>No cumple H</v>
      </c>
      <c r="H209" s="186" t="str">
        <f>IFERROR(VLOOKUP(DEF[[#This Row],[CEDULA]],NCH!$B$7:$AU$229,28,0),"")</f>
        <v>No cumple H</v>
      </c>
      <c r="I209" s="186" t="str">
        <f>IFERROR(VLOOKUP(DEF[[#This Row],[CEDULA]],NCH!$B$7:$AU$229,34,0),"")</f>
        <v>No cumple H</v>
      </c>
      <c r="J209" s="186" t="str">
        <f>IFERROR(VLOOKUP(DEF[[#This Row],[CEDULA]],NCH!$B$7:$AU$229,40,0),"")</f>
        <v>No cumple H</v>
      </c>
      <c r="K209" s="186" t="str">
        <f>IFERROR(VLOOKUP(DEF[[#This Row],[CEDULA]],NCH!$B$7:$AU$229,46,0),"")</f>
        <v>No cumple H</v>
      </c>
      <c r="L209" s="186">
        <f>IFERROR(VLOOKUP(DEF[CEDULA],METAS[],13,0),"")</f>
        <v>0</v>
      </c>
      <c r="M209" s="187">
        <f>SUM(DEF[[#This Row],[L]:[V]])</f>
        <v>0</v>
      </c>
      <c r="N209" s="188">
        <f>SUM(DEF[[#This Row],[S]:[D]])</f>
        <v>0</v>
      </c>
      <c r="O209" s="188">
        <f>DEF[[#This Row],[TOTAL METAS L-V]]+DEF[[#This Row],[TOTAL METAS S-D-F]]</f>
        <v>0</v>
      </c>
      <c r="P209" s="188">
        <f>VLOOKUP(DEF[[#This Row],[CEDULA]],METAS[],17,0)</f>
        <v>0</v>
      </c>
      <c r="Q20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09" s="190">
        <f>VLOOKUP(DEF[[#This Row],[CEDULA]],DATOS[],9,0)</f>
        <v>0</v>
      </c>
    </row>
    <row r="210" spans="1:18" hidden="1" x14ac:dyDescent="0.25">
      <c r="A210" s="183">
        <v>7092124</v>
      </c>
      <c r="B210" s="184" t="str">
        <f>IFERROR(IF(DEF[[#This Row],[OTRO PAGO]]=0,VLOOKUP(DEF[[#This Row],[CEDULA]],DATOS[],2,0),""),"")</f>
        <v>OROPEZA EUCLIDES</v>
      </c>
      <c r="C210" s="184" t="str">
        <f>IFERROR(VLOOKUP(DEF[[#This Row],[CEDULA]],DATOS[],5,0),"")</f>
        <v>SUPERVISORIO</v>
      </c>
      <c r="D210" s="185" t="s">
        <v>862</v>
      </c>
      <c r="E210" s="186" t="str">
        <f>IFERROR(VLOOKUP(DEF[[#This Row],[CEDULA]],NCH!$B$7:$AU$229,10,0),"")</f>
        <v>No cumple H</v>
      </c>
      <c r="F210" s="186" t="str">
        <f>IFERROR(VLOOKUP(DEF[[#This Row],[CEDULA]],NCH!$B$7:$AU$229,16,0),"")</f>
        <v>No cumple H</v>
      </c>
      <c r="G210" s="186" t="str">
        <f>IFERROR(VLOOKUP(DEF[[#This Row],[CEDULA]],NCH!$B$7:$AU$229,22,0),"")</f>
        <v>No cumple H</v>
      </c>
      <c r="H210" s="186" t="str">
        <f>IFERROR(VLOOKUP(DEF[[#This Row],[CEDULA]],NCH!$B$7:$AU$229,28,0),"")</f>
        <v>No cumple H</v>
      </c>
      <c r="I210" s="186" t="str">
        <f>IFERROR(VLOOKUP(DEF[[#This Row],[CEDULA]],NCH!$B$7:$AU$229,34,0),"")</f>
        <v>No cumple H</v>
      </c>
      <c r="J210" s="186" t="str">
        <f>IFERROR(VLOOKUP(DEF[[#This Row],[CEDULA]],NCH!$B$7:$AU$229,40,0),"")</f>
        <v>No cumple H</v>
      </c>
      <c r="K210" s="186" t="str">
        <f>IFERROR(VLOOKUP(DEF[[#This Row],[CEDULA]],NCH!$B$7:$AU$229,46,0),"")</f>
        <v>No cumple H</v>
      </c>
      <c r="L210" s="186">
        <f>IFERROR(VLOOKUP(DEF[CEDULA],METAS[],13,0),"")</f>
        <v>0</v>
      </c>
      <c r="M210" s="187">
        <f>SUM(DEF[[#This Row],[L]:[V]])</f>
        <v>0</v>
      </c>
      <c r="N210" s="188">
        <f>SUM(DEF[[#This Row],[S]:[D]])</f>
        <v>0</v>
      </c>
      <c r="O210" s="188">
        <f>DEF[[#This Row],[TOTAL METAS L-V]]+DEF[[#This Row],[TOTAL METAS S-D-F]]</f>
        <v>0</v>
      </c>
      <c r="P210" s="188">
        <f>VLOOKUP(DEF[[#This Row],[CEDULA]],METAS[],17,0)</f>
        <v>0</v>
      </c>
      <c r="Q21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10" s="190">
        <f>VLOOKUP(DEF[[#This Row],[CEDULA]],DATOS[],9,0)</f>
        <v>0</v>
      </c>
    </row>
    <row r="211" spans="1:18" hidden="1" x14ac:dyDescent="0.25">
      <c r="A211" s="183">
        <v>3741311</v>
      </c>
      <c r="B211" s="184" t="str">
        <f>IFERROR(IF(DEF[[#This Row],[OTRO PAGO]]=0,VLOOKUP(DEF[[#This Row],[CEDULA]],DATOS[],2,0),""),"")</f>
        <v>DUARTE NELSON</v>
      </c>
      <c r="C211" s="184" t="str">
        <f>IFERROR(VLOOKUP(DEF[[#This Row],[CEDULA]],DATOS[],5,0),"")</f>
        <v>OBRERO</v>
      </c>
      <c r="D211" s="185" t="s">
        <v>862</v>
      </c>
      <c r="E211" s="186" t="str">
        <f>IFERROR(VLOOKUP(DEF[[#This Row],[CEDULA]],NCH!$B$7:$AU$229,10,0),"")</f>
        <v/>
      </c>
      <c r="F211" s="186" t="str">
        <f>IFERROR(VLOOKUP(DEF[[#This Row],[CEDULA]],NCH!$B$7:$AU$229,16,0),"")</f>
        <v/>
      </c>
      <c r="G211" s="186" t="str">
        <f>IFERROR(VLOOKUP(DEF[[#This Row],[CEDULA]],NCH!$B$7:$AU$229,22,0),"")</f>
        <v/>
      </c>
      <c r="H211" s="186" t="str">
        <f>IFERROR(VLOOKUP(DEF[[#This Row],[CEDULA]],NCH!$B$7:$AU$229,28,0),"")</f>
        <v/>
      </c>
      <c r="I211" s="186" t="str">
        <f>IFERROR(VLOOKUP(DEF[[#This Row],[CEDULA]],NCH!$B$7:$AU$229,34,0),"")</f>
        <v/>
      </c>
      <c r="J211" s="186" t="str">
        <f>IFERROR(VLOOKUP(DEF[[#This Row],[CEDULA]],NCH!$B$7:$AU$229,40,0),"")</f>
        <v/>
      </c>
      <c r="K211" s="186" t="str">
        <f>IFERROR(VLOOKUP(DEF[[#This Row],[CEDULA]],NCH!$B$7:$AU$229,46,0),"")</f>
        <v/>
      </c>
      <c r="L211" s="186" t="str">
        <f>IFERROR(VLOOKUP(DEF[CEDULA],METAS[],13,0),"")</f>
        <v/>
      </c>
      <c r="M211" s="187">
        <f>SUM(DEF[[#This Row],[L]:[V]])</f>
        <v>0</v>
      </c>
      <c r="N211" s="188">
        <f>SUM(DEF[[#This Row],[S]:[D]])</f>
        <v>0</v>
      </c>
      <c r="O211" s="188">
        <f>DEF[[#This Row],[TOTAL METAS L-V]]+DEF[[#This Row],[TOTAL METAS S-D-F]]</f>
        <v>0</v>
      </c>
      <c r="P211" s="188" t="e">
        <f>VLOOKUP(DEF[[#This Row],[CEDULA]],METAS[],17,0)</f>
        <v>#N/A</v>
      </c>
      <c r="Q21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11" s="190">
        <f>VLOOKUP(DEF[[#This Row],[CEDULA]],DATOS[],9,0)</f>
        <v>0</v>
      </c>
    </row>
    <row r="212" spans="1:18" hidden="1" x14ac:dyDescent="0.25">
      <c r="A212" s="183">
        <v>12866508</v>
      </c>
      <c r="B212" s="184" t="str">
        <f>IFERROR(IF(DEF[[#This Row],[OTRO PAGO]]=0,VLOOKUP(DEF[[#This Row],[CEDULA]],DATOS[],2,0),""),"")</f>
        <v>ROJAS JOEL</v>
      </c>
      <c r="C212" s="184" t="str">
        <f>IFERROR(VLOOKUP(DEF[[#This Row],[CEDULA]],DATOS[],5,0),"")</f>
        <v>OBRERO</v>
      </c>
      <c r="D212" s="185" t="s">
        <v>862</v>
      </c>
      <c r="E212" s="186" t="str">
        <f>IFERROR(VLOOKUP(DEF[[#This Row],[CEDULA]],NCH!$B$7:$AU$229,10,0),"")</f>
        <v/>
      </c>
      <c r="F212" s="186" t="str">
        <f>IFERROR(VLOOKUP(DEF[[#This Row],[CEDULA]],NCH!$B$7:$AU$229,16,0),"")</f>
        <v/>
      </c>
      <c r="G212" s="186" t="str">
        <f>IFERROR(VLOOKUP(DEF[[#This Row],[CEDULA]],NCH!$B$7:$AU$229,22,0),"")</f>
        <v/>
      </c>
      <c r="H212" s="186" t="str">
        <f>IFERROR(VLOOKUP(DEF[[#This Row],[CEDULA]],NCH!$B$7:$AU$229,28,0),"")</f>
        <v/>
      </c>
      <c r="I212" s="186" t="str">
        <f>IFERROR(VLOOKUP(DEF[[#This Row],[CEDULA]],NCH!$B$7:$AU$229,34,0),"")</f>
        <v/>
      </c>
      <c r="J212" s="186" t="str">
        <f>IFERROR(VLOOKUP(DEF[[#This Row],[CEDULA]],NCH!$B$7:$AU$229,40,0),"")</f>
        <v/>
      </c>
      <c r="K212" s="186" t="str">
        <f>IFERROR(VLOOKUP(DEF[[#This Row],[CEDULA]],NCH!$B$7:$AU$229,46,0),"")</f>
        <v/>
      </c>
      <c r="L212" s="186" t="str">
        <f>IFERROR(VLOOKUP(DEF[CEDULA],METAS[],13,0),"")</f>
        <v/>
      </c>
      <c r="M212" s="187">
        <f>SUM(DEF[[#This Row],[L]:[V]])</f>
        <v>0</v>
      </c>
      <c r="N212" s="188">
        <f>SUM(DEF[[#This Row],[S]:[D]])</f>
        <v>0</v>
      </c>
      <c r="O212" s="188">
        <f>DEF[[#This Row],[TOTAL METAS L-V]]+DEF[[#This Row],[TOTAL METAS S-D-F]]</f>
        <v>0</v>
      </c>
      <c r="P212" s="188" t="e">
        <f>VLOOKUP(DEF[[#This Row],[CEDULA]],METAS[],17,0)</f>
        <v>#N/A</v>
      </c>
      <c r="Q21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12" s="190">
        <f>VLOOKUP(DEF[[#This Row],[CEDULA]],DATOS[],9,0)</f>
        <v>0</v>
      </c>
    </row>
    <row r="213" spans="1:18" hidden="1" x14ac:dyDescent="0.25">
      <c r="A213" s="183">
        <v>7710715</v>
      </c>
      <c r="B213" s="184" t="str">
        <f>IFERROR(IF(DEF[[#This Row],[OTRO PAGO]]=0,VLOOKUP(DEF[[#This Row],[CEDULA]],DATOS[],2,0),""),"")</f>
        <v>FAJARDO LUIS</v>
      </c>
      <c r="C213" s="184" t="str">
        <f>IFERROR(VLOOKUP(DEF[[#This Row],[CEDULA]],DATOS[],5,0),"")</f>
        <v>SUPERVISORIO</v>
      </c>
      <c r="D213" s="185" t="s">
        <v>862</v>
      </c>
      <c r="E213" s="186" t="str">
        <f>IFERROR(VLOOKUP(DEF[[#This Row],[CEDULA]],NCH!$B$7:$AU$229,10,0),"")</f>
        <v>No cumple H</v>
      </c>
      <c r="F213" s="186" t="str">
        <f>IFERROR(VLOOKUP(DEF[[#This Row],[CEDULA]],NCH!$B$7:$AU$229,16,0),"")</f>
        <v>No realizo Metas</v>
      </c>
      <c r="G213" s="186" t="str">
        <f>IFERROR(VLOOKUP(DEF[[#This Row],[CEDULA]],NCH!$B$7:$AU$229,22,0),"")</f>
        <v>No cumple H</v>
      </c>
      <c r="H213" s="186" t="str">
        <f>IFERROR(VLOOKUP(DEF[[#This Row],[CEDULA]],NCH!$B$7:$AU$229,28,0),"")</f>
        <v>No cumple H</v>
      </c>
      <c r="I213" s="186" t="str">
        <f>IFERROR(VLOOKUP(DEF[[#This Row],[CEDULA]],NCH!$B$7:$AU$229,34,0),"")</f>
        <v>No cumple H</v>
      </c>
      <c r="J213" s="186" t="str">
        <f>IFERROR(VLOOKUP(DEF[[#This Row],[CEDULA]],NCH!$B$7:$AU$229,40,0),"")</f>
        <v>No cumple H</v>
      </c>
      <c r="K213" s="186" t="str">
        <f>IFERROR(VLOOKUP(DEF[[#This Row],[CEDULA]],NCH!$B$7:$AU$229,46,0),"")</f>
        <v>No cumple H</v>
      </c>
      <c r="L213" s="186">
        <f>IFERROR(VLOOKUP(DEF[CEDULA],METAS[],13,0),"")</f>
        <v>0</v>
      </c>
      <c r="M213" s="187">
        <f>SUM(DEF[[#This Row],[L]:[V]])</f>
        <v>0</v>
      </c>
      <c r="N213" s="188">
        <f>SUM(DEF[[#This Row],[S]:[D]])</f>
        <v>0</v>
      </c>
      <c r="O213" s="188">
        <f>DEF[[#This Row],[TOTAL METAS L-V]]+DEF[[#This Row],[TOTAL METAS S-D-F]]</f>
        <v>0</v>
      </c>
      <c r="P213" s="188">
        <f>VLOOKUP(DEF[[#This Row],[CEDULA]],METAS[],17,0)</f>
        <v>0</v>
      </c>
      <c r="Q21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13" s="190">
        <f>VLOOKUP(DEF[[#This Row],[CEDULA]],DATOS[],9,0)</f>
        <v>0</v>
      </c>
    </row>
    <row r="214" spans="1:18" hidden="1" x14ac:dyDescent="0.25">
      <c r="A214" s="183">
        <v>4029580</v>
      </c>
      <c r="B214" s="184" t="str">
        <f>IFERROR(IF(DEF[[#This Row],[OTRO PAGO]]=0,VLOOKUP(DEF[[#This Row],[CEDULA]],DATOS[],2,0),""),"")</f>
        <v>CORDOVA ESMIRIN</v>
      </c>
      <c r="C214" s="184" t="str">
        <f>IFERROR(VLOOKUP(DEF[[#This Row],[CEDULA]],DATOS[],5,0),"")</f>
        <v>SUPERVISORIO</v>
      </c>
      <c r="D214" s="185" t="s">
        <v>865</v>
      </c>
      <c r="E214" s="186" t="str">
        <f>IFERROR(VLOOKUP(DEF[[#This Row],[CEDULA]],NCH!$B$7:$AU$229,10,0),"")</f>
        <v>No tiene huella Biometrico</v>
      </c>
      <c r="F214" s="186" t="str">
        <f>IFERROR(VLOOKUP(DEF[[#This Row],[CEDULA]],NCH!$B$7:$AU$229,16,0),"")</f>
        <v>No tiene huella Biometrico</v>
      </c>
      <c r="G214" s="186" t="str">
        <f>IFERROR(VLOOKUP(DEF[[#This Row],[CEDULA]],NCH!$B$7:$AU$229,22,0),"")</f>
        <v>No tiene huella Biometrico</v>
      </c>
      <c r="H214" s="186" t="str">
        <f>IFERROR(VLOOKUP(DEF[[#This Row],[CEDULA]],NCH!$B$7:$AU$229,28,0),"")</f>
        <v>No tiene huella Biometrico</v>
      </c>
      <c r="I214" s="186" t="str">
        <f>IFERROR(VLOOKUP(DEF[[#This Row],[CEDULA]],NCH!$B$7:$AU$229,34,0),"")</f>
        <v>No tiene huella Biometrico</v>
      </c>
      <c r="J214" s="186" t="str">
        <f>IFERROR(VLOOKUP(DEF[[#This Row],[CEDULA]],NCH!$B$7:$AU$229,40,0),"")</f>
        <v>No tiene huella Biometrico</v>
      </c>
      <c r="K214" s="186" t="str">
        <f>IFERROR(VLOOKUP(DEF[[#This Row],[CEDULA]],NCH!$B$7:$AU$229,46,0),"")</f>
        <v>No tiene huella Biometrico</v>
      </c>
      <c r="L214" s="186">
        <f>IFERROR(VLOOKUP(DEF[CEDULA],METAS[],13,0),"")</f>
        <v>0</v>
      </c>
      <c r="M214" s="187">
        <f>SUM(DEF[[#This Row],[L]:[V]])</f>
        <v>0</v>
      </c>
      <c r="N214" s="188">
        <f>SUM(DEF[[#This Row],[S]:[D]])</f>
        <v>0</v>
      </c>
      <c r="O214" s="188">
        <f>DEF[[#This Row],[TOTAL METAS L-V]]+DEF[[#This Row],[TOTAL METAS S-D-F]]</f>
        <v>0</v>
      </c>
      <c r="P214" s="188">
        <f>VLOOKUP(DEF[[#This Row],[CEDULA]],METAS[],17,0)</f>
        <v>0</v>
      </c>
      <c r="Q21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14" s="190">
        <f>VLOOKUP(DEF[[#This Row],[CEDULA]],DATOS[],9,0)</f>
        <v>0</v>
      </c>
    </row>
    <row r="215" spans="1:18" hidden="1" x14ac:dyDescent="0.25">
      <c r="A215" s="183">
        <v>3884398</v>
      </c>
      <c r="B215" s="184" t="str">
        <f>IFERROR(IF(DEF[[#This Row],[OTRO PAGO]]=0,VLOOKUP(DEF[[#This Row],[CEDULA]],DATOS[],2,0),""),"")</f>
        <v>KOGEN CARMEN</v>
      </c>
      <c r="C215" s="184" t="str">
        <f>IFERROR(VLOOKUP(DEF[[#This Row],[CEDULA]],DATOS[],5,0),"")</f>
        <v>TECNICO</v>
      </c>
      <c r="D215" s="185" t="s">
        <v>865</v>
      </c>
      <c r="E215" s="186" t="str">
        <f>IFERROR(VLOOKUP(DEF[[#This Row],[CEDULA]],NCH!$B$7:$AU$229,10,0),"")</f>
        <v/>
      </c>
      <c r="F215" s="186" t="str">
        <f>IFERROR(VLOOKUP(DEF[[#This Row],[CEDULA]],NCH!$B$7:$AU$229,16,0),"")</f>
        <v/>
      </c>
      <c r="G215" s="186" t="str">
        <f>IFERROR(VLOOKUP(DEF[[#This Row],[CEDULA]],NCH!$B$7:$AU$229,22,0),"")</f>
        <v/>
      </c>
      <c r="H215" s="186" t="str">
        <f>IFERROR(VLOOKUP(DEF[[#This Row],[CEDULA]],NCH!$B$7:$AU$229,28,0),"")</f>
        <v/>
      </c>
      <c r="I215" s="186" t="str">
        <f>IFERROR(VLOOKUP(DEF[[#This Row],[CEDULA]],NCH!$B$7:$AU$229,34,0),"")</f>
        <v/>
      </c>
      <c r="J215" s="186" t="str">
        <f>IFERROR(VLOOKUP(DEF[[#This Row],[CEDULA]],NCH!$B$7:$AU$229,40,0),"")</f>
        <v/>
      </c>
      <c r="K215" s="186" t="str">
        <f>IFERROR(VLOOKUP(DEF[[#This Row],[CEDULA]],NCH!$B$7:$AU$229,46,0),"")</f>
        <v/>
      </c>
      <c r="L215" s="186" t="str">
        <f>IFERROR(VLOOKUP(DEF[CEDULA],METAS[],13,0),"")</f>
        <v/>
      </c>
      <c r="M215" s="187">
        <f>SUM(DEF[[#This Row],[L]:[V]])</f>
        <v>0</v>
      </c>
      <c r="N215" s="188">
        <f>SUM(DEF[[#This Row],[S]:[D]])</f>
        <v>0</v>
      </c>
      <c r="O215" s="188">
        <f>DEF[[#This Row],[TOTAL METAS L-V]]+DEF[[#This Row],[TOTAL METAS S-D-F]]</f>
        <v>0</v>
      </c>
      <c r="P215" s="188" t="e">
        <f>VLOOKUP(DEF[[#This Row],[CEDULA]],METAS[],17,0)</f>
        <v>#N/A</v>
      </c>
      <c r="Q21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15" s="190">
        <f>VLOOKUP(DEF[[#This Row],[CEDULA]],DATOS[],9,0)</f>
        <v>0</v>
      </c>
    </row>
    <row r="216" spans="1:18" hidden="1" x14ac:dyDescent="0.25">
      <c r="A216" s="183">
        <v>13066658</v>
      </c>
      <c r="B216" s="184" t="str">
        <f>IFERROR(IF(DEF[[#This Row],[OTRO PAGO]]=0,VLOOKUP(DEF[[#This Row],[CEDULA]],DATOS[],2,0),""),"")</f>
        <v>IBARRA ANDREINA</v>
      </c>
      <c r="C216" s="184" t="str">
        <f>IFERROR(VLOOKUP(DEF[[#This Row],[CEDULA]],DATOS[],5,0),"")</f>
        <v>TECNICO</v>
      </c>
      <c r="D216" s="185" t="s">
        <v>865</v>
      </c>
      <c r="E216" s="186" t="str">
        <f>IFERROR(VLOOKUP(DEF[[#This Row],[CEDULA]],NCH!$B$7:$AU$229,10,0),"")</f>
        <v/>
      </c>
      <c r="F216" s="186" t="str">
        <f>IFERROR(VLOOKUP(DEF[[#This Row],[CEDULA]],NCH!$B$7:$AU$229,16,0),"")</f>
        <v/>
      </c>
      <c r="G216" s="186" t="str">
        <f>IFERROR(VLOOKUP(DEF[[#This Row],[CEDULA]],NCH!$B$7:$AU$229,22,0),"")</f>
        <v/>
      </c>
      <c r="H216" s="186" t="str">
        <f>IFERROR(VLOOKUP(DEF[[#This Row],[CEDULA]],NCH!$B$7:$AU$229,28,0),"")</f>
        <v/>
      </c>
      <c r="I216" s="186" t="str">
        <f>IFERROR(VLOOKUP(DEF[[#This Row],[CEDULA]],NCH!$B$7:$AU$229,34,0),"")</f>
        <v/>
      </c>
      <c r="J216" s="186" t="str">
        <f>IFERROR(VLOOKUP(DEF[[#This Row],[CEDULA]],NCH!$B$7:$AU$229,40,0),"")</f>
        <v/>
      </c>
      <c r="K216" s="186" t="str">
        <f>IFERROR(VLOOKUP(DEF[[#This Row],[CEDULA]],NCH!$B$7:$AU$229,46,0),"")</f>
        <v/>
      </c>
      <c r="L216" s="186" t="str">
        <f>IFERROR(VLOOKUP(DEF[CEDULA],METAS[],13,0),"")</f>
        <v/>
      </c>
      <c r="M216" s="187">
        <f>SUM(DEF[[#This Row],[L]:[V]])</f>
        <v>0</v>
      </c>
      <c r="N216" s="188">
        <f>SUM(DEF[[#This Row],[S]:[D]])</f>
        <v>0</v>
      </c>
      <c r="O216" s="188">
        <f>DEF[[#This Row],[TOTAL METAS L-V]]+DEF[[#This Row],[TOTAL METAS S-D-F]]</f>
        <v>0</v>
      </c>
      <c r="P216" s="188" t="e">
        <f>VLOOKUP(DEF[[#This Row],[CEDULA]],METAS[],17,0)</f>
        <v>#N/A</v>
      </c>
      <c r="Q21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16" s="190">
        <f>VLOOKUP(DEF[[#This Row],[CEDULA]],DATOS[],9,0)</f>
        <v>0</v>
      </c>
    </row>
    <row r="217" spans="1:18" hidden="1" x14ac:dyDescent="0.25">
      <c r="A217" s="183">
        <v>19091090</v>
      </c>
      <c r="B217" s="184" t="str">
        <f>IFERROR(IF(DEF[[#This Row],[OTRO PAGO]]=0,VLOOKUP(DEF[[#This Row],[CEDULA]],DATOS[],2,0),""),"")</f>
        <v/>
      </c>
      <c r="C217" s="184" t="str">
        <f>IFERROR(VLOOKUP(DEF[[#This Row],[CEDULA]],DATOS[],5,0),"")</f>
        <v/>
      </c>
      <c r="D217" s="185" t="s">
        <v>865</v>
      </c>
      <c r="E217" s="186" t="str">
        <f>IFERROR(VLOOKUP(DEF[[#This Row],[CEDULA]],NCH!$B$7:$AU$229,10,0),"")</f>
        <v/>
      </c>
      <c r="F217" s="186" t="str">
        <f>IFERROR(VLOOKUP(DEF[[#This Row],[CEDULA]],NCH!$B$7:$AU$229,16,0),"")</f>
        <v/>
      </c>
      <c r="G217" s="186" t="str">
        <f>IFERROR(VLOOKUP(DEF[[#This Row],[CEDULA]],NCH!$B$7:$AU$229,22,0),"")</f>
        <v/>
      </c>
      <c r="H217" s="186" t="str">
        <f>IFERROR(VLOOKUP(DEF[[#This Row],[CEDULA]],NCH!$B$7:$AU$229,28,0),"")</f>
        <v/>
      </c>
      <c r="I217" s="186" t="str">
        <f>IFERROR(VLOOKUP(DEF[[#This Row],[CEDULA]],NCH!$B$7:$AU$229,34,0),"")</f>
        <v/>
      </c>
      <c r="J217" s="186" t="str">
        <f>IFERROR(VLOOKUP(DEF[[#This Row],[CEDULA]],NCH!$B$7:$AU$229,40,0),"")</f>
        <v/>
      </c>
      <c r="K217" s="186" t="str">
        <f>IFERROR(VLOOKUP(DEF[[#This Row],[CEDULA]],NCH!$B$7:$AU$229,46,0),"")</f>
        <v/>
      </c>
      <c r="L217" s="186" t="str">
        <f>IFERROR(VLOOKUP(DEF[CEDULA],METAS[],13,0),"")</f>
        <v/>
      </c>
      <c r="M217" s="187">
        <f>SUM(DEF[[#This Row],[L]:[V]])</f>
        <v>0</v>
      </c>
      <c r="N217" s="188">
        <f>SUM(DEF[[#This Row],[S]:[D]])</f>
        <v>0</v>
      </c>
      <c r="O217" s="188">
        <f>DEF[[#This Row],[TOTAL METAS L-V]]+DEF[[#This Row],[TOTAL METAS S-D-F]]</f>
        <v>0</v>
      </c>
      <c r="P217" s="188" t="e">
        <f>VLOOKUP(DEF[[#This Row],[CEDULA]],METAS[],17,0)</f>
        <v>#N/A</v>
      </c>
      <c r="Q21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17" s="190" t="e">
        <f>VLOOKUP(DEF[[#This Row],[CEDULA]],DATOS[],9,0)</f>
        <v>#N/A</v>
      </c>
    </row>
    <row r="218" spans="1:18" hidden="1" x14ac:dyDescent="0.25">
      <c r="A218" s="183">
        <v>14955496</v>
      </c>
      <c r="B218" s="184" t="str">
        <f>IFERROR(IF(DEF[[#This Row],[OTRO PAGO]]=0,VLOOKUP(DEF[[#This Row],[CEDULA]],DATOS[],2,0),""),"")</f>
        <v>CANCHICA FRANCISCA</v>
      </c>
      <c r="C218" s="184" t="str">
        <f>IFERROR(VLOOKUP(DEF[[#This Row],[CEDULA]],DATOS[],5,0),"")</f>
        <v>OBRERO</v>
      </c>
      <c r="D218" s="185" t="s">
        <v>865</v>
      </c>
      <c r="E218" s="186" t="str">
        <f>IFERROR(VLOOKUP(DEF[[#This Row],[CEDULA]],NCH!$B$7:$AU$229,10,0),"")</f>
        <v/>
      </c>
      <c r="F218" s="186" t="str">
        <f>IFERROR(VLOOKUP(DEF[[#This Row],[CEDULA]],NCH!$B$7:$AU$229,16,0),"")</f>
        <v/>
      </c>
      <c r="G218" s="186" t="str">
        <f>IFERROR(VLOOKUP(DEF[[#This Row],[CEDULA]],NCH!$B$7:$AU$229,22,0),"")</f>
        <v/>
      </c>
      <c r="H218" s="186" t="str">
        <f>IFERROR(VLOOKUP(DEF[[#This Row],[CEDULA]],NCH!$B$7:$AU$229,28,0),"")</f>
        <v/>
      </c>
      <c r="I218" s="186" t="str">
        <f>IFERROR(VLOOKUP(DEF[[#This Row],[CEDULA]],NCH!$B$7:$AU$229,34,0),"")</f>
        <v/>
      </c>
      <c r="J218" s="186" t="str">
        <f>IFERROR(VLOOKUP(DEF[[#This Row],[CEDULA]],NCH!$B$7:$AU$229,40,0),"")</f>
        <v/>
      </c>
      <c r="K218" s="186" t="str">
        <f>IFERROR(VLOOKUP(DEF[[#This Row],[CEDULA]],NCH!$B$7:$AU$229,46,0),"")</f>
        <v/>
      </c>
      <c r="L218" s="186" t="str">
        <f>IFERROR(VLOOKUP(DEF[CEDULA],METAS[],13,0),"")</f>
        <v/>
      </c>
      <c r="M218" s="187">
        <f>SUM(DEF[[#This Row],[L]:[V]])</f>
        <v>0</v>
      </c>
      <c r="N218" s="188">
        <f>SUM(DEF[[#This Row],[S]:[D]])</f>
        <v>0</v>
      </c>
      <c r="O218" s="188">
        <f>DEF[[#This Row],[TOTAL METAS L-V]]+DEF[[#This Row],[TOTAL METAS S-D-F]]</f>
        <v>0</v>
      </c>
      <c r="P218" s="188" t="e">
        <f>VLOOKUP(DEF[[#This Row],[CEDULA]],METAS[],17,0)</f>
        <v>#N/A</v>
      </c>
      <c r="Q21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18" s="190">
        <f>VLOOKUP(DEF[[#This Row],[CEDULA]],DATOS[],9,0)</f>
        <v>0</v>
      </c>
    </row>
    <row r="219" spans="1:18" hidden="1" x14ac:dyDescent="0.25">
      <c r="A219" s="183">
        <v>10313631</v>
      </c>
      <c r="B219" s="184" t="str">
        <f>IFERROR(IF(DEF[[#This Row],[OTRO PAGO]]=0,VLOOKUP(DEF[[#This Row],[CEDULA]],DATOS[],2,0),""),"")</f>
        <v>BASTIDAS ADOLFO</v>
      </c>
      <c r="C219" s="184" t="str">
        <f>IFERROR(VLOOKUP(DEF[[#This Row],[CEDULA]],DATOS[],5,0),"")</f>
        <v>TECNICO</v>
      </c>
      <c r="D219" s="185" t="s">
        <v>865</v>
      </c>
      <c r="E219" s="186" t="str">
        <f>IFERROR(VLOOKUP(DEF[[#This Row],[CEDULA]],NCH!$B$7:$AU$229,10,0),"")</f>
        <v/>
      </c>
      <c r="F219" s="186" t="str">
        <f>IFERROR(VLOOKUP(DEF[[#This Row],[CEDULA]],NCH!$B$7:$AU$229,16,0),"")</f>
        <v/>
      </c>
      <c r="G219" s="186" t="str">
        <f>IFERROR(VLOOKUP(DEF[[#This Row],[CEDULA]],NCH!$B$7:$AU$229,22,0),"")</f>
        <v/>
      </c>
      <c r="H219" s="186" t="str">
        <f>IFERROR(VLOOKUP(DEF[[#This Row],[CEDULA]],NCH!$B$7:$AU$229,28,0),"")</f>
        <v/>
      </c>
      <c r="I219" s="186" t="str">
        <f>IFERROR(VLOOKUP(DEF[[#This Row],[CEDULA]],NCH!$B$7:$AU$229,34,0),"")</f>
        <v/>
      </c>
      <c r="J219" s="186" t="str">
        <f>IFERROR(VLOOKUP(DEF[[#This Row],[CEDULA]],NCH!$B$7:$AU$229,40,0),"")</f>
        <v/>
      </c>
      <c r="K219" s="186" t="str">
        <f>IFERROR(VLOOKUP(DEF[[#This Row],[CEDULA]],NCH!$B$7:$AU$229,46,0),"")</f>
        <v/>
      </c>
      <c r="L219" s="186" t="str">
        <f>IFERROR(VLOOKUP(DEF[CEDULA],METAS[],13,0),"")</f>
        <v/>
      </c>
      <c r="M219" s="187">
        <f>SUM(DEF[[#This Row],[L]:[V]])</f>
        <v>0</v>
      </c>
      <c r="N219" s="188">
        <f>SUM(DEF[[#This Row],[S]:[D]])</f>
        <v>0</v>
      </c>
      <c r="O219" s="188">
        <f>DEF[[#This Row],[TOTAL METAS L-V]]+DEF[[#This Row],[TOTAL METAS S-D-F]]</f>
        <v>0</v>
      </c>
      <c r="P219" s="188" t="e">
        <f>VLOOKUP(DEF[[#This Row],[CEDULA]],METAS[],17,0)</f>
        <v>#N/A</v>
      </c>
      <c r="Q21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19" s="190">
        <f>VLOOKUP(DEF[[#This Row],[CEDULA]],DATOS[],9,0)</f>
        <v>0</v>
      </c>
    </row>
    <row r="220" spans="1:18" hidden="1" x14ac:dyDescent="0.25">
      <c r="A220" s="183">
        <v>18270230</v>
      </c>
      <c r="B220" s="184" t="str">
        <f>IFERROR(IF(DEF[[#This Row],[OTRO PAGO]]=0,VLOOKUP(DEF[[#This Row],[CEDULA]],DATOS[],2,0),""),"")</f>
        <v>ALBORNOZ AMARILIS</v>
      </c>
      <c r="C220" s="184" t="str">
        <f>IFERROR(VLOOKUP(DEF[[#This Row],[CEDULA]],DATOS[],5,0),"")</f>
        <v>SUPERVISORIO</v>
      </c>
      <c r="D220" s="185" t="s">
        <v>865</v>
      </c>
      <c r="E220" s="186" t="str">
        <f>IFERROR(VLOOKUP(DEF[[#This Row],[CEDULA]],NCH!$B$7:$AU$229,10,0),"")</f>
        <v/>
      </c>
      <c r="F220" s="186" t="str">
        <f>IFERROR(VLOOKUP(DEF[[#This Row],[CEDULA]],NCH!$B$7:$AU$229,16,0),"")</f>
        <v/>
      </c>
      <c r="G220" s="186" t="str">
        <f>IFERROR(VLOOKUP(DEF[[#This Row],[CEDULA]],NCH!$B$7:$AU$229,22,0),"")</f>
        <v/>
      </c>
      <c r="H220" s="186" t="str">
        <f>IFERROR(VLOOKUP(DEF[[#This Row],[CEDULA]],NCH!$B$7:$AU$229,28,0),"")</f>
        <v/>
      </c>
      <c r="I220" s="186" t="str">
        <f>IFERROR(VLOOKUP(DEF[[#This Row],[CEDULA]],NCH!$B$7:$AU$229,34,0),"")</f>
        <v/>
      </c>
      <c r="J220" s="186" t="str">
        <f>IFERROR(VLOOKUP(DEF[[#This Row],[CEDULA]],NCH!$B$7:$AU$229,40,0),"")</f>
        <v/>
      </c>
      <c r="K220" s="186" t="str">
        <f>IFERROR(VLOOKUP(DEF[[#This Row],[CEDULA]],NCH!$B$7:$AU$229,46,0),"")</f>
        <v/>
      </c>
      <c r="L220" s="186" t="str">
        <f>IFERROR(VLOOKUP(DEF[CEDULA],METAS[],13,0),"")</f>
        <v/>
      </c>
      <c r="M220" s="187">
        <f>SUM(DEF[[#This Row],[L]:[V]])</f>
        <v>0</v>
      </c>
      <c r="N220" s="188">
        <f>SUM(DEF[[#This Row],[S]:[D]])</f>
        <v>0</v>
      </c>
      <c r="O220" s="188">
        <f>DEF[[#This Row],[TOTAL METAS L-V]]+DEF[[#This Row],[TOTAL METAS S-D-F]]</f>
        <v>0</v>
      </c>
      <c r="P220" s="188" t="e">
        <f>VLOOKUP(DEF[[#This Row],[CEDULA]],METAS[],17,0)</f>
        <v>#N/A</v>
      </c>
      <c r="Q22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20" s="190">
        <f>VLOOKUP(DEF[[#This Row],[CEDULA]],DATOS[],9,0)</f>
        <v>0</v>
      </c>
    </row>
    <row r="221" spans="1:18" hidden="1" x14ac:dyDescent="0.25">
      <c r="A221" s="183">
        <v>8104790</v>
      </c>
      <c r="B221" s="184" t="str">
        <f>IFERROR(IF(DEF[[#This Row],[OTRO PAGO]]=0,VLOOKUP(DEF[[#This Row],[CEDULA]],DATOS[],2,0),""),"")</f>
        <v/>
      </c>
      <c r="C221" s="184" t="str">
        <f>IFERROR(VLOOKUP(DEF[[#This Row],[CEDULA]],DATOS[],5,0),"")</f>
        <v>SUPERVISORIO</v>
      </c>
      <c r="D221" s="185" t="s">
        <v>865</v>
      </c>
      <c r="E221" s="186" t="str">
        <f>IFERROR(VLOOKUP(DEF[[#This Row],[CEDULA]],NCH!$B$7:$AU$229,10,0),"")</f>
        <v/>
      </c>
      <c r="F221" s="186" t="str">
        <f>IFERROR(VLOOKUP(DEF[[#This Row],[CEDULA]],NCH!$B$7:$AU$229,16,0),"")</f>
        <v/>
      </c>
      <c r="G221" s="186" t="str">
        <f>IFERROR(VLOOKUP(DEF[[#This Row],[CEDULA]],NCH!$B$7:$AU$229,22,0),"")</f>
        <v/>
      </c>
      <c r="H221" s="186" t="str">
        <f>IFERROR(VLOOKUP(DEF[[#This Row],[CEDULA]],NCH!$B$7:$AU$229,28,0),"")</f>
        <v/>
      </c>
      <c r="I221" s="186" t="str">
        <f>IFERROR(VLOOKUP(DEF[[#This Row],[CEDULA]],NCH!$B$7:$AU$229,34,0),"")</f>
        <v/>
      </c>
      <c r="J221" s="186" t="str">
        <f>IFERROR(VLOOKUP(DEF[[#This Row],[CEDULA]],NCH!$B$7:$AU$229,40,0),"")</f>
        <v/>
      </c>
      <c r="K221" s="186" t="str">
        <f>IFERROR(VLOOKUP(DEF[[#This Row],[CEDULA]],NCH!$B$7:$AU$229,46,0),"")</f>
        <v/>
      </c>
      <c r="L221" s="186" t="str">
        <f>IFERROR(VLOOKUP(DEF[CEDULA],METAS[],13,0),"")</f>
        <v/>
      </c>
      <c r="M221" s="187">
        <f>SUM(DEF[[#This Row],[L]:[V]])</f>
        <v>0</v>
      </c>
      <c r="N221" s="188">
        <f>SUM(DEF[[#This Row],[S]:[D]])</f>
        <v>0</v>
      </c>
      <c r="O221" s="188">
        <f>DEF[[#This Row],[TOTAL METAS L-V]]+DEF[[#This Row],[TOTAL METAS S-D-F]]</f>
        <v>0</v>
      </c>
      <c r="P221" s="188" t="e">
        <f>VLOOKUP(DEF[[#This Row],[CEDULA]],METAS[],17,0)</f>
        <v>#N/A</v>
      </c>
      <c r="Q22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21" s="190" t="str">
        <f>VLOOKUP(DEF[[#This Row],[CEDULA]],DATOS[],9,0)</f>
        <v>OPERATIVO</v>
      </c>
    </row>
    <row r="222" spans="1:18" hidden="1" x14ac:dyDescent="0.25">
      <c r="A222" s="183">
        <v>6692649</v>
      </c>
      <c r="B222" s="184" t="str">
        <f>IFERROR(IF(DEF[[#This Row],[OTRO PAGO]]=0,VLOOKUP(DEF[[#This Row],[CEDULA]],DATOS[],2,0),""),"")</f>
        <v/>
      </c>
      <c r="C222" s="184" t="str">
        <f>IFERROR(VLOOKUP(DEF[[#This Row],[CEDULA]],DATOS[],5,0),"")</f>
        <v>SUPERVISORIO</v>
      </c>
      <c r="D222" s="185" t="s">
        <v>865</v>
      </c>
      <c r="E222" s="186" t="str">
        <f>IFERROR(VLOOKUP(DEF[[#This Row],[CEDULA]],NCH!$B$7:$AU$229,10,0),"")</f>
        <v/>
      </c>
      <c r="F222" s="186" t="str">
        <f>IFERROR(VLOOKUP(DEF[[#This Row],[CEDULA]],NCH!$B$7:$AU$229,16,0),"")</f>
        <v/>
      </c>
      <c r="G222" s="186" t="str">
        <f>IFERROR(VLOOKUP(DEF[[#This Row],[CEDULA]],NCH!$B$7:$AU$229,22,0),"")</f>
        <v/>
      </c>
      <c r="H222" s="186" t="str">
        <f>IFERROR(VLOOKUP(DEF[[#This Row],[CEDULA]],NCH!$B$7:$AU$229,28,0),"")</f>
        <v/>
      </c>
      <c r="I222" s="186" t="str">
        <f>IFERROR(VLOOKUP(DEF[[#This Row],[CEDULA]],NCH!$B$7:$AU$229,34,0),"")</f>
        <v/>
      </c>
      <c r="J222" s="186" t="str">
        <f>IFERROR(VLOOKUP(DEF[[#This Row],[CEDULA]],NCH!$B$7:$AU$229,40,0),"")</f>
        <v/>
      </c>
      <c r="K222" s="186" t="str">
        <f>IFERROR(VLOOKUP(DEF[[#This Row],[CEDULA]],NCH!$B$7:$AU$229,46,0),"")</f>
        <v/>
      </c>
      <c r="L222" s="186" t="str">
        <f>IFERROR(VLOOKUP(DEF[CEDULA],METAS[],13,0),"")</f>
        <v/>
      </c>
      <c r="M222" s="187">
        <f>SUM(DEF[[#This Row],[L]:[V]])</f>
        <v>0</v>
      </c>
      <c r="N222" s="188">
        <f>SUM(DEF[[#This Row],[S]:[D]])</f>
        <v>0</v>
      </c>
      <c r="O222" s="188">
        <f>DEF[[#This Row],[TOTAL METAS L-V]]+DEF[[#This Row],[TOTAL METAS S-D-F]]</f>
        <v>0</v>
      </c>
      <c r="P222" s="188" t="e">
        <f>VLOOKUP(DEF[[#This Row],[CEDULA]],METAS[],17,0)</f>
        <v>#N/A</v>
      </c>
      <c r="Q22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22" s="190" t="str">
        <f>VLOOKUP(DEF[[#This Row],[CEDULA]],DATOS[],9,0)</f>
        <v>OPERATIVO</v>
      </c>
    </row>
    <row r="223" spans="1:18" hidden="1" x14ac:dyDescent="0.25">
      <c r="A223" s="183">
        <v>14574510</v>
      </c>
      <c r="B223" s="184" t="str">
        <f>IFERROR(IF(DEF[[#This Row],[OTRO PAGO]]=0,VLOOKUP(DEF[[#This Row],[CEDULA]],DATOS[],2,0),""),"")</f>
        <v>RAMOS BETHZAIDA</v>
      </c>
      <c r="C223" s="184" t="str">
        <f>IFERROR(VLOOKUP(DEF[[#This Row],[CEDULA]],DATOS[],5,0),"")</f>
        <v>TECNICO</v>
      </c>
      <c r="D223" s="185" t="s">
        <v>865</v>
      </c>
      <c r="E223" s="186" t="str">
        <f>IFERROR(VLOOKUP(DEF[[#This Row],[CEDULA]],NCH!$B$7:$AU$229,10,0),"")</f>
        <v/>
      </c>
      <c r="F223" s="186" t="str">
        <f>IFERROR(VLOOKUP(DEF[[#This Row],[CEDULA]],NCH!$B$7:$AU$229,16,0),"")</f>
        <v/>
      </c>
      <c r="G223" s="186" t="str">
        <f>IFERROR(VLOOKUP(DEF[[#This Row],[CEDULA]],NCH!$B$7:$AU$229,22,0),"")</f>
        <v/>
      </c>
      <c r="H223" s="186" t="str">
        <f>IFERROR(VLOOKUP(DEF[[#This Row],[CEDULA]],NCH!$B$7:$AU$229,28,0),"")</f>
        <v/>
      </c>
      <c r="I223" s="186" t="str">
        <f>IFERROR(VLOOKUP(DEF[[#This Row],[CEDULA]],NCH!$B$7:$AU$229,34,0),"")</f>
        <v/>
      </c>
      <c r="J223" s="186" t="str">
        <f>IFERROR(VLOOKUP(DEF[[#This Row],[CEDULA]],NCH!$B$7:$AU$229,40,0),"")</f>
        <v/>
      </c>
      <c r="K223" s="186" t="str">
        <f>IFERROR(VLOOKUP(DEF[[#This Row],[CEDULA]],NCH!$B$7:$AU$229,46,0),"")</f>
        <v/>
      </c>
      <c r="L223" s="186" t="str">
        <f>IFERROR(VLOOKUP(DEF[CEDULA],METAS[],13,0),"")</f>
        <v/>
      </c>
      <c r="M223" s="187">
        <f>SUM(DEF[[#This Row],[L]:[V]])</f>
        <v>0</v>
      </c>
      <c r="N223" s="188">
        <f>SUM(DEF[[#This Row],[S]:[D]])</f>
        <v>0</v>
      </c>
      <c r="O223" s="188">
        <f>DEF[[#This Row],[TOTAL METAS L-V]]+DEF[[#This Row],[TOTAL METAS S-D-F]]</f>
        <v>0</v>
      </c>
      <c r="P223" s="188" t="e">
        <f>VLOOKUP(DEF[[#This Row],[CEDULA]],METAS[],17,0)</f>
        <v>#N/A</v>
      </c>
      <c r="Q22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23" s="190">
        <f>VLOOKUP(DEF[[#This Row],[CEDULA]],DATOS[],9,0)</f>
        <v>0</v>
      </c>
    </row>
    <row r="224" spans="1:18" hidden="1" x14ac:dyDescent="0.25">
      <c r="A224" s="183">
        <v>18750804</v>
      </c>
      <c r="B224" s="184" t="str">
        <f>IFERROR(IF(DEF[[#This Row],[OTRO PAGO]]=0,VLOOKUP(DEF[[#This Row],[CEDULA]],DATOS[],2,0),""),"")</f>
        <v/>
      </c>
      <c r="C224" s="184" t="str">
        <f>IFERROR(VLOOKUP(DEF[[#This Row],[CEDULA]],DATOS[],5,0),"")</f>
        <v>SUPERVISORIO</v>
      </c>
      <c r="D224" s="185" t="s">
        <v>865</v>
      </c>
      <c r="E224" s="186" t="str">
        <f>IFERROR(VLOOKUP(DEF[[#This Row],[CEDULA]],NCH!$B$7:$AU$229,10,0),"")</f>
        <v/>
      </c>
      <c r="F224" s="186" t="str">
        <f>IFERROR(VLOOKUP(DEF[[#This Row],[CEDULA]],NCH!$B$7:$AU$229,16,0),"")</f>
        <v/>
      </c>
      <c r="G224" s="186" t="str">
        <f>IFERROR(VLOOKUP(DEF[[#This Row],[CEDULA]],NCH!$B$7:$AU$229,22,0),"")</f>
        <v/>
      </c>
      <c r="H224" s="186" t="str">
        <f>IFERROR(VLOOKUP(DEF[[#This Row],[CEDULA]],NCH!$B$7:$AU$229,28,0),"")</f>
        <v/>
      </c>
      <c r="I224" s="186" t="str">
        <f>IFERROR(VLOOKUP(DEF[[#This Row],[CEDULA]],NCH!$B$7:$AU$229,34,0),"")</f>
        <v/>
      </c>
      <c r="J224" s="186" t="str">
        <f>IFERROR(VLOOKUP(DEF[[#This Row],[CEDULA]],NCH!$B$7:$AU$229,40,0),"")</f>
        <v/>
      </c>
      <c r="K224" s="186" t="str">
        <f>IFERROR(VLOOKUP(DEF[[#This Row],[CEDULA]],NCH!$B$7:$AU$229,46,0),"")</f>
        <v/>
      </c>
      <c r="L224" s="186" t="str">
        <f>IFERROR(VLOOKUP(DEF[CEDULA],METAS[],13,0),"")</f>
        <v/>
      </c>
      <c r="M224" s="187">
        <f>SUM(DEF[[#This Row],[L]:[V]])</f>
        <v>0</v>
      </c>
      <c r="N224" s="188">
        <f>SUM(DEF[[#This Row],[S]:[D]])</f>
        <v>0</v>
      </c>
      <c r="O224" s="188">
        <f>DEF[[#This Row],[TOTAL METAS L-V]]+DEF[[#This Row],[TOTAL METAS S-D-F]]</f>
        <v>0</v>
      </c>
      <c r="P224" s="188" t="e">
        <f>VLOOKUP(DEF[[#This Row],[CEDULA]],METAS[],17,0)</f>
        <v>#N/A</v>
      </c>
      <c r="Q22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24" s="190" t="str">
        <f>VLOOKUP(DEF[[#This Row],[CEDULA]],DATOS[],9,0)</f>
        <v>OPERATIVO</v>
      </c>
    </row>
    <row r="225" spans="1:18" hidden="1" x14ac:dyDescent="0.25">
      <c r="A225" s="183">
        <v>26303376</v>
      </c>
      <c r="B225" s="184" t="str">
        <f>IFERROR(IF(DEF[[#This Row],[OTRO PAGO]]=0,VLOOKUP(DEF[[#This Row],[CEDULA]],DATOS[],2,0),""),"")</f>
        <v/>
      </c>
      <c r="C225" s="184" t="str">
        <f>IFERROR(VLOOKUP(DEF[[#This Row],[CEDULA]],DATOS[],5,0),"")</f>
        <v/>
      </c>
      <c r="D225" s="185" t="s">
        <v>865</v>
      </c>
      <c r="E225" s="186" t="str">
        <f>IFERROR(VLOOKUP(DEF[[#This Row],[CEDULA]],NCH!$B$7:$AU$229,10,0),"")</f>
        <v/>
      </c>
      <c r="F225" s="186" t="str">
        <f>IFERROR(VLOOKUP(DEF[[#This Row],[CEDULA]],NCH!$B$7:$AU$229,16,0),"")</f>
        <v/>
      </c>
      <c r="G225" s="186" t="str">
        <f>IFERROR(VLOOKUP(DEF[[#This Row],[CEDULA]],NCH!$B$7:$AU$229,22,0),"")</f>
        <v/>
      </c>
      <c r="H225" s="186" t="str">
        <f>IFERROR(VLOOKUP(DEF[[#This Row],[CEDULA]],NCH!$B$7:$AU$229,28,0),"")</f>
        <v/>
      </c>
      <c r="I225" s="186" t="str">
        <f>IFERROR(VLOOKUP(DEF[[#This Row],[CEDULA]],NCH!$B$7:$AU$229,34,0),"")</f>
        <v/>
      </c>
      <c r="J225" s="186" t="str">
        <f>IFERROR(VLOOKUP(DEF[[#This Row],[CEDULA]],NCH!$B$7:$AU$229,40,0),"")</f>
        <v/>
      </c>
      <c r="K225" s="186" t="str">
        <f>IFERROR(VLOOKUP(DEF[[#This Row],[CEDULA]],NCH!$B$7:$AU$229,46,0),"")</f>
        <v/>
      </c>
      <c r="L225" s="186" t="str">
        <f>IFERROR(VLOOKUP(DEF[CEDULA],METAS[],13,0),"")</f>
        <v/>
      </c>
      <c r="M225" s="187">
        <f>SUM(DEF[[#This Row],[L]:[V]])</f>
        <v>0</v>
      </c>
      <c r="N225" s="188">
        <f>SUM(DEF[[#This Row],[S]:[D]])</f>
        <v>0</v>
      </c>
      <c r="O225" s="188">
        <f>DEF[[#This Row],[TOTAL METAS L-V]]+DEF[[#This Row],[TOTAL METAS S-D-F]]</f>
        <v>0</v>
      </c>
      <c r="P225" s="188" t="e">
        <f>VLOOKUP(DEF[[#This Row],[CEDULA]],METAS[],17,0)</f>
        <v>#N/A</v>
      </c>
      <c r="Q22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25" s="190" t="e">
        <f>VLOOKUP(DEF[[#This Row],[CEDULA]],DATOS[],9,0)</f>
        <v>#N/A</v>
      </c>
    </row>
    <row r="226" spans="1:18" hidden="1" x14ac:dyDescent="0.25">
      <c r="A226" s="183">
        <v>12384336</v>
      </c>
      <c r="B226" s="184" t="str">
        <f>IFERROR(IF(DEF[[#This Row],[OTRO PAGO]]=0,VLOOKUP(DEF[[#This Row],[CEDULA]],DATOS[],2,0),""),"")</f>
        <v>AMUNDARAIN YURBI</v>
      </c>
      <c r="C226" s="184" t="str">
        <f>IFERROR(VLOOKUP(DEF[[#This Row],[CEDULA]],DATOS[],5,0),"")</f>
        <v>PROFESIONAL</v>
      </c>
      <c r="D226" s="185" t="s">
        <v>865</v>
      </c>
      <c r="E226" s="186" t="str">
        <f>IFERROR(VLOOKUP(DEF[[#This Row],[CEDULA]],NCH!$B$7:$AU$229,10,0),"")</f>
        <v/>
      </c>
      <c r="F226" s="186" t="str">
        <f>IFERROR(VLOOKUP(DEF[[#This Row],[CEDULA]],NCH!$B$7:$AU$229,16,0),"")</f>
        <v/>
      </c>
      <c r="G226" s="186" t="str">
        <f>IFERROR(VLOOKUP(DEF[[#This Row],[CEDULA]],NCH!$B$7:$AU$229,22,0),"")</f>
        <v/>
      </c>
      <c r="H226" s="186" t="str">
        <f>IFERROR(VLOOKUP(DEF[[#This Row],[CEDULA]],NCH!$B$7:$AU$229,28,0),"")</f>
        <v/>
      </c>
      <c r="I226" s="186" t="str">
        <f>IFERROR(VLOOKUP(DEF[[#This Row],[CEDULA]],NCH!$B$7:$AU$229,34,0),"")</f>
        <v/>
      </c>
      <c r="J226" s="186" t="str">
        <f>IFERROR(VLOOKUP(DEF[[#This Row],[CEDULA]],NCH!$B$7:$AU$229,40,0),"")</f>
        <v/>
      </c>
      <c r="K226" s="186" t="str">
        <f>IFERROR(VLOOKUP(DEF[[#This Row],[CEDULA]],NCH!$B$7:$AU$229,46,0),"")</f>
        <v/>
      </c>
      <c r="L226" s="186" t="str">
        <f>IFERROR(VLOOKUP(DEF[CEDULA],METAS[],13,0),"")</f>
        <v/>
      </c>
      <c r="M226" s="187">
        <f>SUM(DEF[[#This Row],[L]:[V]])</f>
        <v>0</v>
      </c>
      <c r="N226" s="188">
        <f>SUM(DEF[[#This Row],[S]:[D]])</f>
        <v>0</v>
      </c>
      <c r="O226" s="188">
        <f>DEF[[#This Row],[TOTAL METAS L-V]]+DEF[[#This Row],[TOTAL METAS S-D-F]]</f>
        <v>0</v>
      </c>
      <c r="P226" s="188" t="e">
        <f>VLOOKUP(DEF[[#This Row],[CEDULA]],METAS[],17,0)</f>
        <v>#N/A</v>
      </c>
      <c r="Q22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26" s="190">
        <f>VLOOKUP(DEF[[#This Row],[CEDULA]],DATOS[],9,0)</f>
        <v>0</v>
      </c>
    </row>
    <row r="227" spans="1:18" hidden="1" x14ac:dyDescent="0.25">
      <c r="A227" s="183">
        <v>11679527</v>
      </c>
      <c r="B227" s="184" t="str">
        <f>IFERROR(IF(DEF[[#This Row],[OTRO PAGO]]=0,VLOOKUP(DEF[[#This Row],[CEDULA]],DATOS[],2,0),""),"")</f>
        <v>VELASQUEZ YELITZA</v>
      </c>
      <c r="C227" s="184" t="str">
        <f>IFERROR(VLOOKUP(DEF[[#This Row],[CEDULA]],DATOS[],5,0),"")</f>
        <v>PROFESIONAL</v>
      </c>
      <c r="D227" s="185" t="s">
        <v>865</v>
      </c>
      <c r="E227" s="186" t="str">
        <f>IFERROR(VLOOKUP(DEF[[#This Row],[CEDULA]],NCH!$B$7:$AU$229,10,0),"")</f>
        <v>No realizo Metas</v>
      </c>
      <c r="F227" s="186" t="str">
        <f>IFERROR(VLOOKUP(DEF[[#This Row],[CEDULA]],NCH!$B$7:$AU$229,16,0),"")</f>
        <v>No realizo Metas</v>
      </c>
      <c r="G227" s="186" t="str">
        <f>IFERROR(VLOOKUP(DEF[[#This Row],[CEDULA]],NCH!$B$7:$AU$229,22,0),"")</f>
        <v>No cumple H</v>
      </c>
      <c r="H227" s="186" t="str">
        <f>IFERROR(VLOOKUP(DEF[[#This Row],[CEDULA]],NCH!$B$7:$AU$229,28,0),"")</f>
        <v>No cumple H</v>
      </c>
      <c r="I227" s="186" t="str">
        <f>IFERROR(VLOOKUP(DEF[[#This Row],[CEDULA]],NCH!$B$7:$AU$229,34,0),"")</f>
        <v>No cumple H</v>
      </c>
      <c r="J227" s="186" t="str">
        <f>IFERROR(VLOOKUP(DEF[[#This Row],[CEDULA]],NCH!$B$7:$AU$229,40,0),"")</f>
        <v>No cumple H</v>
      </c>
      <c r="K227" s="186" t="str">
        <f>IFERROR(VLOOKUP(DEF[[#This Row],[CEDULA]],NCH!$B$7:$AU$229,46,0),"")</f>
        <v>No cumple H</v>
      </c>
      <c r="L227" s="186">
        <f>IFERROR(VLOOKUP(DEF[CEDULA],METAS[],13,0),"")</f>
        <v>1</v>
      </c>
      <c r="M227" s="187">
        <f>SUM(DEF[[#This Row],[L]:[V]])</f>
        <v>0</v>
      </c>
      <c r="N227" s="188">
        <f>SUM(DEF[[#This Row],[S]:[D]])</f>
        <v>0</v>
      </c>
      <c r="O227" s="188">
        <f>DEF[[#This Row],[TOTAL METAS L-V]]+DEF[[#This Row],[TOTAL METAS S-D-F]]</f>
        <v>0</v>
      </c>
      <c r="P227" s="188">
        <f>VLOOKUP(DEF[[#This Row],[CEDULA]],METAS[],17,0)</f>
        <v>258.75</v>
      </c>
      <c r="Q22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27" s="190">
        <f>VLOOKUP(DEF[[#This Row],[CEDULA]],DATOS[],9,0)</f>
        <v>0</v>
      </c>
    </row>
    <row r="228" spans="1:18" hidden="1" x14ac:dyDescent="0.25">
      <c r="A228" s="183">
        <v>13066471</v>
      </c>
      <c r="B228" s="184" t="str">
        <f>IFERROR(IF(DEF[[#This Row],[OTRO PAGO]]=0,VLOOKUP(DEF[[#This Row],[CEDULA]],DATOS[],2,0),""),"")</f>
        <v>CASTILLO CECIVER</v>
      </c>
      <c r="C228" s="184" t="str">
        <f>IFERROR(VLOOKUP(DEF[[#This Row],[CEDULA]],DATOS[],5,0),"")</f>
        <v>ADMINISTRATIVO</v>
      </c>
      <c r="D228" s="185" t="s">
        <v>865</v>
      </c>
      <c r="E228" s="186" t="str">
        <f>IFERROR(VLOOKUP(DEF[[#This Row],[CEDULA]],NCH!$B$7:$AU$229,10,0),"")</f>
        <v/>
      </c>
      <c r="F228" s="186" t="str">
        <f>IFERROR(VLOOKUP(DEF[[#This Row],[CEDULA]],NCH!$B$7:$AU$229,16,0),"")</f>
        <v/>
      </c>
      <c r="G228" s="186" t="str">
        <f>IFERROR(VLOOKUP(DEF[[#This Row],[CEDULA]],NCH!$B$7:$AU$229,22,0),"")</f>
        <v/>
      </c>
      <c r="H228" s="186" t="str">
        <f>IFERROR(VLOOKUP(DEF[[#This Row],[CEDULA]],NCH!$B$7:$AU$229,28,0),"")</f>
        <v/>
      </c>
      <c r="I228" s="186" t="str">
        <f>IFERROR(VLOOKUP(DEF[[#This Row],[CEDULA]],NCH!$B$7:$AU$229,34,0),"")</f>
        <v/>
      </c>
      <c r="J228" s="186" t="str">
        <f>IFERROR(VLOOKUP(DEF[[#This Row],[CEDULA]],NCH!$B$7:$AU$229,40,0),"")</f>
        <v/>
      </c>
      <c r="K228" s="186" t="str">
        <f>IFERROR(VLOOKUP(DEF[[#This Row],[CEDULA]],NCH!$B$7:$AU$229,46,0),"")</f>
        <v/>
      </c>
      <c r="L228" s="186" t="str">
        <f>IFERROR(VLOOKUP(DEF[CEDULA],METAS[],13,0),"")</f>
        <v/>
      </c>
      <c r="M228" s="187">
        <f>SUM(DEF[[#This Row],[L]:[V]])</f>
        <v>0</v>
      </c>
      <c r="N228" s="188">
        <f>SUM(DEF[[#This Row],[S]:[D]])</f>
        <v>0</v>
      </c>
      <c r="O228" s="188">
        <f>DEF[[#This Row],[TOTAL METAS L-V]]+DEF[[#This Row],[TOTAL METAS S-D-F]]</f>
        <v>0</v>
      </c>
      <c r="P228" s="188" t="e">
        <f>VLOOKUP(DEF[[#This Row],[CEDULA]],METAS[],17,0)</f>
        <v>#N/A</v>
      </c>
      <c r="Q22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28" s="190">
        <f>VLOOKUP(DEF[[#This Row],[CEDULA]],DATOS[],9,0)</f>
        <v>0</v>
      </c>
    </row>
    <row r="229" spans="1:18" hidden="1" x14ac:dyDescent="0.25">
      <c r="A229" s="183">
        <v>3724075</v>
      </c>
      <c r="B229" s="184" t="str">
        <f>IFERROR(IF(DEF[[#This Row],[OTRO PAGO]]=0,VLOOKUP(DEF[[#This Row],[CEDULA]],DATOS[],2,0),""),"")</f>
        <v>JIMENEZ EDISON</v>
      </c>
      <c r="C229" s="184" t="str">
        <f>IFERROR(VLOOKUP(DEF[[#This Row],[CEDULA]],DATOS[],5,0),"")</f>
        <v>TECNICO</v>
      </c>
      <c r="D229" s="185" t="s">
        <v>865</v>
      </c>
      <c r="E229" s="186" t="str">
        <f>IFERROR(VLOOKUP(DEF[[#This Row],[CEDULA]],NCH!$B$7:$AU$229,10,0),"")</f>
        <v/>
      </c>
      <c r="F229" s="186" t="str">
        <f>IFERROR(VLOOKUP(DEF[[#This Row],[CEDULA]],NCH!$B$7:$AU$229,16,0),"")</f>
        <v/>
      </c>
      <c r="G229" s="186" t="str">
        <f>IFERROR(VLOOKUP(DEF[[#This Row],[CEDULA]],NCH!$B$7:$AU$229,22,0),"")</f>
        <v/>
      </c>
      <c r="H229" s="186" t="str">
        <f>IFERROR(VLOOKUP(DEF[[#This Row],[CEDULA]],NCH!$B$7:$AU$229,28,0),"")</f>
        <v/>
      </c>
      <c r="I229" s="186" t="str">
        <f>IFERROR(VLOOKUP(DEF[[#This Row],[CEDULA]],NCH!$B$7:$AU$229,34,0),"")</f>
        <v/>
      </c>
      <c r="J229" s="186" t="str">
        <f>IFERROR(VLOOKUP(DEF[[#This Row],[CEDULA]],NCH!$B$7:$AU$229,40,0),"")</f>
        <v/>
      </c>
      <c r="K229" s="186" t="str">
        <f>IFERROR(VLOOKUP(DEF[[#This Row],[CEDULA]],NCH!$B$7:$AU$229,46,0),"")</f>
        <v/>
      </c>
      <c r="L229" s="186" t="str">
        <f>IFERROR(VLOOKUP(DEF[CEDULA],METAS[],13,0),"")</f>
        <v/>
      </c>
      <c r="M229" s="187">
        <f>SUM(DEF[[#This Row],[L]:[V]])</f>
        <v>0</v>
      </c>
      <c r="N229" s="188">
        <f>SUM(DEF[[#This Row],[S]:[D]])</f>
        <v>0</v>
      </c>
      <c r="O229" s="188">
        <f>DEF[[#This Row],[TOTAL METAS L-V]]+DEF[[#This Row],[TOTAL METAS S-D-F]]</f>
        <v>0</v>
      </c>
      <c r="P229" s="188" t="e">
        <f>VLOOKUP(DEF[[#This Row],[CEDULA]],METAS[],17,0)</f>
        <v>#N/A</v>
      </c>
      <c r="Q22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29" s="190">
        <f>VLOOKUP(DEF[[#This Row],[CEDULA]],DATOS[],9,0)</f>
        <v>0</v>
      </c>
    </row>
    <row r="230" spans="1:18" hidden="1" x14ac:dyDescent="0.25">
      <c r="A230" s="183">
        <v>11918634</v>
      </c>
      <c r="B230" s="184" t="str">
        <f>IFERROR(IF(DEF[[#This Row],[OTRO PAGO]]=0,VLOOKUP(DEF[[#This Row],[CEDULA]],DATOS[],2,0),""),"")</f>
        <v/>
      </c>
      <c r="C230" s="184" t="str">
        <f>IFERROR(VLOOKUP(DEF[[#This Row],[CEDULA]],DATOS[],5,0),"")</f>
        <v>SUPERVISORIO</v>
      </c>
      <c r="D230" s="185" t="s">
        <v>865</v>
      </c>
      <c r="E230" s="186" t="str">
        <f>IFERROR(VLOOKUP(DEF[[#This Row],[CEDULA]],NCH!$B$7:$AU$229,10,0),"")</f>
        <v/>
      </c>
      <c r="F230" s="186" t="str">
        <f>IFERROR(VLOOKUP(DEF[[#This Row],[CEDULA]],NCH!$B$7:$AU$229,16,0),"")</f>
        <v/>
      </c>
      <c r="G230" s="186" t="str">
        <f>IFERROR(VLOOKUP(DEF[[#This Row],[CEDULA]],NCH!$B$7:$AU$229,22,0),"")</f>
        <v/>
      </c>
      <c r="H230" s="186" t="str">
        <f>IFERROR(VLOOKUP(DEF[[#This Row],[CEDULA]],NCH!$B$7:$AU$229,28,0),"")</f>
        <v/>
      </c>
      <c r="I230" s="186" t="str">
        <f>IFERROR(VLOOKUP(DEF[[#This Row],[CEDULA]],NCH!$B$7:$AU$229,34,0),"")</f>
        <v/>
      </c>
      <c r="J230" s="186" t="str">
        <f>IFERROR(VLOOKUP(DEF[[#This Row],[CEDULA]],NCH!$B$7:$AU$229,40,0),"")</f>
        <v/>
      </c>
      <c r="K230" s="186" t="str">
        <f>IFERROR(VLOOKUP(DEF[[#This Row],[CEDULA]],NCH!$B$7:$AU$229,46,0),"")</f>
        <v/>
      </c>
      <c r="L230" s="186" t="str">
        <f>IFERROR(VLOOKUP(DEF[CEDULA],METAS[],13,0),"")</f>
        <v/>
      </c>
      <c r="M230" s="187">
        <f>SUM(DEF[[#This Row],[L]:[V]])</f>
        <v>0</v>
      </c>
      <c r="N230" s="188">
        <f>SUM(DEF[[#This Row],[S]:[D]])</f>
        <v>0</v>
      </c>
      <c r="O230" s="188">
        <f>DEF[[#This Row],[TOTAL METAS L-V]]+DEF[[#This Row],[TOTAL METAS S-D-F]]</f>
        <v>0</v>
      </c>
      <c r="P230" s="188" t="e">
        <f>VLOOKUP(DEF[[#This Row],[CEDULA]],METAS[],17,0)</f>
        <v>#N/A</v>
      </c>
      <c r="Q23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30" s="190" t="str">
        <f>VLOOKUP(DEF[[#This Row],[CEDULA]],DATOS[],9,0)</f>
        <v>OPERATIVO</v>
      </c>
    </row>
    <row r="231" spans="1:18" hidden="1" x14ac:dyDescent="0.25">
      <c r="A231" s="183">
        <v>12396334</v>
      </c>
      <c r="B231" s="184" t="str">
        <f>IFERROR(IF(DEF[[#This Row],[OTRO PAGO]]=0,VLOOKUP(DEF[[#This Row],[CEDULA]],DATOS[],2,0),""),"")</f>
        <v>LINARES MAURY</v>
      </c>
      <c r="C231" s="184" t="str">
        <f>IFERROR(VLOOKUP(DEF[[#This Row],[CEDULA]],DATOS[],5,0),"")</f>
        <v>PROFESIONAL</v>
      </c>
      <c r="D231" s="185" t="s">
        <v>865</v>
      </c>
      <c r="E231" s="186" t="str">
        <f>IFERROR(VLOOKUP(DEF[[#This Row],[CEDULA]],NCH!$B$7:$AU$229,10,0),"")</f>
        <v/>
      </c>
      <c r="F231" s="186" t="str">
        <f>IFERROR(VLOOKUP(DEF[[#This Row],[CEDULA]],NCH!$B$7:$AU$229,16,0),"")</f>
        <v/>
      </c>
      <c r="G231" s="186" t="str">
        <f>IFERROR(VLOOKUP(DEF[[#This Row],[CEDULA]],NCH!$B$7:$AU$229,22,0),"")</f>
        <v/>
      </c>
      <c r="H231" s="186" t="str">
        <f>IFERROR(VLOOKUP(DEF[[#This Row],[CEDULA]],NCH!$B$7:$AU$229,28,0),"")</f>
        <v/>
      </c>
      <c r="I231" s="186" t="str">
        <f>IFERROR(VLOOKUP(DEF[[#This Row],[CEDULA]],NCH!$B$7:$AU$229,34,0),"")</f>
        <v/>
      </c>
      <c r="J231" s="186" t="str">
        <f>IFERROR(VLOOKUP(DEF[[#This Row],[CEDULA]],NCH!$B$7:$AU$229,40,0),"")</f>
        <v/>
      </c>
      <c r="K231" s="186" t="str">
        <f>IFERROR(VLOOKUP(DEF[[#This Row],[CEDULA]],NCH!$B$7:$AU$229,46,0),"")</f>
        <v/>
      </c>
      <c r="L231" s="186" t="str">
        <f>IFERROR(VLOOKUP(DEF[CEDULA],METAS[],13,0),"")</f>
        <v/>
      </c>
      <c r="M231" s="187">
        <f>SUM(DEF[[#This Row],[L]:[V]])</f>
        <v>0</v>
      </c>
      <c r="N231" s="188">
        <f>SUM(DEF[[#This Row],[S]:[D]])</f>
        <v>0</v>
      </c>
      <c r="O231" s="188">
        <f>DEF[[#This Row],[TOTAL METAS L-V]]+DEF[[#This Row],[TOTAL METAS S-D-F]]</f>
        <v>0</v>
      </c>
      <c r="P231" s="188" t="e">
        <f>VLOOKUP(DEF[[#This Row],[CEDULA]],METAS[],17,0)</f>
        <v>#N/A</v>
      </c>
      <c r="Q23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31" s="190">
        <f>VLOOKUP(DEF[[#This Row],[CEDULA]],DATOS[],9,0)</f>
        <v>0</v>
      </c>
    </row>
    <row r="232" spans="1:18" hidden="1" x14ac:dyDescent="0.25">
      <c r="A232" s="183">
        <v>6193376</v>
      </c>
      <c r="B232" s="184" t="str">
        <f>IFERROR(IF(DEF[[#This Row],[OTRO PAGO]]=0,VLOOKUP(DEF[[#This Row],[CEDULA]],DATOS[],2,0),""),"")</f>
        <v>QUIARO JOSE</v>
      </c>
      <c r="C232" s="184" t="str">
        <f>IFERROR(VLOOKUP(DEF[[#This Row],[CEDULA]],DATOS[],5,0),"")</f>
        <v>OBRERO</v>
      </c>
      <c r="D232" s="185" t="s">
        <v>865</v>
      </c>
      <c r="E232" s="186" t="str">
        <f>IFERROR(VLOOKUP(DEF[[#This Row],[CEDULA]],NCH!$B$7:$AU$229,10,0),"")</f>
        <v/>
      </c>
      <c r="F232" s="186" t="str">
        <f>IFERROR(VLOOKUP(DEF[[#This Row],[CEDULA]],NCH!$B$7:$AU$229,16,0),"")</f>
        <v/>
      </c>
      <c r="G232" s="186" t="str">
        <f>IFERROR(VLOOKUP(DEF[[#This Row],[CEDULA]],NCH!$B$7:$AU$229,22,0),"")</f>
        <v/>
      </c>
      <c r="H232" s="186" t="str">
        <f>IFERROR(VLOOKUP(DEF[[#This Row],[CEDULA]],NCH!$B$7:$AU$229,28,0),"")</f>
        <v/>
      </c>
      <c r="I232" s="186" t="str">
        <f>IFERROR(VLOOKUP(DEF[[#This Row],[CEDULA]],NCH!$B$7:$AU$229,34,0),"")</f>
        <v/>
      </c>
      <c r="J232" s="186" t="str">
        <f>IFERROR(VLOOKUP(DEF[[#This Row],[CEDULA]],NCH!$B$7:$AU$229,40,0),"")</f>
        <v/>
      </c>
      <c r="K232" s="186" t="str">
        <f>IFERROR(VLOOKUP(DEF[[#This Row],[CEDULA]],NCH!$B$7:$AU$229,46,0),"")</f>
        <v/>
      </c>
      <c r="L232" s="186" t="str">
        <f>IFERROR(VLOOKUP(DEF[CEDULA],METAS[],13,0),"")</f>
        <v/>
      </c>
      <c r="M232" s="187">
        <f>SUM(DEF[[#This Row],[L]:[V]])</f>
        <v>0</v>
      </c>
      <c r="N232" s="188">
        <f>SUM(DEF[[#This Row],[S]:[D]])</f>
        <v>0</v>
      </c>
      <c r="O232" s="188">
        <f>DEF[[#This Row],[TOTAL METAS L-V]]+DEF[[#This Row],[TOTAL METAS S-D-F]]</f>
        <v>0</v>
      </c>
      <c r="P232" s="188" t="e">
        <f>VLOOKUP(DEF[[#This Row],[CEDULA]],METAS[],17,0)</f>
        <v>#N/A</v>
      </c>
      <c r="Q23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32" s="190">
        <f>VLOOKUP(DEF[[#This Row],[CEDULA]],DATOS[],9,0)</f>
        <v>0</v>
      </c>
    </row>
    <row r="233" spans="1:18" hidden="1" x14ac:dyDescent="0.25">
      <c r="A233" s="183">
        <v>10382319</v>
      </c>
      <c r="B233" s="184" t="str">
        <f>IFERROR(IF(DEF[[#This Row],[OTRO PAGO]]=0,VLOOKUP(DEF[[#This Row],[CEDULA]],DATOS[],2,0),""),"")</f>
        <v/>
      </c>
      <c r="C233" s="184" t="str">
        <f>IFERROR(VLOOKUP(DEF[[#This Row],[CEDULA]],DATOS[],5,0),"")</f>
        <v>SUPERVISORIO</v>
      </c>
      <c r="D233" s="185" t="s">
        <v>865</v>
      </c>
      <c r="E233" s="186" t="str">
        <f>IFERROR(VLOOKUP(DEF[[#This Row],[CEDULA]],NCH!$B$7:$AU$229,10,0),"")</f>
        <v/>
      </c>
      <c r="F233" s="186" t="str">
        <f>IFERROR(VLOOKUP(DEF[[#This Row],[CEDULA]],NCH!$B$7:$AU$229,16,0),"")</f>
        <v/>
      </c>
      <c r="G233" s="186" t="str">
        <f>IFERROR(VLOOKUP(DEF[[#This Row],[CEDULA]],NCH!$B$7:$AU$229,22,0),"")</f>
        <v/>
      </c>
      <c r="H233" s="186" t="str">
        <f>IFERROR(VLOOKUP(DEF[[#This Row],[CEDULA]],NCH!$B$7:$AU$229,28,0),"")</f>
        <v/>
      </c>
      <c r="I233" s="186" t="str">
        <f>IFERROR(VLOOKUP(DEF[[#This Row],[CEDULA]],NCH!$B$7:$AU$229,34,0),"")</f>
        <v/>
      </c>
      <c r="J233" s="186" t="str">
        <f>IFERROR(VLOOKUP(DEF[[#This Row],[CEDULA]],NCH!$B$7:$AU$229,40,0),"")</f>
        <v/>
      </c>
      <c r="K233" s="186" t="str">
        <f>IFERROR(VLOOKUP(DEF[[#This Row],[CEDULA]],NCH!$B$7:$AU$229,46,0),"")</f>
        <v/>
      </c>
      <c r="L233" s="186" t="str">
        <f>IFERROR(VLOOKUP(DEF[CEDULA],METAS[],13,0),"")</f>
        <v/>
      </c>
      <c r="M233" s="187">
        <f>SUM(DEF[[#This Row],[L]:[V]])</f>
        <v>0</v>
      </c>
      <c r="N233" s="188">
        <f>SUM(DEF[[#This Row],[S]:[D]])</f>
        <v>0</v>
      </c>
      <c r="O233" s="188">
        <f>DEF[[#This Row],[TOTAL METAS L-V]]+DEF[[#This Row],[TOTAL METAS S-D-F]]</f>
        <v>0</v>
      </c>
      <c r="P233" s="188" t="e">
        <f>VLOOKUP(DEF[[#This Row],[CEDULA]],METAS[],17,0)</f>
        <v>#N/A</v>
      </c>
      <c r="Q23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33" s="190" t="str">
        <f>VLOOKUP(DEF[[#This Row],[CEDULA]],DATOS[],9,0)</f>
        <v>OPERATIVO</v>
      </c>
    </row>
    <row r="234" spans="1:18" hidden="1" x14ac:dyDescent="0.25">
      <c r="A234" s="183">
        <v>6899191</v>
      </c>
      <c r="B234" s="184" t="str">
        <f>IFERROR(IF(DEF[[#This Row],[OTRO PAGO]]=0,VLOOKUP(DEF[[#This Row],[CEDULA]],DATOS[],2,0),""),"")</f>
        <v>PADRON ALIX</v>
      </c>
      <c r="C234" s="184" t="str">
        <f>IFERROR(VLOOKUP(DEF[[#This Row],[CEDULA]],DATOS[],5,0),"")</f>
        <v>PROFESIONAL</v>
      </c>
      <c r="D234" s="185" t="s">
        <v>865</v>
      </c>
      <c r="E234" s="186" t="str">
        <f>IFERROR(VLOOKUP(DEF[[#This Row],[CEDULA]],NCH!$B$7:$AU$229,10,0),"")</f>
        <v/>
      </c>
      <c r="F234" s="186" t="str">
        <f>IFERROR(VLOOKUP(DEF[[#This Row],[CEDULA]],NCH!$B$7:$AU$229,16,0),"")</f>
        <v/>
      </c>
      <c r="G234" s="186" t="str">
        <f>IFERROR(VLOOKUP(DEF[[#This Row],[CEDULA]],NCH!$B$7:$AU$229,22,0),"")</f>
        <v/>
      </c>
      <c r="H234" s="186" t="str">
        <f>IFERROR(VLOOKUP(DEF[[#This Row],[CEDULA]],NCH!$B$7:$AU$229,28,0),"")</f>
        <v/>
      </c>
      <c r="I234" s="186" t="str">
        <f>IFERROR(VLOOKUP(DEF[[#This Row],[CEDULA]],NCH!$B$7:$AU$229,34,0),"")</f>
        <v/>
      </c>
      <c r="J234" s="186" t="str">
        <f>IFERROR(VLOOKUP(DEF[[#This Row],[CEDULA]],NCH!$B$7:$AU$229,40,0),"")</f>
        <v/>
      </c>
      <c r="K234" s="186" t="str">
        <f>IFERROR(VLOOKUP(DEF[[#This Row],[CEDULA]],NCH!$B$7:$AU$229,46,0),"")</f>
        <v/>
      </c>
      <c r="L234" s="186" t="str">
        <f>IFERROR(VLOOKUP(DEF[CEDULA],METAS[],13,0),"")</f>
        <v/>
      </c>
      <c r="M234" s="187">
        <f>SUM(DEF[[#This Row],[L]:[V]])</f>
        <v>0</v>
      </c>
      <c r="N234" s="188">
        <f>SUM(DEF[[#This Row],[S]:[D]])</f>
        <v>0</v>
      </c>
      <c r="O234" s="188">
        <f>DEF[[#This Row],[TOTAL METAS L-V]]+DEF[[#This Row],[TOTAL METAS S-D-F]]</f>
        <v>0</v>
      </c>
      <c r="P234" s="188" t="e">
        <f>VLOOKUP(DEF[[#This Row],[CEDULA]],METAS[],17,0)</f>
        <v>#N/A</v>
      </c>
      <c r="Q23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34" s="190">
        <f>VLOOKUP(DEF[[#This Row],[CEDULA]],DATOS[],9,0)</f>
        <v>0</v>
      </c>
    </row>
    <row r="235" spans="1:18" hidden="1" x14ac:dyDescent="0.25">
      <c r="A235" s="183">
        <v>12410293</v>
      </c>
      <c r="B235" s="184" t="str">
        <f>IFERROR(IF(DEF[[#This Row],[OTRO PAGO]]=0,VLOOKUP(DEF[[#This Row],[CEDULA]],DATOS[],2,0),""),"")</f>
        <v>DIAZ TOMAS</v>
      </c>
      <c r="C235" s="184" t="str">
        <f>IFERROR(VLOOKUP(DEF[[#This Row],[CEDULA]],DATOS[],5,0),"")</f>
        <v>SUPERVISORIO</v>
      </c>
      <c r="D235" s="185" t="s">
        <v>864</v>
      </c>
      <c r="E235" s="186" t="str">
        <f>IFERROR(VLOOKUP(DEF[[#This Row],[CEDULA]],NCH!$B$7:$AU$229,10,0),"")</f>
        <v>No realizo Metas</v>
      </c>
      <c r="F235" s="186" t="str">
        <f>IFERROR(VLOOKUP(DEF[[#This Row],[CEDULA]],NCH!$B$7:$AU$229,16,0),"")</f>
        <v>No realizo Metas</v>
      </c>
      <c r="G235" s="186" t="str">
        <f>IFERROR(VLOOKUP(DEF[[#This Row],[CEDULA]],NCH!$B$7:$AU$229,22,0),"")</f>
        <v>No cumple H</v>
      </c>
      <c r="H235" s="186" t="str">
        <f>IFERROR(VLOOKUP(DEF[[#This Row],[CEDULA]],NCH!$B$7:$AU$229,28,0),"")</f>
        <v>No cumple H</v>
      </c>
      <c r="I235" s="186" t="str">
        <f>IFERROR(VLOOKUP(DEF[[#This Row],[CEDULA]],NCH!$B$7:$AU$229,34,0),"")</f>
        <v>No cumple H</v>
      </c>
      <c r="J235" s="186" t="str">
        <f>IFERROR(VLOOKUP(DEF[[#This Row],[CEDULA]],NCH!$B$7:$AU$229,40,0),"")</f>
        <v>No cumple H</v>
      </c>
      <c r="K235" s="186" t="str">
        <f>IFERROR(VLOOKUP(DEF[[#This Row],[CEDULA]],NCH!$B$7:$AU$229,46,0),"")</f>
        <v>No cumple H</v>
      </c>
      <c r="L235" s="186">
        <f>IFERROR(VLOOKUP(DEF[CEDULA],METAS[],13,0),"")</f>
        <v>0</v>
      </c>
      <c r="M235" s="187">
        <f>SUM(DEF[[#This Row],[L]:[V]])</f>
        <v>0</v>
      </c>
      <c r="N235" s="188">
        <f>SUM(DEF[[#This Row],[S]:[D]])</f>
        <v>0</v>
      </c>
      <c r="O235" s="188">
        <f>DEF[[#This Row],[TOTAL METAS L-V]]+DEF[[#This Row],[TOTAL METAS S-D-F]]</f>
        <v>0</v>
      </c>
      <c r="P235" s="188">
        <f>VLOOKUP(DEF[[#This Row],[CEDULA]],METAS[],17,0)</f>
        <v>0</v>
      </c>
      <c r="Q23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35" s="190">
        <f>VLOOKUP(DEF[[#This Row],[CEDULA]],DATOS[],9,0)</f>
        <v>0</v>
      </c>
    </row>
    <row r="236" spans="1:18" hidden="1" x14ac:dyDescent="0.25">
      <c r="A236" s="183">
        <v>22760305</v>
      </c>
      <c r="B236" s="184" t="str">
        <f>IFERROR(IF(DEF[[#This Row],[OTRO PAGO]]=0,VLOOKUP(DEF[[#This Row],[CEDULA]],DATOS[],2,0),""),"")</f>
        <v>ALTUVE KEIMMER</v>
      </c>
      <c r="C236" s="184" t="str">
        <f>IFERROR(VLOOKUP(DEF[[#This Row],[CEDULA]],DATOS[],5,0),"")</f>
        <v>TECNICO</v>
      </c>
      <c r="D236" s="185" t="s">
        <v>864</v>
      </c>
      <c r="E236" s="186" t="str">
        <f>IFERROR(VLOOKUP(DEF[[#This Row],[CEDULA]],NCH!$B$7:$AU$229,10,0),"")</f>
        <v/>
      </c>
      <c r="F236" s="186" t="str">
        <f>IFERROR(VLOOKUP(DEF[[#This Row],[CEDULA]],NCH!$B$7:$AU$229,16,0),"")</f>
        <v/>
      </c>
      <c r="G236" s="186" t="str">
        <f>IFERROR(VLOOKUP(DEF[[#This Row],[CEDULA]],NCH!$B$7:$AU$229,22,0),"")</f>
        <v/>
      </c>
      <c r="H236" s="186" t="str">
        <f>IFERROR(VLOOKUP(DEF[[#This Row],[CEDULA]],NCH!$B$7:$AU$229,28,0),"")</f>
        <v/>
      </c>
      <c r="I236" s="186" t="str">
        <f>IFERROR(VLOOKUP(DEF[[#This Row],[CEDULA]],NCH!$B$7:$AU$229,34,0),"")</f>
        <v/>
      </c>
      <c r="J236" s="186" t="str">
        <f>IFERROR(VLOOKUP(DEF[[#This Row],[CEDULA]],NCH!$B$7:$AU$229,40,0),"")</f>
        <v/>
      </c>
      <c r="K236" s="186" t="str">
        <f>IFERROR(VLOOKUP(DEF[[#This Row],[CEDULA]],NCH!$B$7:$AU$229,46,0),"")</f>
        <v/>
      </c>
      <c r="L236" s="186" t="str">
        <f>IFERROR(VLOOKUP(DEF[CEDULA],METAS[],13,0),"")</f>
        <v/>
      </c>
      <c r="M236" s="187">
        <f>SUM(DEF[[#This Row],[L]:[V]])</f>
        <v>0</v>
      </c>
      <c r="N236" s="188">
        <f>SUM(DEF[[#This Row],[S]:[D]])</f>
        <v>0</v>
      </c>
      <c r="O236" s="188">
        <f>DEF[[#This Row],[TOTAL METAS L-V]]+DEF[[#This Row],[TOTAL METAS S-D-F]]</f>
        <v>0</v>
      </c>
      <c r="P236" s="188" t="e">
        <f>VLOOKUP(DEF[[#This Row],[CEDULA]],METAS[],17,0)</f>
        <v>#N/A</v>
      </c>
      <c r="Q23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36" s="190">
        <f>VLOOKUP(DEF[[#This Row],[CEDULA]],DATOS[],9,0)</f>
        <v>0</v>
      </c>
    </row>
    <row r="237" spans="1:18" hidden="1" x14ac:dyDescent="0.25">
      <c r="A237" s="183">
        <v>27421804</v>
      </c>
      <c r="B237" s="184" t="str">
        <f>IFERROR(IF(DEF[[#This Row],[OTRO PAGO]]=0,VLOOKUP(DEF[[#This Row],[CEDULA]],DATOS[],2,0),""),"")</f>
        <v>QUIJADA RICHARD</v>
      </c>
      <c r="C237" s="184" t="str">
        <f>IFERROR(VLOOKUP(DEF[[#This Row],[CEDULA]],DATOS[],5,0),"")</f>
        <v>ADMINISTRATIVO</v>
      </c>
      <c r="D237" s="185" t="s">
        <v>864</v>
      </c>
      <c r="E237" s="186" t="str">
        <f>IFERROR(VLOOKUP(DEF[[#This Row],[CEDULA]],NCH!$B$7:$AU$229,10,0),"")</f>
        <v/>
      </c>
      <c r="F237" s="186" t="str">
        <f>IFERROR(VLOOKUP(DEF[[#This Row],[CEDULA]],NCH!$B$7:$AU$229,16,0),"")</f>
        <v/>
      </c>
      <c r="G237" s="186" t="str">
        <f>IFERROR(VLOOKUP(DEF[[#This Row],[CEDULA]],NCH!$B$7:$AU$229,22,0),"")</f>
        <v/>
      </c>
      <c r="H237" s="186" t="str">
        <f>IFERROR(VLOOKUP(DEF[[#This Row],[CEDULA]],NCH!$B$7:$AU$229,28,0),"")</f>
        <v/>
      </c>
      <c r="I237" s="186" t="str">
        <f>IFERROR(VLOOKUP(DEF[[#This Row],[CEDULA]],NCH!$B$7:$AU$229,34,0),"")</f>
        <v/>
      </c>
      <c r="J237" s="186" t="str">
        <f>IFERROR(VLOOKUP(DEF[[#This Row],[CEDULA]],NCH!$B$7:$AU$229,40,0),"")</f>
        <v/>
      </c>
      <c r="K237" s="186" t="str">
        <f>IFERROR(VLOOKUP(DEF[[#This Row],[CEDULA]],NCH!$B$7:$AU$229,46,0),"")</f>
        <v/>
      </c>
      <c r="L237" s="186" t="str">
        <f>IFERROR(VLOOKUP(DEF[CEDULA],METAS[],13,0),"")</f>
        <v/>
      </c>
      <c r="M237" s="187">
        <f>SUM(DEF[[#This Row],[L]:[V]])</f>
        <v>0</v>
      </c>
      <c r="N237" s="188">
        <f>SUM(DEF[[#This Row],[S]:[D]])</f>
        <v>0</v>
      </c>
      <c r="O237" s="188">
        <f>DEF[[#This Row],[TOTAL METAS L-V]]+DEF[[#This Row],[TOTAL METAS S-D-F]]</f>
        <v>0</v>
      </c>
      <c r="P237" s="188" t="e">
        <f>VLOOKUP(DEF[[#This Row],[CEDULA]],METAS[],17,0)</f>
        <v>#N/A</v>
      </c>
      <c r="Q23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37" s="190">
        <f>VLOOKUP(DEF[[#This Row],[CEDULA]],DATOS[],9,0)</f>
        <v>0</v>
      </c>
    </row>
    <row r="238" spans="1:18" hidden="1" x14ac:dyDescent="0.25">
      <c r="A238" s="183">
        <v>16705084</v>
      </c>
      <c r="B238" s="184" t="str">
        <f>IFERROR(IF(DEF[[#This Row],[OTRO PAGO]]=0,VLOOKUP(DEF[[#This Row],[CEDULA]],DATOS[],2,0),""),"")</f>
        <v>CHIRINOS CARLOS</v>
      </c>
      <c r="C238" s="184" t="str">
        <f>IFERROR(VLOOKUP(DEF[[#This Row],[CEDULA]],DATOS[],5,0),"")</f>
        <v>ADMINISTRATIVO</v>
      </c>
      <c r="D238" s="185" t="s">
        <v>864</v>
      </c>
      <c r="E238" s="186" t="str">
        <f>IFERROR(VLOOKUP(DEF[[#This Row],[CEDULA]],NCH!$B$7:$AU$229,10,0),"")</f>
        <v>No realizo Metas</v>
      </c>
      <c r="F238" s="186" t="str">
        <f>IFERROR(VLOOKUP(DEF[[#This Row],[CEDULA]],NCH!$B$7:$AU$229,16,0),"")</f>
        <v>No realizo Metas</v>
      </c>
      <c r="G238" s="186" t="str">
        <f>IFERROR(VLOOKUP(DEF[[#This Row],[CEDULA]],NCH!$B$7:$AU$229,22,0),"")</f>
        <v>No cumple H</v>
      </c>
      <c r="H238" s="186" t="str">
        <f>IFERROR(VLOOKUP(DEF[[#This Row],[CEDULA]],NCH!$B$7:$AU$229,28,0),"")</f>
        <v>No cumple H</v>
      </c>
      <c r="I238" s="186" t="str">
        <f>IFERROR(VLOOKUP(DEF[[#This Row],[CEDULA]],NCH!$B$7:$AU$229,34,0),"")</f>
        <v>No cumple H</v>
      </c>
      <c r="J238" s="186" t="str">
        <f>IFERROR(VLOOKUP(DEF[[#This Row],[CEDULA]],NCH!$B$7:$AU$229,40,0),"")</f>
        <v>No cumple H</v>
      </c>
      <c r="K238" s="186" t="str">
        <f>IFERROR(VLOOKUP(DEF[[#This Row],[CEDULA]],NCH!$B$7:$AU$229,46,0),"")</f>
        <v>No cumple H</v>
      </c>
      <c r="L238" s="186">
        <f>IFERROR(VLOOKUP(DEF[CEDULA],METAS[],13,0),"")</f>
        <v>0</v>
      </c>
      <c r="M238" s="187">
        <f>SUM(DEF[[#This Row],[L]:[V]])</f>
        <v>0</v>
      </c>
      <c r="N238" s="188">
        <f>SUM(DEF[[#This Row],[S]:[D]])</f>
        <v>0</v>
      </c>
      <c r="O238" s="188">
        <f>DEF[[#This Row],[TOTAL METAS L-V]]+DEF[[#This Row],[TOTAL METAS S-D-F]]</f>
        <v>0</v>
      </c>
      <c r="P238" s="188">
        <f>VLOOKUP(DEF[[#This Row],[CEDULA]],METAS[],17,0)</f>
        <v>0</v>
      </c>
      <c r="Q238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38" s="190">
        <f>VLOOKUP(DEF[[#This Row],[CEDULA]],DATOS[],9,0)</f>
        <v>0</v>
      </c>
    </row>
    <row r="239" spans="1:18" hidden="1" x14ac:dyDescent="0.25">
      <c r="A239" s="183">
        <v>6185757</v>
      </c>
      <c r="B239" s="184" t="str">
        <f>IFERROR(IF(DEF[[#This Row],[OTRO PAGO]]=0,VLOOKUP(DEF[[#This Row],[CEDULA]],DATOS[],2,0),""),"")</f>
        <v>CARDENAS JOSE</v>
      </c>
      <c r="C239" s="184" t="str">
        <f>IFERROR(VLOOKUP(DEF[[#This Row],[CEDULA]],DATOS[],5,0),"")</f>
        <v>SUPERVISORIO</v>
      </c>
      <c r="D239" s="185" t="s">
        <v>864</v>
      </c>
      <c r="E239" s="186" t="str">
        <f>IFERROR(VLOOKUP(DEF[[#This Row],[CEDULA]],NCH!$B$7:$AU$229,10,0),"")</f>
        <v>No realizo Metas</v>
      </c>
      <c r="F239" s="186" t="str">
        <f>IFERROR(VLOOKUP(DEF[[#This Row],[CEDULA]],NCH!$B$7:$AU$229,16,0),"")</f>
        <v>No realizo Metas</v>
      </c>
      <c r="G239" s="186" t="str">
        <f>IFERROR(VLOOKUP(DEF[[#This Row],[CEDULA]],NCH!$B$7:$AU$229,22,0),"")</f>
        <v>No cumple H</v>
      </c>
      <c r="H239" s="186" t="str">
        <f>IFERROR(VLOOKUP(DEF[[#This Row],[CEDULA]],NCH!$B$7:$AU$229,28,0),"")</f>
        <v>No cumple H</v>
      </c>
      <c r="I239" s="186" t="str">
        <f>IFERROR(VLOOKUP(DEF[[#This Row],[CEDULA]],NCH!$B$7:$AU$229,34,0),"")</f>
        <v>No cumple H</v>
      </c>
      <c r="J239" s="186" t="str">
        <f>IFERROR(VLOOKUP(DEF[[#This Row],[CEDULA]],NCH!$B$7:$AU$229,40,0),"")</f>
        <v>No cumple H</v>
      </c>
      <c r="K239" s="186" t="str">
        <f>IFERROR(VLOOKUP(DEF[[#This Row],[CEDULA]],NCH!$B$7:$AU$229,46,0),"")</f>
        <v>No cumple H</v>
      </c>
      <c r="L239" s="186">
        <f>IFERROR(VLOOKUP(DEF[CEDULA],METAS[],13,0),"")</f>
        <v>0</v>
      </c>
      <c r="M239" s="187">
        <f>SUM(DEF[[#This Row],[L]:[V]])</f>
        <v>0</v>
      </c>
      <c r="N239" s="188">
        <f>SUM(DEF[[#This Row],[S]:[D]])</f>
        <v>0</v>
      </c>
      <c r="O239" s="188">
        <f>DEF[[#This Row],[TOTAL METAS L-V]]+DEF[[#This Row],[TOTAL METAS S-D-F]]</f>
        <v>0</v>
      </c>
      <c r="P239" s="188">
        <f>VLOOKUP(DEF[[#This Row],[CEDULA]],METAS[],17,0)</f>
        <v>0</v>
      </c>
      <c r="Q239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39" s="190">
        <f>VLOOKUP(DEF[[#This Row],[CEDULA]],DATOS[],9,0)</f>
        <v>0</v>
      </c>
    </row>
    <row r="240" spans="1:18" hidden="1" x14ac:dyDescent="0.25">
      <c r="A240" s="183">
        <v>5994165</v>
      </c>
      <c r="B240" s="184" t="str">
        <f>IFERROR(IF(DEF[[#This Row],[OTRO PAGO]]=0,VLOOKUP(DEF[[#This Row],[CEDULA]],DATOS[],2,0),""),"")</f>
        <v>RODRIGUEZ YENISE</v>
      </c>
      <c r="C240" s="184" t="str">
        <f>IFERROR(VLOOKUP(DEF[[#This Row],[CEDULA]],DATOS[],5,0),"")</f>
        <v>PROFESIONAL</v>
      </c>
      <c r="D240" s="185" t="s">
        <v>874</v>
      </c>
      <c r="E240" s="186" t="str">
        <f>IFERROR(VLOOKUP(DEF[[#This Row],[CEDULA]],NCH!$B$7:$AU$229,10,0),"")</f>
        <v/>
      </c>
      <c r="F240" s="186" t="str">
        <f>IFERROR(VLOOKUP(DEF[[#This Row],[CEDULA]],NCH!$B$7:$AU$229,16,0),"")</f>
        <v/>
      </c>
      <c r="G240" s="186" t="str">
        <f>IFERROR(VLOOKUP(DEF[[#This Row],[CEDULA]],NCH!$B$7:$AU$229,22,0),"")</f>
        <v/>
      </c>
      <c r="H240" s="186" t="str">
        <f>IFERROR(VLOOKUP(DEF[[#This Row],[CEDULA]],NCH!$B$7:$AU$229,28,0),"")</f>
        <v/>
      </c>
      <c r="I240" s="186" t="str">
        <f>IFERROR(VLOOKUP(DEF[[#This Row],[CEDULA]],NCH!$B$7:$AU$229,34,0),"")</f>
        <v/>
      </c>
      <c r="J240" s="186" t="str">
        <f>IFERROR(VLOOKUP(DEF[[#This Row],[CEDULA]],NCH!$B$7:$AU$229,40,0),"")</f>
        <v/>
      </c>
      <c r="K240" s="186" t="str">
        <f>IFERROR(VLOOKUP(DEF[[#This Row],[CEDULA]],NCH!$B$7:$AU$229,46,0),"")</f>
        <v/>
      </c>
      <c r="L240" s="186" t="str">
        <f>IFERROR(VLOOKUP(DEF[CEDULA],METAS[],13,0),"")</f>
        <v/>
      </c>
      <c r="M240" s="187">
        <f>SUM(DEF[[#This Row],[L]:[V]])</f>
        <v>0</v>
      </c>
      <c r="N240" s="188">
        <f>SUM(DEF[[#This Row],[S]:[D]])</f>
        <v>0</v>
      </c>
      <c r="O240" s="188">
        <f>DEF[[#This Row],[TOTAL METAS L-V]]+DEF[[#This Row],[TOTAL METAS S-D-F]]</f>
        <v>0</v>
      </c>
      <c r="P240" s="188" t="e">
        <f>VLOOKUP(DEF[[#This Row],[CEDULA]],METAS[],17,0)</f>
        <v>#N/A</v>
      </c>
      <c r="Q240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40" s="190">
        <f>VLOOKUP(DEF[[#This Row],[CEDULA]],DATOS[],9,0)</f>
        <v>0</v>
      </c>
    </row>
    <row r="241" spans="1:18" hidden="1" x14ac:dyDescent="0.25">
      <c r="A241" s="183">
        <v>12404080</v>
      </c>
      <c r="B241" s="184" t="str">
        <f>IFERROR(IF(DEF[[#This Row],[OTRO PAGO]]=0,VLOOKUP(DEF[[#This Row],[CEDULA]],DATOS[],2,0),""),"")</f>
        <v>ARRIA MELISSA</v>
      </c>
      <c r="C241" s="184" t="str">
        <f>IFERROR(VLOOKUP(DEF[[#This Row],[CEDULA]],DATOS[],5,0),"")</f>
        <v>SUPERVISORIO</v>
      </c>
      <c r="D241" s="185" t="s">
        <v>874</v>
      </c>
      <c r="E241" s="186" t="str">
        <f>IFERROR(VLOOKUP(DEF[[#This Row],[CEDULA]],NCH!$B$7:$AU$229,10,0),"")</f>
        <v/>
      </c>
      <c r="F241" s="186" t="str">
        <f>IFERROR(VLOOKUP(DEF[[#This Row],[CEDULA]],NCH!$B$7:$AU$229,16,0),"")</f>
        <v/>
      </c>
      <c r="G241" s="186" t="str">
        <f>IFERROR(VLOOKUP(DEF[[#This Row],[CEDULA]],NCH!$B$7:$AU$229,22,0),"")</f>
        <v/>
      </c>
      <c r="H241" s="186" t="str">
        <f>IFERROR(VLOOKUP(DEF[[#This Row],[CEDULA]],NCH!$B$7:$AU$229,28,0),"")</f>
        <v/>
      </c>
      <c r="I241" s="186" t="str">
        <f>IFERROR(VLOOKUP(DEF[[#This Row],[CEDULA]],NCH!$B$7:$AU$229,34,0),"")</f>
        <v/>
      </c>
      <c r="J241" s="186" t="str">
        <f>IFERROR(VLOOKUP(DEF[[#This Row],[CEDULA]],NCH!$B$7:$AU$229,40,0),"")</f>
        <v/>
      </c>
      <c r="K241" s="186" t="str">
        <f>IFERROR(VLOOKUP(DEF[[#This Row],[CEDULA]],NCH!$B$7:$AU$229,46,0),"")</f>
        <v/>
      </c>
      <c r="L241" s="186" t="str">
        <f>IFERROR(VLOOKUP(DEF[CEDULA],METAS[],13,0),"")</f>
        <v/>
      </c>
      <c r="M241" s="187">
        <f>SUM(DEF[[#This Row],[L]:[V]])</f>
        <v>0</v>
      </c>
      <c r="N241" s="188">
        <f>SUM(DEF[[#This Row],[S]:[D]])</f>
        <v>0</v>
      </c>
      <c r="O241" s="188">
        <f>DEF[[#This Row],[TOTAL METAS L-V]]+DEF[[#This Row],[TOTAL METAS S-D-F]]</f>
        <v>0</v>
      </c>
      <c r="P241" s="188" t="e">
        <f>VLOOKUP(DEF[[#This Row],[CEDULA]],METAS[],17,0)</f>
        <v>#N/A</v>
      </c>
      <c r="Q241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41" s="190">
        <f>VLOOKUP(DEF[[#This Row],[CEDULA]],DATOS[],9,0)</f>
        <v>0</v>
      </c>
    </row>
    <row r="242" spans="1:18" hidden="1" x14ac:dyDescent="0.25">
      <c r="A242" s="183">
        <v>6157935</v>
      </c>
      <c r="B242" s="184" t="str">
        <f>IFERROR(IF(DEF[[#This Row],[OTRO PAGO]]=0,VLOOKUP(DEF[[#This Row],[CEDULA]],DATOS[],2,0),""),"")</f>
        <v>CASTRO ALBERTO</v>
      </c>
      <c r="C242" s="184" t="str">
        <f>IFERROR(VLOOKUP(DEF[[#This Row],[CEDULA]],DATOS[],5,0),"")</f>
        <v>SUPERVISORIO</v>
      </c>
      <c r="D242" s="185" t="s">
        <v>874</v>
      </c>
      <c r="E242" s="186" t="str">
        <f>IFERROR(VLOOKUP(DEF[[#This Row],[CEDULA]],NCH!$B$7:$AU$229,10,0),"")</f>
        <v/>
      </c>
      <c r="F242" s="186" t="str">
        <f>IFERROR(VLOOKUP(DEF[[#This Row],[CEDULA]],NCH!$B$7:$AU$229,16,0),"")</f>
        <v/>
      </c>
      <c r="G242" s="186" t="str">
        <f>IFERROR(VLOOKUP(DEF[[#This Row],[CEDULA]],NCH!$B$7:$AU$229,22,0),"")</f>
        <v/>
      </c>
      <c r="H242" s="186" t="str">
        <f>IFERROR(VLOOKUP(DEF[[#This Row],[CEDULA]],NCH!$B$7:$AU$229,28,0),"")</f>
        <v/>
      </c>
      <c r="I242" s="186" t="str">
        <f>IFERROR(VLOOKUP(DEF[[#This Row],[CEDULA]],NCH!$B$7:$AU$229,34,0),"")</f>
        <v/>
      </c>
      <c r="J242" s="186" t="str">
        <f>IFERROR(VLOOKUP(DEF[[#This Row],[CEDULA]],NCH!$B$7:$AU$229,40,0),"")</f>
        <v/>
      </c>
      <c r="K242" s="186" t="str">
        <f>IFERROR(VLOOKUP(DEF[[#This Row],[CEDULA]],NCH!$B$7:$AU$229,46,0),"")</f>
        <v/>
      </c>
      <c r="L242" s="186" t="str">
        <f>IFERROR(VLOOKUP(DEF[CEDULA],METAS[],13,0),"")</f>
        <v/>
      </c>
      <c r="M242" s="187">
        <f>SUM(DEF[[#This Row],[L]:[V]])</f>
        <v>0</v>
      </c>
      <c r="N242" s="188">
        <f>SUM(DEF[[#This Row],[S]:[D]])</f>
        <v>0</v>
      </c>
      <c r="O242" s="188">
        <f>DEF[[#This Row],[TOTAL METAS L-V]]+DEF[[#This Row],[TOTAL METAS S-D-F]]</f>
        <v>0</v>
      </c>
      <c r="P242" s="188" t="e">
        <f>VLOOKUP(DEF[[#This Row],[CEDULA]],METAS[],17,0)</f>
        <v>#N/A</v>
      </c>
      <c r="Q242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42" s="190">
        <f>VLOOKUP(DEF[[#This Row],[CEDULA]],DATOS[],9,0)</f>
        <v>0</v>
      </c>
    </row>
    <row r="243" spans="1:18" hidden="1" x14ac:dyDescent="0.25">
      <c r="A243" s="183">
        <v>6122526</v>
      </c>
      <c r="B243" s="184" t="str">
        <f>IFERROR(IF(DEF[[#This Row],[OTRO PAGO]]=0,VLOOKUP(DEF[[#This Row],[CEDULA]],DATOS[],2,0),""),"")</f>
        <v>GONZALEZ HILDA</v>
      </c>
      <c r="C243" s="184" t="str">
        <f>IFERROR(VLOOKUP(DEF[[#This Row],[CEDULA]],DATOS[],5,0),"")</f>
        <v>SUPERVISORIO</v>
      </c>
      <c r="D243" s="185" t="s">
        <v>874</v>
      </c>
      <c r="E243" s="186" t="str">
        <f>IFERROR(VLOOKUP(DEF[[#This Row],[CEDULA]],NCH!$B$7:$AU$229,10,0),"")</f>
        <v/>
      </c>
      <c r="F243" s="186" t="str">
        <f>IFERROR(VLOOKUP(DEF[[#This Row],[CEDULA]],NCH!$B$7:$AU$229,16,0),"")</f>
        <v/>
      </c>
      <c r="G243" s="186" t="str">
        <f>IFERROR(VLOOKUP(DEF[[#This Row],[CEDULA]],NCH!$B$7:$AU$229,22,0),"")</f>
        <v/>
      </c>
      <c r="H243" s="186" t="str">
        <f>IFERROR(VLOOKUP(DEF[[#This Row],[CEDULA]],NCH!$B$7:$AU$229,28,0),"")</f>
        <v/>
      </c>
      <c r="I243" s="186" t="str">
        <f>IFERROR(VLOOKUP(DEF[[#This Row],[CEDULA]],NCH!$B$7:$AU$229,34,0),"")</f>
        <v/>
      </c>
      <c r="J243" s="186" t="str">
        <f>IFERROR(VLOOKUP(DEF[[#This Row],[CEDULA]],NCH!$B$7:$AU$229,40,0),"")</f>
        <v/>
      </c>
      <c r="K243" s="186" t="str">
        <f>IFERROR(VLOOKUP(DEF[[#This Row],[CEDULA]],NCH!$B$7:$AU$229,46,0),"")</f>
        <v/>
      </c>
      <c r="L243" s="186" t="str">
        <f>IFERROR(VLOOKUP(DEF[CEDULA],METAS[],13,0),"")</f>
        <v/>
      </c>
      <c r="M243" s="187">
        <f>SUM(DEF[[#This Row],[L]:[V]])</f>
        <v>0</v>
      </c>
      <c r="N243" s="188">
        <f>SUM(DEF[[#This Row],[S]:[D]])</f>
        <v>0</v>
      </c>
      <c r="O243" s="188">
        <f>DEF[[#This Row],[TOTAL METAS L-V]]+DEF[[#This Row],[TOTAL METAS S-D-F]]</f>
        <v>0</v>
      </c>
      <c r="P243" s="188" t="e">
        <f>VLOOKUP(DEF[[#This Row],[CEDULA]],METAS[],17,0)</f>
        <v>#N/A</v>
      </c>
      <c r="Q243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43" s="190">
        <f>VLOOKUP(DEF[[#This Row],[CEDULA]],DATOS[],9,0)</f>
        <v>0</v>
      </c>
    </row>
    <row r="244" spans="1:18" hidden="1" x14ac:dyDescent="0.25">
      <c r="A244" s="183">
        <v>13885572</v>
      </c>
      <c r="B244" s="184" t="str">
        <f>IFERROR(IF(DEF[[#This Row],[OTRO PAGO]]=0,VLOOKUP(DEF[[#This Row],[CEDULA]],DATOS[],2,0),""),"")</f>
        <v>GUERRERO WUODERLINGS</v>
      </c>
      <c r="C244" s="184" t="str">
        <f>IFERROR(VLOOKUP(DEF[[#This Row],[CEDULA]],DATOS[],5,0),"")</f>
        <v>OBRERO</v>
      </c>
      <c r="D244" s="185" t="s">
        <v>874</v>
      </c>
      <c r="E244" s="186" t="str">
        <f>IFERROR(VLOOKUP(DEF[[#This Row],[CEDULA]],NCH!$B$7:$AU$229,10,0),"")</f>
        <v/>
      </c>
      <c r="F244" s="186" t="str">
        <f>IFERROR(VLOOKUP(DEF[[#This Row],[CEDULA]],NCH!$B$7:$AU$229,16,0),"")</f>
        <v/>
      </c>
      <c r="G244" s="186" t="str">
        <f>IFERROR(VLOOKUP(DEF[[#This Row],[CEDULA]],NCH!$B$7:$AU$229,22,0),"")</f>
        <v/>
      </c>
      <c r="H244" s="186" t="str">
        <f>IFERROR(VLOOKUP(DEF[[#This Row],[CEDULA]],NCH!$B$7:$AU$229,28,0),"")</f>
        <v/>
      </c>
      <c r="I244" s="186" t="str">
        <f>IFERROR(VLOOKUP(DEF[[#This Row],[CEDULA]],NCH!$B$7:$AU$229,34,0),"")</f>
        <v/>
      </c>
      <c r="J244" s="186" t="str">
        <f>IFERROR(VLOOKUP(DEF[[#This Row],[CEDULA]],NCH!$B$7:$AU$229,40,0),"")</f>
        <v/>
      </c>
      <c r="K244" s="186" t="str">
        <f>IFERROR(VLOOKUP(DEF[[#This Row],[CEDULA]],NCH!$B$7:$AU$229,46,0),"")</f>
        <v/>
      </c>
      <c r="L244" s="186" t="str">
        <f>IFERROR(VLOOKUP(DEF[CEDULA],METAS[],13,0),"")</f>
        <v/>
      </c>
      <c r="M244" s="187">
        <f>SUM(DEF[[#This Row],[L]:[V]])</f>
        <v>0</v>
      </c>
      <c r="N244" s="188">
        <f>SUM(DEF[[#This Row],[S]:[D]])</f>
        <v>0</v>
      </c>
      <c r="O244" s="188">
        <f>DEF[[#This Row],[TOTAL METAS L-V]]+DEF[[#This Row],[TOTAL METAS S-D-F]]</f>
        <v>0</v>
      </c>
      <c r="P244" s="188" t="e">
        <f>VLOOKUP(DEF[[#This Row],[CEDULA]],METAS[],17,0)</f>
        <v>#N/A</v>
      </c>
      <c r="Q244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44" s="190">
        <f>VLOOKUP(DEF[[#This Row],[CEDULA]],DATOS[],9,0)</f>
        <v>0</v>
      </c>
    </row>
    <row r="245" spans="1:18" hidden="1" x14ac:dyDescent="0.25">
      <c r="A245" s="183">
        <v>11918573</v>
      </c>
      <c r="B245" s="184" t="str">
        <f>IFERROR(IF(DEF[[#This Row],[OTRO PAGO]]=0,VLOOKUP(DEF[[#This Row],[CEDULA]],DATOS[],2,0),""),"")</f>
        <v>ORTA LUISANA</v>
      </c>
      <c r="C245" s="184" t="str">
        <f>IFERROR(VLOOKUP(DEF[[#This Row],[CEDULA]],DATOS[],5,0),"")</f>
        <v>SUPERVISORIO</v>
      </c>
      <c r="D245" s="185" t="s">
        <v>874</v>
      </c>
      <c r="E245" s="186" t="str">
        <f>IFERROR(VLOOKUP(DEF[[#This Row],[CEDULA]],NCH!$B$7:$AU$229,10,0),"")</f>
        <v/>
      </c>
      <c r="F245" s="186" t="str">
        <f>IFERROR(VLOOKUP(DEF[[#This Row],[CEDULA]],NCH!$B$7:$AU$229,16,0),"")</f>
        <v/>
      </c>
      <c r="G245" s="186" t="str">
        <f>IFERROR(VLOOKUP(DEF[[#This Row],[CEDULA]],NCH!$B$7:$AU$229,22,0),"")</f>
        <v/>
      </c>
      <c r="H245" s="186" t="str">
        <f>IFERROR(VLOOKUP(DEF[[#This Row],[CEDULA]],NCH!$B$7:$AU$229,28,0),"")</f>
        <v/>
      </c>
      <c r="I245" s="186" t="str">
        <f>IFERROR(VLOOKUP(DEF[[#This Row],[CEDULA]],NCH!$B$7:$AU$229,34,0),"")</f>
        <v/>
      </c>
      <c r="J245" s="186" t="str">
        <f>IFERROR(VLOOKUP(DEF[[#This Row],[CEDULA]],NCH!$B$7:$AU$229,40,0),"")</f>
        <v/>
      </c>
      <c r="K245" s="186" t="str">
        <f>IFERROR(VLOOKUP(DEF[[#This Row],[CEDULA]],NCH!$B$7:$AU$229,46,0),"")</f>
        <v/>
      </c>
      <c r="L245" s="186" t="str">
        <f>IFERROR(VLOOKUP(DEF[CEDULA],METAS[],13,0),"")</f>
        <v/>
      </c>
      <c r="M245" s="187">
        <f>SUM(DEF[[#This Row],[L]:[V]])</f>
        <v>0</v>
      </c>
      <c r="N245" s="188">
        <f>SUM(DEF[[#This Row],[S]:[D]])</f>
        <v>0</v>
      </c>
      <c r="O245" s="188">
        <f>DEF[[#This Row],[TOTAL METAS L-V]]+DEF[[#This Row],[TOTAL METAS S-D-F]]</f>
        <v>0</v>
      </c>
      <c r="P245" s="188" t="e">
        <f>VLOOKUP(DEF[[#This Row],[CEDULA]],METAS[],17,0)</f>
        <v>#N/A</v>
      </c>
      <c r="Q245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45" s="190">
        <f>VLOOKUP(DEF[[#This Row],[CEDULA]],DATOS[],9,0)</f>
        <v>0</v>
      </c>
    </row>
    <row r="246" spans="1:18" hidden="1" x14ac:dyDescent="0.25">
      <c r="A246" s="183">
        <v>16951535</v>
      </c>
      <c r="B246" s="184" t="str">
        <f>IFERROR(IF(DEF[[#This Row],[OTRO PAGO]]=0,VLOOKUP(DEF[[#This Row],[CEDULA]],DATOS[],2,0),""),"")</f>
        <v>MATOS ZALEYDI</v>
      </c>
      <c r="C246" s="184" t="str">
        <f>IFERROR(VLOOKUP(DEF[[#This Row],[CEDULA]],DATOS[],5,0),"")</f>
        <v>PROFESIONAL</v>
      </c>
      <c r="D246" s="185" t="s">
        <v>874</v>
      </c>
      <c r="E246" s="186" t="str">
        <f>IFERROR(VLOOKUP(DEF[[#This Row],[CEDULA]],NCH!$B$7:$AU$229,10,0),"")</f>
        <v/>
      </c>
      <c r="F246" s="186" t="str">
        <f>IFERROR(VLOOKUP(DEF[[#This Row],[CEDULA]],NCH!$B$7:$AU$229,16,0),"")</f>
        <v/>
      </c>
      <c r="G246" s="186" t="str">
        <f>IFERROR(VLOOKUP(DEF[[#This Row],[CEDULA]],NCH!$B$7:$AU$229,22,0),"")</f>
        <v/>
      </c>
      <c r="H246" s="186" t="str">
        <f>IFERROR(VLOOKUP(DEF[[#This Row],[CEDULA]],NCH!$B$7:$AU$229,28,0),"")</f>
        <v/>
      </c>
      <c r="I246" s="186" t="str">
        <f>IFERROR(VLOOKUP(DEF[[#This Row],[CEDULA]],NCH!$B$7:$AU$229,34,0),"")</f>
        <v/>
      </c>
      <c r="J246" s="186" t="str">
        <f>IFERROR(VLOOKUP(DEF[[#This Row],[CEDULA]],NCH!$B$7:$AU$229,40,0),"")</f>
        <v/>
      </c>
      <c r="K246" s="186" t="str">
        <f>IFERROR(VLOOKUP(DEF[[#This Row],[CEDULA]],NCH!$B$7:$AU$229,46,0),"")</f>
        <v/>
      </c>
      <c r="L246" s="186" t="str">
        <f>IFERROR(VLOOKUP(DEF[CEDULA],METAS[],13,0),"")</f>
        <v/>
      </c>
      <c r="M246" s="187">
        <f>SUM(DEF[[#This Row],[L]:[V]])</f>
        <v>0</v>
      </c>
      <c r="N246" s="188">
        <f>SUM(DEF[[#This Row],[S]:[D]])</f>
        <v>0</v>
      </c>
      <c r="O246" s="188">
        <f>DEF[[#This Row],[TOTAL METAS L-V]]+DEF[[#This Row],[TOTAL METAS S-D-F]]</f>
        <v>0</v>
      </c>
      <c r="P246" s="188" t="e">
        <f>VLOOKUP(DEF[[#This Row],[CEDULA]],METAS[],17,0)</f>
        <v>#N/A</v>
      </c>
      <c r="Q246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46" s="190">
        <f>VLOOKUP(DEF[[#This Row],[CEDULA]],DATOS[],9,0)</f>
        <v>0</v>
      </c>
    </row>
    <row r="247" spans="1:18" hidden="1" x14ac:dyDescent="0.25">
      <c r="A247" s="183">
        <v>11917550</v>
      </c>
      <c r="B247" s="184" t="str">
        <f>IFERROR(IF(DEF[[#This Row],[OTRO PAGO]]=0,VLOOKUP(DEF[[#This Row],[CEDULA]],DATOS[],2,0),""),"")</f>
        <v>DIAZ RAFAEL</v>
      </c>
      <c r="C247" s="184" t="str">
        <f>IFERROR(VLOOKUP(DEF[[#This Row],[CEDULA]],DATOS[],5,0),"")</f>
        <v>SUPERVISORIO</v>
      </c>
      <c r="D247" s="185" t="s">
        <v>874</v>
      </c>
      <c r="E247" s="186" t="str">
        <f>IFERROR(VLOOKUP(DEF[[#This Row],[CEDULA]],NCH!$B$7:$AU$229,10,0),"")</f>
        <v/>
      </c>
      <c r="F247" s="186" t="str">
        <f>IFERROR(VLOOKUP(DEF[[#This Row],[CEDULA]],NCH!$B$7:$AU$229,16,0),"")</f>
        <v/>
      </c>
      <c r="G247" s="186" t="str">
        <f>IFERROR(VLOOKUP(DEF[[#This Row],[CEDULA]],NCH!$B$7:$AU$229,22,0),"")</f>
        <v/>
      </c>
      <c r="H247" s="186" t="str">
        <f>IFERROR(VLOOKUP(DEF[[#This Row],[CEDULA]],NCH!$B$7:$AU$229,28,0),"")</f>
        <v/>
      </c>
      <c r="I247" s="186" t="str">
        <f>IFERROR(VLOOKUP(DEF[[#This Row],[CEDULA]],NCH!$B$7:$AU$229,34,0),"")</f>
        <v/>
      </c>
      <c r="J247" s="186" t="str">
        <f>IFERROR(VLOOKUP(DEF[[#This Row],[CEDULA]],NCH!$B$7:$AU$229,40,0),"")</f>
        <v/>
      </c>
      <c r="K247" s="186" t="str">
        <f>IFERROR(VLOOKUP(DEF[[#This Row],[CEDULA]],NCH!$B$7:$AU$229,46,0),"")</f>
        <v/>
      </c>
      <c r="L247" s="186" t="str">
        <f>IFERROR(VLOOKUP(DEF[CEDULA],METAS[],13,0),"")</f>
        <v/>
      </c>
      <c r="M247" s="187">
        <f>SUM(DEF[[#This Row],[L]:[V]])</f>
        <v>0</v>
      </c>
      <c r="N247" s="188">
        <f>SUM(DEF[[#This Row],[S]:[D]])</f>
        <v>0</v>
      </c>
      <c r="O247" s="188">
        <f>DEF[[#This Row],[TOTAL METAS L-V]]+DEF[[#This Row],[TOTAL METAS S-D-F]]</f>
        <v>0</v>
      </c>
      <c r="P247" s="188" t="e">
        <f>VLOOKUP(DEF[[#This Row],[CEDULA]],METAS[],17,0)</f>
        <v>#N/A</v>
      </c>
      <c r="Q247" s="189" t="str">
        <f>IFERROR((VLOOKUP(DEF[[#This Row],[NIVEL Y CARGO]],#REF!,2,0)*DEF[[#This Row],[TOTAL METAS L-V]])+(VLOOKUP(DEF[[#This Row],[NIVEL Y CARGO]],#REF!,3,0)*DEF[[#This Row],[TOTAL METAS S-D-F]])+DEF[DIA POR PAGAR],"")</f>
        <v/>
      </c>
      <c r="R247" s="190">
        <f>VLOOKUP(DEF[[#This Row],[CEDULA]],DATOS[],9,0)</f>
        <v>0</v>
      </c>
    </row>
    <row r="248" spans="1:18" x14ac:dyDescent="0.25">
      <c r="A248" s="191" t="s">
        <v>875</v>
      </c>
      <c r="B248" s="192"/>
      <c r="C248" s="192"/>
      <c r="D248" s="196"/>
      <c r="E248" s="193"/>
      <c r="F248" s="193"/>
      <c r="G248" s="193"/>
      <c r="H248" s="193"/>
      <c r="I248" s="193"/>
      <c r="J248" s="193"/>
      <c r="K248" s="193"/>
      <c r="L248" s="193">
        <f>SUBTOTAL(109,DEF[DIA PEN. ])</f>
        <v>0</v>
      </c>
      <c r="M248" s="194"/>
      <c r="N248" s="195"/>
      <c r="O248" s="195"/>
      <c r="P248" s="195"/>
      <c r="Q248" s="195"/>
      <c r="R248" s="196">
        <f>SUBTOTAL(109,DEF[OTRO PAGO])</f>
        <v>0</v>
      </c>
    </row>
  </sheetData>
  <conditionalFormatting sqref="B9:C247">
    <cfRule type="containsBlanks" dxfId="227" priority="230">
      <formula>LEN(TRIM(B9))=0</formula>
    </cfRule>
  </conditionalFormatting>
  <conditionalFormatting sqref="A4:A7">
    <cfRule type="duplicateValues" dxfId="226" priority="229"/>
  </conditionalFormatting>
  <conditionalFormatting sqref="A8">
    <cfRule type="duplicateValues" dxfId="225" priority="228"/>
  </conditionalFormatting>
  <conditionalFormatting sqref="A8">
    <cfRule type="duplicateValues" dxfId="224" priority="227"/>
  </conditionalFormatting>
  <conditionalFormatting sqref="A8">
    <cfRule type="duplicateValues" dxfId="223" priority="225"/>
    <cfRule type="duplicateValues" dxfId="222" priority="226"/>
  </conditionalFormatting>
  <conditionalFormatting sqref="A8">
    <cfRule type="duplicateValues" dxfId="221" priority="224"/>
  </conditionalFormatting>
  <conditionalFormatting sqref="A8">
    <cfRule type="duplicateValues" dxfId="220" priority="222"/>
    <cfRule type="duplicateValues" dxfId="219" priority="223"/>
  </conditionalFormatting>
  <conditionalFormatting sqref="A8">
    <cfRule type="duplicateValues" dxfId="218" priority="221"/>
  </conditionalFormatting>
  <conditionalFormatting sqref="A1:A7">
    <cfRule type="duplicateValues" dxfId="217" priority="220"/>
  </conditionalFormatting>
  <conditionalFormatting sqref="A249:A1048576 A1:A7">
    <cfRule type="duplicateValues" dxfId="216" priority="219"/>
  </conditionalFormatting>
  <conditionalFormatting sqref="A249:A1048576">
    <cfRule type="duplicateValues" dxfId="215" priority="218"/>
  </conditionalFormatting>
  <conditionalFormatting sqref="A249:A1048576 A1:A8">
    <cfRule type="duplicateValues" dxfId="214" priority="217"/>
  </conditionalFormatting>
  <conditionalFormatting sqref="A249:A1048576">
    <cfRule type="duplicateValues" dxfId="213" priority="127"/>
  </conditionalFormatting>
  <conditionalFormatting sqref="A9:A247">
    <cfRule type="duplicateValues" dxfId="212" priority="181084"/>
  </conditionalFormatting>
  <conditionalFormatting sqref="A9:A247">
    <cfRule type="duplicateValues" dxfId="211" priority="181085"/>
    <cfRule type="duplicateValues" dxfId="210" priority="181086"/>
  </conditionalFormatting>
  <dataValidations count="1">
    <dataValidation type="whole" allowBlank="1" showInputMessage="1" showErrorMessage="1" sqref="A9:A247">
      <formula1>0</formula1>
      <formula2>1000000000</formula2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DAT!$Q$3:$Q$22</xm:f>
          </x14:formula1>
          <xm:sqref>M6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C00000"/>
  </sheetPr>
  <dimension ref="A1:X92"/>
  <sheetViews>
    <sheetView showGridLines="0" topLeftCell="A25" zoomScaleNormal="100" zoomScaleSheetLayoutView="100" workbookViewId="0">
      <selection activeCell="O27" sqref="O27"/>
    </sheetView>
  </sheetViews>
  <sheetFormatPr baseColWidth="10" defaultRowHeight="15" x14ac:dyDescent="0.25"/>
  <cols>
    <col min="1" max="1" width="8.7109375" style="30" bestFit="1" customWidth="1"/>
    <col min="2" max="2" width="12.5703125" style="30" bestFit="1" customWidth="1"/>
    <col min="3" max="3" width="26.85546875" bestFit="1" customWidth="1"/>
    <col min="4" max="4" width="20.28515625" bestFit="1" customWidth="1"/>
    <col min="5" max="5" width="32.140625" bestFit="1" customWidth="1"/>
    <col min="6" max="6" width="14.7109375" style="30" customWidth="1"/>
    <col min="7" max="7" width="13.5703125" style="30" customWidth="1"/>
    <col min="8" max="10" width="15.42578125" style="30" customWidth="1"/>
    <col min="11" max="11" width="18.85546875" customWidth="1"/>
    <col min="12" max="12" width="25.42578125" customWidth="1"/>
    <col min="13" max="13" width="8.7109375" customWidth="1"/>
    <col min="14" max="14" width="20.85546875" style="27" customWidth="1"/>
    <col min="15" max="15" width="17.140625" style="27" customWidth="1"/>
    <col min="16" max="16" width="15.42578125" style="27" bestFit="1" customWidth="1"/>
    <col min="17" max="22" width="12.85546875" customWidth="1"/>
    <col min="23" max="23" width="25.42578125" bestFit="1" customWidth="1"/>
    <col min="24" max="24" width="12.5703125" bestFit="1" customWidth="1"/>
  </cols>
  <sheetData>
    <row r="1" spans="5:8" ht="18.75" x14ac:dyDescent="0.3">
      <c r="E1" s="400" t="s">
        <v>793</v>
      </c>
      <c r="F1" s="400"/>
      <c r="G1" s="400"/>
      <c r="H1" s="167"/>
    </row>
    <row r="2" spans="5:8" ht="19.5" thickBot="1" x14ac:dyDescent="0.35">
      <c r="E2" s="401">
        <f>METAS!H5</f>
        <v>16</v>
      </c>
      <c r="F2" s="401"/>
      <c r="G2" s="401"/>
      <c r="H2" s="169"/>
    </row>
    <row r="3" spans="5:8" ht="30.75" thickBot="1" x14ac:dyDescent="0.3">
      <c r="E3" s="206" t="s">
        <v>701</v>
      </c>
      <c r="F3" s="103" t="s">
        <v>699</v>
      </c>
      <c r="G3" s="207" t="s">
        <v>882</v>
      </c>
      <c r="H3" s="103" t="s">
        <v>792</v>
      </c>
    </row>
    <row r="4" spans="5:8" x14ac:dyDescent="0.25">
      <c r="E4" s="96" t="s">
        <v>819</v>
      </c>
      <c r="F4" s="88">
        <v>7</v>
      </c>
      <c r="G4" s="102">
        <v>6</v>
      </c>
      <c r="H4" s="89">
        <v>2840.67</v>
      </c>
    </row>
    <row r="5" spans="5:8" x14ac:dyDescent="0.25">
      <c r="E5" s="96" t="s">
        <v>867</v>
      </c>
      <c r="F5" s="308">
        <v>5</v>
      </c>
      <c r="G5" s="306">
        <v>6</v>
      </c>
      <c r="H5" s="307">
        <v>2732.7999999999997</v>
      </c>
    </row>
    <row r="6" spans="5:8" x14ac:dyDescent="0.25">
      <c r="E6" s="96" t="s">
        <v>873</v>
      </c>
      <c r="F6" s="308">
        <v>5</v>
      </c>
      <c r="G6" s="306">
        <v>5</v>
      </c>
      <c r="H6" s="307">
        <v>1808.4599999999998</v>
      </c>
    </row>
    <row r="7" spans="5:8" ht="12" customHeight="1" x14ac:dyDescent="0.25">
      <c r="E7" s="96" t="s">
        <v>869</v>
      </c>
      <c r="F7" s="308">
        <v>4</v>
      </c>
      <c r="G7" s="306">
        <v>15</v>
      </c>
      <c r="H7" s="307">
        <v>5698.08</v>
      </c>
    </row>
    <row r="8" spans="5:8" x14ac:dyDescent="0.25">
      <c r="E8" s="96" t="s">
        <v>868</v>
      </c>
      <c r="F8" s="308">
        <v>8</v>
      </c>
      <c r="G8" s="306">
        <v>11</v>
      </c>
      <c r="H8" s="307">
        <v>4276.9299999999994</v>
      </c>
    </row>
    <row r="9" spans="5:8" x14ac:dyDescent="0.25">
      <c r="E9" s="96" t="s">
        <v>871</v>
      </c>
      <c r="F9" s="308">
        <v>1</v>
      </c>
      <c r="G9" s="306">
        <v>0</v>
      </c>
      <c r="H9" s="307">
        <v>1035</v>
      </c>
    </row>
    <row r="10" spans="5:8" x14ac:dyDescent="0.25">
      <c r="E10" s="96" t="s">
        <v>870</v>
      </c>
      <c r="F10" s="308">
        <v>1</v>
      </c>
      <c r="G10" s="306">
        <v>2</v>
      </c>
      <c r="H10" s="307">
        <v>776.25</v>
      </c>
    </row>
    <row r="11" spans="5:8" x14ac:dyDescent="0.25">
      <c r="E11" s="96" t="s">
        <v>862</v>
      </c>
      <c r="F11" s="308">
        <v>24</v>
      </c>
      <c r="G11" s="306">
        <v>51</v>
      </c>
      <c r="H11" s="307">
        <v>18063.910000000003</v>
      </c>
    </row>
    <row r="12" spans="5:8" x14ac:dyDescent="0.25">
      <c r="E12" s="96" t="s">
        <v>864</v>
      </c>
      <c r="F12" s="308">
        <v>5</v>
      </c>
      <c r="G12" s="306">
        <v>10</v>
      </c>
      <c r="H12" s="307">
        <v>4701.09</v>
      </c>
    </row>
    <row r="13" spans="5:8" ht="15.75" thickBot="1" x14ac:dyDescent="0.3">
      <c r="E13" s="96" t="s">
        <v>1420</v>
      </c>
      <c r="F13" s="308">
        <v>2</v>
      </c>
      <c r="G13" s="306">
        <v>2</v>
      </c>
      <c r="H13" s="307">
        <v>834.37</v>
      </c>
    </row>
    <row r="14" spans="5:8" ht="15.75" thickBot="1" x14ac:dyDescent="0.3">
      <c r="E14" s="91" t="s">
        <v>791</v>
      </c>
      <c r="F14" s="90">
        <v>62</v>
      </c>
      <c r="G14" s="101">
        <v>108</v>
      </c>
      <c r="H14" s="86">
        <v>42767.56</v>
      </c>
    </row>
    <row r="15" spans="5:8" x14ac:dyDescent="0.25">
      <c r="F15"/>
      <c r="G15"/>
      <c r="H15"/>
    </row>
    <row r="16" spans="5:8" x14ac:dyDescent="0.25">
      <c r="F16"/>
      <c r="G16"/>
      <c r="H16"/>
    </row>
    <row r="17" spans="1:24" x14ac:dyDescent="0.25">
      <c r="F17"/>
      <c r="G17"/>
      <c r="H17"/>
    </row>
    <row r="18" spans="1:24" x14ac:dyDescent="0.25">
      <c r="F18"/>
      <c r="G18"/>
      <c r="H18"/>
    </row>
    <row r="19" spans="1:24" x14ac:dyDescent="0.25">
      <c r="F19"/>
      <c r="G19"/>
      <c r="H19"/>
    </row>
    <row r="20" spans="1:24" x14ac:dyDescent="0.25">
      <c r="F20"/>
      <c r="G20"/>
      <c r="H20"/>
    </row>
    <row r="21" spans="1:24" ht="15.75" thickBot="1" x14ac:dyDescent="0.3">
      <c r="F21"/>
      <c r="G21"/>
      <c r="H21"/>
    </row>
    <row r="22" spans="1:24" ht="15.75" thickBot="1" x14ac:dyDescent="0.3">
      <c r="F22"/>
      <c r="G22"/>
      <c r="H22"/>
    </row>
    <row r="23" spans="1:24" x14ac:dyDescent="0.25">
      <c r="F23"/>
      <c r="G23"/>
      <c r="H23"/>
      <c r="I23"/>
      <c r="J23" s="104"/>
    </row>
    <row r="24" spans="1:24" s="104" customFormat="1" x14ac:dyDescent="0.25">
      <c r="A24" s="30"/>
      <c r="B24" s="30"/>
      <c r="E24"/>
      <c r="F24"/>
      <c r="G24"/>
      <c r="H24"/>
      <c r="N24" s="27"/>
      <c r="O24" s="27"/>
      <c r="P24" s="27"/>
    </row>
    <row r="25" spans="1:24" ht="15.75" thickBot="1" x14ac:dyDescent="0.3">
      <c r="I25"/>
      <c r="J25" s="104"/>
    </row>
    <row r="26" spans="1:24" ht="15.75" x14ac:dyDescent="0.25">
      <c r="E26" s="50" t="s">
        <v>462</v>
      </c>
      <c r="F26" s="51" t="s">
        <v>463</v>
      </c>
      <c r="G26" s="68"/>
      <c r="H26" s="52" t="s">
        <v>464</v>
      </c>
    </row>
    <row r="27" spans="1:24" ht="19.5" thickBot="1" x14ac:dyDescent="0.3">
      <c r="C27" s="210" t="s">
        <v>794</v>
      </c>
      <c r="D27" s="104" t="s">
        <v>816</v>
      </c>
      <c r="E27" s="94">
        <f>WEEKNUM(F27,21)</f>
        <v>16</v>
      </c>
      <c r="F27" s="53">
        <f>METAS!I5</f>
        <v>45761</v>
      </c>
      <c r="G27" s="95" t="s">
        <v>461</v>
      </c>
      <c r="H27" s="54">
        <f>F27+6</f>
        <v>45767</v>
      </c>
    </row>
    <row r="28" spans="1:24" x14ac:dyDescent="0.25">
      <c r="N28" s="27" t="s">
        <v>1428</v>
      </c>
    </row>
    <row r="29" spans="1:24" s="77" customFormat="1" ht="30" x14ac:dyDescent="0.25">
      <c r="A29" s="87" t="s">
        <v>790</v>
      </c>
      <c r="B29" s="87" t="s">
        <v>0</v>
      </c>
      <c r="C29" s="87" t="s">
        <v>1</v>
      </c>
      <c r="D29" s="213" t="s">
        <v>787</v>
      </c>
      <c r="E29" s="214" t="s">
        <v>701</v>
      </c>
      <c r="F29" s="170" t="s">
        <v>796</v>
      </c>
      <c r="G29" s="170" t="s">
        <v>798</v>
      </c>
      <c r="H29" s="170" t="s">
        <v>857</v>
      </c>
      <c r="I29" s="85" t="s">
        <v>797</v>
      </c>
      <c r="J29" s="85" t="s">
        <v>858</v>
      </c>
      <c r="K29" s="85" t="s">
        <v>783</v>
      </c>
      <c r="L29" s="222" t="s">
        <v>905</v>
      </c>
      <c r="M29" s="222" t="s">
        <v>906</v>
      </c>
      <c r="N29" s="237" t="s">
        <v>924</v>
      </c>
      <c r="Q29"/>
      <c r="R29"/>
      <c r="S29"/>
      <c r="T29"/>
      <c r="U29"/>
      <c r="V29"/>
      <c r="W29"/>
      <c r="X29"/>
    </row>
    <row r="30" spans="1:24" ht="15.75" x14ac:dyDescent="0.25">
      <c r="A30" s="383" t="str">
        <f t="shared" ref="A30:A61" si="0">IF(B30&gt;1,"V","")</f>
        <v>V</v>
      </c>
      <c r="B30" s="383">
        <v>7928721</v>
      </c>
      <c r="C30" s="384" t="str">
        <f>VLOOKUP(Tabla2[[#This Row],[CEDULA]],DATOS[],2,0)</f>
        <v>SANCHEZ DORIS</v>
      </c>
      <c r="D30" s="384" t="str">
        <f>VLOOKUP(Tabla2[[#This Row],[CEDULA]],METAS[[CEDULA]:[NIVEL Y CARGO]],3,0)</f>
        <v>PROFESIONAL</v>
      </c>
      <c r="E30" s="384" t="s">
        <v>819</v>
      </c>
      <c r="F30" s="383">
        <f>IFERROR(VLOOKUP(Tabla2[[#This Row],[CEDULA]],NCH[[CEDULA]:[TOTAL GUARDIAS A PAGAR]],47,0),0)</f>
        <v>0</v>
      </c>
      <c r="G30" s="383">
        <f>IFERROR(VLOOKUP(Tabla2[[#This Row],[CEDULA]],NCH[[CEDULA]:[TOTAL GUARDIAS A PAGAR]],48,0),0)</f>
        <v>0</v>
      </c>
      <c r="H30" s="383">
        <f>VLOOKUP(Tabla2[[#This Row],[CEDULA]],METAS[[CEDULA]:[DIA PEN. ]],13,0)</f>
        <v>1</v>
      </c>
      <c r="I30" s="383">
        <f>Tabla2[TOTAL METAS L-V]+Tabla2[TOTAL METAS S-D-F]</f>
        <v>0</v>
      </c>
      <c r="J30" s="385">
        <f>VLOOKUP(Tabla2[[#This Row],[CEDULA]],METAS[],17,0)</f>
        <v>258.75</v>
      </c>
      <c r="K30" s="386">
        <f>IFERROR((VLOOKUP(Tabla2[NIVEL Y CARGO],NUEVO[],2,0)*Tabla2[TOTAL METAS L-V])+(VLOOKUP(Tabla2[NIVEL Y CARGO],NUEVO[],3,0)*Tabla2[TOTAL METAS S-D-F]),"")+Tabla2[[#This Row],[TOTAL PEND. POR PAGAR ]]</f>
        <v>258.75</v>
      </c>
      <c r="L30" s="387" t="str">
        <f>TRIM(IFERROR(VLOOKUP(Tabla2[[#This Row],[CEDULA]],DATOS[],7,0),""))</f>
        <v>11111111111111111111</v>
      </c>
      <c r="M30" s="387" t="str">
        <f>IFERROR(VLOOKUP(Tabla2[[#This Row],[CEDULA]],DATOS[],8,0),"")</f>
        <v>C</v>
      </c>
      <c r="N30" s="388">
        <f>LEN(Tabla2[[#This Row],[N° CUENTA ]])</f>
        <v>20</v>
      </c>
    </row>
    <row r="31" spans="1:24" ht="15.75" x14ac:dyDescent="0.25">
      <c r="A31" s="383" t="str">
        <f t="shared" si="0"/>
        <v>V</v>
      </c>
      <c r="B31" s="383">
        <v>3759325</v>
      </c>
      <c r="C31" s="384" t="str">
        <f>VLOOKUP(Tabla2[[#This Row],[CEDULA]],DATOS[],2,0)</f>
        <v>LINARES JOSE</v>
      </c>
      <c r="D31" s="384" t="str">
        <f>VLOOKUP(Tabla2[[#This Row],[CEDULA]],METAS[[CEDULA]:[NIVEL Y CARGO]],3,0)</f>
        <v>OBRERO</v>
      </c>
      <c r="E31" s="384" t="s">
        <v>819</v>
      </c>
      <c r="F31" s="383">
        <f>IFERROR(VLOOKUP(Tabla2[[#This Row],[CEDULA]],NCH[[CEDULA]:[TOTAL GUARDIAS A PAGAR]],47,0),0)</f>
        <v>0</v>
      </c>
      <c r="G31" s="383">
        <f>IFERROR(VLOOKUP(Tabla2[[#This Row],[CEDULA]],NCH[[CEDULA]:[TOTAL GUARDIAS A PAGAR]],48,0),0)</f>
        <v>1</v>
      </c>
      <c r="H31" s="383">
        <f>VLOOKUP(Tabla2[[#This Row],[CEDULA]],METAS[[CEDULA]:[DIA PEN. ]],13,0)</f>
        <v>0</v>
      </c>
      <c r="I31" s="383">
        <f>Tabla2[TOTAL METAS L-V]+Tabla2[TOTAL METAS S-D-F]</f>
        <v>1</v>
      </c>
      <c r="J31" s="385">
        <f>VLOOKUP(Tabla2[[#This Row],[CEDULA]],METAS[],17,0)</f>
        <v>0</v>
      </c>
      <c r="K31" s="386">
        <f>IFERROR((VLOOKUP(Tabla2[NIVEL Y CARGO],NUEVO[],2,0)*Tabla2[TOTAL METAS L-V])+(VLOOKUP(Tabla2[NIVEL Y CARGO],NUEVO[],3,0)*Tabla2[TOTAL METAS S-D-F]),"")+Tabla2[[#This Row],[TOTAL PEND. POR PAGAR ]]</f>
        <v>401.26</v>
      </c>
      <c r="L31" s="387" t="str">
        <f>TRIM(IFERROR(VLOOKUP(Tabla2[[#This Row],[CEDULA]],DATOS[],7,0),""))</f>
        <v>11111111111111111111</v>
      </c>
      <c r="M31" s="387" t="str">
        <f>IFERROR(VLOOKUP(Tabla2[[#This Row],[CEDULA]],DATOS[],8,0),"")</f>
        <v>C</v>
      </c>
      <c r="N31" s="388">
        <f>LEN(Tabla2[[#This Row],[N° CUENTA ]])</f>
        <v>20</v>
      </c>
    </row>
    <row r="32" spans="1:24" ht="15.75" x14ac:dyDescent="0.25">
      <c r="A32" s="383" t="str">
        <f t="shared" si="0"/>
        <v>V</v>
      </c>
      <c r="B32" s="383">
        <v>7948797</v>
      </c>
      <c r="C32" s="384" t="str">
        <f>VLOOKUP(Tabla2[[#This Row],[CEDULA]],DATOS[],2,0)</f>
        <v>OLIVARES MARIA</v>
      </c>
      <c r="D32" s="384" t="str">
        <f>VLOOKUP(Tabla2[[#This Row],[CEDULA]],METAS[[CEDULA]:[NIVEL Y CARGO]],3,0)</f>
        <v>OBRERO</v>
      </c>
      <c r="E32" s="384" t="s">
        <v>819</v>
      </c>
      <c r="F32" s="383">
        <f>IFERROR(VLOOKUP(Tabla2[[#This Row],[CEDULA]],NCH[[CEDULA]:[TOTAL GUARDIAS A PAGAR]],47,0),0)</f>
        <v>0</v>
      </c>
      <c r="G32" s="383">
        <f>IFERROR(VLOOKUP(Tabla2[[#This Row],[CEDULA]],NCH[[CEDULA]:[TOTAL GUARDIAS A PAGAR]],48,0),0)</f>
        <v>1</v>
      </c>
      <c r="H32" s="383">
        <f>VLOOKUP(Tabla2[[#This Row],[CEDULA]],METAS[[CEDULA]:[DIA PEN. ]],13,0)</f>
        <v>0</v>
      </c>
      <c r="I32" s="383">
        <f>Tabla2[TOTAL METAS L-V]+Tabla2[TOTAL METAS S-D-F]</f>
        <v>1</v>
      </c>
      <c r="J32" s="385">
        <f>VLOOKUP(Tabla2[[#This Row],[CEDULA]],METAS[],17,0)</f>
        <v>0</v>
      </c>
      <c r="K32" s="386">
        <f>IFERROR((VLOOKUP(Tabla2[NIVEL Y CARGO],NUEVO[],2,0)*Tabla2[TOTAL METAS L-V])+(VLOOKUP(Tabla2[NIVEL Y CARGO],NUEVO[],3,0)*Tabla2[TOTAL METAS S-D-F]),"")+Tabla2[[#This Row],[TOTAL PEND. POR PAGAR ]]</f>
        <v>401.26</v>
      </c>
      <c r="L32" s="387" t="str">
        <f>TRIM(IFERROR(VLOOKUP(Tabla2[[#This Row],[CEDULA]],DATOS[],7,0),""))</f>
        <v>11111111111111111111</v>
      </c>
      <c r="M32" s="387" t="str">
        <f>IFERROR(VLOOKUP(Tabla2[[#This Row],[CEDULA]],DATOS[],8,0),"")</f>
        <v>C</v>
      </c>
      <c r="N32" s="388">
        <f>LEN(Tabla2[[#This Row],[N° CUENTA ]])</f>
        <v>20</v>
      </c>
    </row>
    <row r="33" spans="1:14" ht="15.75" x14ac:dyDescent="0.25">
      <c r="A33" s="383" t="str">
        <f t="shared" si="0"/>
        <v>V</v>
      </c>
      <c r="B33" s="383">
        <v>13615404</v>
      </c>
      <c r="C33" s="384" t="str">
        <f>VLOOKUP(Tabla2[[#This Row],[CEDULA]],DATOS[],2,0)</f>
        <v>SALAZAR JOSE</v>
      </c>
      <c r="D33" s="384" t="str">
        <f>VLOOKUP(Tabla2[[#This Row],[CEDULA]],METAS[[CEDULA]:[NIVEL Y CARGO]],3,0)</f>
        <v>OBRERO</v>
      </c>
      <c r="E33" s="384" t="s">
        <v>819</v>
      </c>
      <c r="F33" s="383">
        <f>IFERROR(VLOOKUP(Tabla2[[#This Row],[CEDULA]],NCH[[CEDULA]:[TOTAL GUARDIAS A PAGAR]],47,0),0)</f>
        <v>0</v>
      </c>
      <c r="G33" s="383">
        <f>IFERROR(VLOOKUP(Tabla2[[#This Row],[CEDULA]],NCH[[CEDULA]:[TOTAL GUARDIAS A PAGAR]],48,0),0)</f>
        <v>1</v>
      </c>
      <c r="H33" s="383">
        <f>VLOOKUP(Tabla2[[#This Row],[CEDULA]],METAS[[CEDULA]:[DIA PEN. ]],13,0)</f>
        <v>0</v>
      </c>
      <c r="I33" s="383">
        <f>Tabla2[TOTAL METAS L-V]+Tabla2[TOTAL METAS S-D-F]</f>
        <v>1</v>
      </c>
      <c r="J33" s="385">
        <f>VLOOKUP(Tabla2[[#This Row],[CEDULA]],METAS[],17,0)</f>
        <v>0</v>
      </c>
      <c r="K33" s="386">
        <f>IFERROR((VLOOKUP(Tabla2[NIVEL Y CARGO],NUEVO[],2,0)*Tabla2[TOTAL METAS L-V])+(VLOOKUP(Tabla2[NIVEL Y CARGO],NUEVO[],3,0)*Tabla2[TOTAL METAS S-D-F]),"")+Tabla2[[#This Row],[TOTAL PEND. POR PAGAR ]]</f>
        <v>401.26</v>
      </c>
      <c r="L33" s="387" t="str">
        <f>TRIM(IFERROR(VLOOKUP(Tabla2[[#This Row],[CEDULA]],DATOS[],7,0),""))</f>
        <v>11111111111111111111</v>
      </c>
      <c r="M33" s="387" t="str">
        <f>IFERROR(VLOOKUP(Tabla2[[#This Row],[CEDULA]],DATOS[],8,0),"")</f>
        <v>C</v>
      </c>
      <c r="N33" s="388">
        <f>LEN(Tabla2[[#This Row],[N° CUENTA ]])</f>
        <v>20</v>
      </c>
    </row>
    <row r="34" spans="1:14" ht="15.75" x14ac:dyDescent="0.25">
      <c r="A34" s="383" t="str">
        <f t="shared" si="0"/>
        <v>V</v>
      </c>
      <c r="B34" s="383">
        <v>23000253</v>
      </c>
      <c r="C34" s="384" t="str">
        <f>VLOOKUP(Tabla2[[#This Row],[CEDULA]],DATOS[],2,0)</f>
        <v>ROJAS ODRHY</v>
      </c>
      <c r="D34" s="384" t="str">
        <f>VLOOKUP(Tabla2[[#This Row],[CEDULA]],METAS[[CEDULA]:[NIVEL Y CARGO]],3,0)</f>
        <v>OBRERO</v>
      </c>
      <c r="E34" s="384" t="s">
        <v>819</v>
      </c>
      <c r="F34" s="383">
        <f>IFERROR(VLOOKUP(Tabla2[[#This Row],[CEDULA]],NCH[[CEDULA]:[TOTAL GUARDIAS A PAGAR]],47,0),0)</f>
        <v>0</v>
      </c>
      <c r="G34" s="383">
        <f>IFERROR(VLOOKUP(Tabla2[[#This Row],[CEDULA]],NCH[[CEDULA]:[TOTAL GUARDIAS A PAGAR]],48,0),0)</f>
        <v>1</v>
      </c>
      <c r="H34" s="383">
        <f>VLOOKUP(Tabla2[[#This Row],[CEDULA]],METAS[[CEDULA]:[DIA PEN. ]],13,0)</f>
        <v>0</v>
      </c>
      <c r="I34" s="383">
        <f>Tabla2[TOTAL METAS L-V]+Tabla2[TOTAL METAS S-D-F]</f>
        <v>1</v>
      </c>
      <c r="J34" s="385">
        <f>VLOOKUP(Tabla2[[#This Row],[CEDULA]],METAS[],17,0)</f>
        <v>0</v>
      </c>
      <c r="K34" s="386">
        <f>IFERROR((VLOOKUP(Tabla2[NIVEL Y CARGO],NUEVO[],2,0)*Tabla2[TOTAL METAS L-V])+(VLOOKUP(Tabla2[NIVEL Y CARGO],NUEVO[],3,0)*Tabla2[TOTAL METAS S-D-F]),"")+Tabla2[[#This Row],[TOTAL PEND. POR PAGAR ]]</f>
        <v>401.26</v>
      </c>
      <c r="L34" s="387" t="str">
        <f>TRIM(IFERROR(VLOOKUP(Tabla2[[#This Row],[CEDULA]],DATOS[],7,0),""))</f>
        <v>11111111111111111111</v>
      </c>
      <c r="M34" s="387" t="str">
        <f>IFERROR(VLOOKUP(Tabla2[[#This Row],[CEDULA]],DATOS[],8,0),"")</f>
        <v>C</v>
      </c>
      <c r="N34" s="388">
        <f>LEN(Tabla2[[#This Row],[N° CUENTA ]])</f>
        <v>20</v>
      </c>
    </row>
    <row r="35" spans="1:14" ht="15.75" x14ac:dyDescent="0.25">
      <c r="A35" s="383" t="str">
        <f t="shared" si="0"/>
        <v>V</v>
      </c>
      <c r="B35" s="383">
        <v>12287719</v>
      </c>
      <c r="C35" s="384" t="str">
        <f>VLOOKUP(Tabla2[[#This Row],[CEDULA]],DATOS[],2,0)</f>
        <v>GOMEZ DAISY</v>
      </c>
      <c r="D35" s="384" t="str">
        <f>VLOOKUP(Tabla2[[#This Row],[CEDULA]],METAS[[CEDULA]:[NIVEL Y CARGO]],3,0)</f>
        <v>OBRERO</v>
      </c>
      <c r="E35" s="384" t="s">
        <v>819</v>
      </c>
      <c r="F35" s="383">
        <f>IFERROR(VLOOKUP(Tabla2[[#This Row],[CEDULA]],NCH[[CEDULA]:[TOTAL GUARDIAS A PAGAR]],47,0),0)</f>
        <v>0</v>
      </c>
      <c r="G35" s="383">
        <f>IFERROR(VLOOKUP(Tabla2[[#This Row],[CEDULA]],NCH[[CEDULA]:[TOTAL GUARDIAS A PAGAR]],48,0),0)</f>
        <v>1</v>
      </c>
      <c r="H35" s="383">
        <f>VLOOKUP(Tabla2[[#This Row],[CEDULA]],METAS[[CEDULA]:[DIA PEN. ]],13,0)</f>
        <v>0</v>
      </c>
      <c r="I35" s="383">
        <f>Tabla2[TOTAL METAS L-V]+Tabla2[TOTAL METAS S-D-F]</f>
        <v>1</v>
      </c>
      <c r="J35" s="385">
        <f>VLOOKUP(Tabla2[[#This Row],[CEDULA]],METAS[],17,0)</f>
        <v>0</v>
      </c>
      <c r="K35" s="386">
        <f>IFERROR((VLOOKUP(Tabla2[NIVEL Y CARGO],NUEVO[],2,0)*Tabla2[TOTAL METAS L-V])+(VLOOKUP(Tabla2[NIVEL Y CARGO],NUEVO[],3,0)*Tabla2[TOTAL METAS S-D-F]),"")+Tabla2[[#This Row],[TOTAL PEND. POR PAGAR ]]</f>
        <v>401.26</v>
      </c>
      <c r="L35" s="387" t="str">
        <f>TRIM(IFERROR(VLOOKUP(Tabla2[[#This Row],[CEDULA]],DATOS[],7,0),""))</f>
        <v>11111111111111111111</v>
      </c>
      <c r="M35" s="387" t="str">
        <f>IFERROR(VLOOKUP(Tabla2[[#This Row],[CEDULA]],DATOS[],8,0),"")</f>
        <v>A</v>
      </c>
      <c r="N35" s="388">
        <f>LEN(Tabla2[[#This Row],[N° CUENTA ]])</f>
        <v>20</v>
      </c>
    </row>
    <row r="36" spans="1:14" ht="15.75" x14ac:dyDescent="0.25">
      <c r="A36" s="383" t="str">
        <f t="shared" si="0"/>
        <v>V</v>
      </c>
      <c r="B36" s="383">
        <v>13717013</v>
      </c>
      <c r="C36" s="384" t="str">
        <f>VLOOKUP(Tabla2[[#This Row],[CEDULA]],DATOS[],2,0)</f>
        <v>AREVALO YASMIN</v>
      </c>
      <c r="D36" s="384" t="str">
        <f>VLOOKUP(Tabla2[[#This Row],[CEDULA]],METAS[[CEDULA]:[NIVEL Y CARGO]],3,0)</f>
        <v>SUPERVISORIO</v>
      </c>
      <c r="E36" s="384" t="s">
        <v>819</v>
      </c>
      <c r="F36" s="383">
        <f>IFERROR(VLOOKUP(Tabla2[[#This Row],[CEDULA]],NCH[[CEDULA]:[TOTAL GUARDIAS A PAGAR]],47,0),0)</f>
        <v>0</v>
      </c>
      <c r="G36" s="383">
        <f>IFERROR(VLOOKUP(Tabla2[[#This Row],[CEDULA]],NCH[[CEDULA]:[TOTAL GUARDIAS A PAGAR]],48,0),0)</f>
        <v>1</v>
      </c>
      <c r="H36" s="383">
        <f>VLOOKUP(Tabla2[[#This Row],[CEDULA]],METAS[[CEDULA]:[DIA PEN. ]],13,0)</f>
        <v>0</v>
      </c>
      <c r="I36" s="383">
        <f>Tabla2[TOTAL METAS L-V]+Tabla2[TOTAL METAS S-D-F]</f>
        <v>1</v>
      </c>
      <c r="J36" s="385">
        <f>VLOOKUP(Tabla2[[#This Row],[CEDULA]],METAS[],17,0)</f>
        <v>0</v>
      </c>
      <c r="K36" s="386">
        <f>IFERROR((VLOOKUP(Tabla2[NIVEL Y CARGO],NUEVO[],2,0)*Tabla2[TOTAL METAS L-V])+(VLOOKUP(Tabla2[NIVEL Y CARGO],NUEVO[],3,0)*Tabla2[TOTAL METAS S-D-F]),"")+Tabla2[[#This Row],[TOTAL PEND. POR PAGAR ]]</f>
        <v>575.62</v>
      </c>
      <c r="L36" s="387" t="str">
        <f>TRIM(IFERROR(VLOOKUP(Tabla2[[#This Row],[CEDULA]],DATOS[],7,0),""))</f>
        <v>11111111111111111111</v>
      </c>
      <c r="M36" s="387" t="str">
        <f>IFERROR(VLOOKUP(Tabla2[[#This Row],[CEDULA]],DATOS[],8,0),"")</f>
        <v>A</v>
      </c>
      <c r="N36" s="388">
        <f>LEN(Tabla2[[#This Row],[N° CUENTA ]])</f>
        <v>20</v>
      </c>
    </row>
    <row r="37" spans="1:14" ht="15.75" x14ac:dyDescent="0.25">
      <c r="A37" s="383" t="str">
        <f t="shared" si="0"/>
        <v>V</v>
      </c>
      <c r="B37" s="383">
        <v>8593916</v>
      </c>
      <c r="C37" s="384" t="str">
        <f>VLOOKUP(Tabla2[[#This Row],[CEDULA]],DATOS[],2,0)</f>
        <v>UGARTE CARMEN</v>
      </c>
      <c r="D37" s="384" t="str">
        <f>VLOOKUP(Tabla2[[#This Row],[CEDULA]],METAS[[CEDULA]:[NIVEL Y CARGO]],3,0)</f>
        <v>PROFESIONAL</v>
      </c>
      <c r="E37" s="384" t="s">
        <v>867</v>
      </c>
      <c r="F37" s="383">
        <f>IFERROR(VLOOKUP(Tabla2[[#This Row],[CEDULA]],NCH[[CEDULA]:[TOTAL GUARDIAS A PAGAR]],47,0),0)</f>
        <v>0</v>
      </c>
      <c r="G37" s="383">
        <f>IFERROR(VLOOKUP(Tabla2[[#This Row],[CEDULA]],NCH[[CEDULA]:[TOTAL GUARDIAS A PAGAR]],48,0),0)</f>
        <v>1</v>
      </c>
      <c r="H37" s="383">
        <f>VLOOKUP(Tabla2[[#This Row],[CEDULA]],METAS[[CEDULA]:[DIA PEN. ]],13,0)</f>
        <v>0</v>
      </c>
      <c r="I37" s="383">
        <f>Tabla2[TOTAL METAS L-V]+Tabla2[TOTAL METAS S-D-F]</f>
        <v>1</v>
      </c>
      <c r="J37" s="385">
        <f>VLOOKUP(Tabla2[[#This Row],[CEDULA]],METAS[],17,0)</f>
        <v>0</v>
      </c>
      <c r="K37" s="386">
        <f>IFERROR((VLOOKUP(Tabla2[NIVEL Y CARGO],NUEVO[],2,0)*Tabla2[TOTAL METAS L-V])+(VLOOKUP(Tabla2[NIVEL Y CARGO],NUEVO[],3,0)*Tabla2[TOTAL METAS S-D-F]),"")+Tabla2[[#This Row],[TOTAL PEND. POR PAGAR ]]</f>
        <v>517.5</v>
      </c>
      <c r="L37" s="387" t="str">
        <f>TRIM(IFERROR(VLOOKUP(Tabla2[[#This Row],[CEDULA]],DATOS[],7,0),""))</f>
        <v>11111111111111111111</v>
      </c>
      <c r="M37" s="387" t="str">
        <f>IFERROR(VLOOKUP(Tabla2[[#This Row],[CEDULA]],DATOS[],8,0),"")</f>
        <v>C</v>
      </c>
      <c r="N37" s="388">
        <f>LEN(Tabla2[[#This Row],[N° CUENTA ]])</f>
        <v>20</v>
      </c>
    </row>
    <row r="38" spans="1:14" ht="15.75" x14ac:dyDescent="0.25">
      <c r="A38" s="383" t="str">
        <f t="shared" si="0"/>
        <v>V</v>
      </c>
      <c r="B38" s="383">
        <v>25482546</v>
      </c>
      <c r="C38" s="384" t="str">
        <f>VLOOKUP(Tabla2[[#This Row],[CEDULA]],DATOS[],2,0)</f>
        <v>ATENCIO MARIA</v>
      </c>
      <c r="D38" s="384" t="str">
        <f>VLOOKUP(Tabla2[[#This Row],[CEDULA]],METAS[[CEDULA]:[NIVEL Y CARGO]],3,0)</f>
        <v>PROFESIONAL</v>
      </c>
      <c r="E38" s="384" t="s">
        <v>867</v>
      </c>
      <c r="F38" s="383">
        <f>IFERROR(VLOOKUP(Tabla2[[#This Row],[CEDULA]],NCH[[CEDULA]:[TOTAL GUARDIAS A PAGAR]],47,0),0)</f>
        <v>0</v>
      </c>
      <c r="G38" s="383">
        <f>IFERROR(VLOOKUP(Tabla2[[#This Row],[CEDULA]],NCH[[CEDULA]:[TOTAL GUARDIAS A PAGAR]],48,0),0)</f>
        <v>1</v>
      </c>
      <c r="H38" s="383">
        <f>VLOOKUP(Tabla2[[#This Row],[CEDULA]],METAS[[CEDULA]:[DIA PEN. ]],13,0)</f>
        <v>0</v>
      </c>
      <c r="I38" s="383">
        <f>Tabla2[TOTAL METAS L-V]+Tabla2[TOTAL METAS S-D-F]</f>
        <v>1</v>
      </c>
      <c r="J38" s="385">
        <f>VLOOKUP(Tabla2[[#This Row],[CEDULA]],METAS[],17,0)</f>
        <v>0</v>
      </c>
      <c r="K38" s="386">
        <f>IFERROR((VLOOKUP(Tabla2[NIVEL Y CARGO],NUEVO[],2,0)*Tabla2[TOTAL METAS L-V])+(VLOOKUP(Tabla2[NIVEL Y CARGO],NUEVO[],3,0)*Tabla2[TOTAL METAS S-D-F]),"")+Tabla2[[#This Row],[TOTAL PEND. POR PAGAR ]]</f>
        <v>517.5</v>
      </c>
      <c r="L38" s="387" t="str">
        <f>TRIM(IFERROR(VLOOKUP(Tabla2[[#This Row],[CEDULA]],DATOS[],7,0),""))</f>
        <v>11111111111111111111</v>
      </c>
      <c r="M38" s="387" t="str">
        <f>IFERROR(VLOOKUP(Tabla2[[#This Row],[CEDULA]],DATOS[],8,0),"")</f>
        <v>C</v>
      </c>
      <c r="N38" s="388">
        <f>LEN(Tabla2[[#This Row],[N° CUENTA ]])</f>
        <v>20</v>
      </c>
    </row>
    <row r="39" spans="1:14" ht="15.75" x14ac:dyDescent="0.25">
      <c r="A39" s="383" t="str">
        <f t="shared" si="0"/>
        <v>V</v>
      </c>
      <c r="B39" s="383">
        <v>15676996</v>
      </c>
      <c r="C39" s="384" t="str">
        <f>VLOOKUP(Tabla2[[#This Row],[CEDULA]],DATOS[],2,0)</f>
        <v>ROSAS VERONICA</v>
      </c>
      <c r="D39" s="384" t="str">
        <f>VLOOKUP(Tabla2[[#This Row],[CEDULA]],METAS[[CEDULA]:[NIVEL Y CARGO]],3,0)</f>
        <v>PROFESIONAL</v>
      </c>
      <c r="E39" s="384" t="s">
        <v>867</v>
      </c>
      <c r="F39" s="383">
        <f>IFERROR(VLOOKUP(Tabla2[[#This Row],[CEDULA]],NCH[[CEDULA]:[TOTAL GUARDIAS A PAGAR]],47,0),0)</f>
        <v>1</v>
      </c>
      <c r="G39" s="383">
        <f>IFERROR(VLOOKUP(Tabla2[[#This Row],[CEDULA]],NCH[[CEDULA]:[TOTAL GUARDIAS A PAGAR]],48,0),0)</f>
        <v>0</v>
      </c>
      <c r="H39" s="383">
        <f>VLOOKUP(Tabla2[[#This Row],[CEDULA]],METAS[[CEDULA]:[DIA PEN. ]],13,0)</f>
        <v>0</v>
      </c>
      <c r="I39" s="383">
        <f>Tabla2[TOTAL METAS L-V]+Tabla2[TOTAL METAS S-D-F]</f>
        <v>1</v>
      </c>
      <c r="J39" s="385">
        <f>VLOOKUP(Tabla2[[#This Row],[CEDULA]],METAS[],17,0)</f>
        <v>0</v>
      </c>
      <c r="K39" s="386">
        <f>IFERROR((VLOOKUP(Tabla2[NIVEL Y CARGO],NUEVO[],2,0)*Tabla2[TOTAL METAS L-V])+(VLOOKUP(Tabla2[NIVEL Y CARGO],NUEVO[],3,0)*Tabla2[TOTAL METAS S-D-F]),"")+Tabla2[[#This Row],[TOTAL PEND. POR PAGAR ]]</f>
        <v>258.75</v>
      </c>
      <c r="L39" s="387" t="str">
        <f>TRIM(IFERROR(VLOOKUP(Tabla2[[#This Row],[CEDULA]],DATOS[],7,0),""))</f>
        <v>11111111111111111111</v>
      </c>
      <c r="M39" s="387" t="str">
        <f>IFERROR(VLOOKUP(Tabla2[[#This Row],[CEDULA]],DATOS[],8,0),"")</f>
        <v>A</v>
      </c>
      <c r="N39" s="388">
        <f>LEN(Tabla2[[#This Row],[N° CUENTA ]])</f>
        <v>20</v>
      </c>
    </row>
    <row r="40" spans="1:14" ht="15.75" x14ac:dyDescent="0.25">
      <c r="A40" s="383" t="str">
        <f t="shared" si="0"/>
        <v>V</v>
      </c>
      <c r="B40" s="383">
        <v>11307551</v>
      </c>
      <c r="C40" s="384" t="str">
        <f>VLOOKUP(Tabla2[[#This Row],[CEDULA]],DATOS[],2,0)</f>
        <v>ALARCON VICTOR</v>
      </c>
      <c r="D40" s="384" t="str">
        <f>VLOOKUP(Tabla2[[#This Row],[CEDULA]],METAS[[CEDULA]:[NIVEL Y CARGO]],3,0)</f>
        <v>SUPERVISORIO</v>
      </c>
      <c r="E40" s="384" t="s">
        <v>867</v>
      </c>
      <c r="F40" s="383">
        <f>IFERROR(VLOOKUP(Tabla2[[#This Row],[CEDULA]],NCH[[CEDULA]:[TOTAL GUARDIAS A PAGAR]],47,0),0)</f>
        <v>0</v>
      </c>
      <c r="G40" s="383">
        <f>IFERROR(VLOOKUP(Tabla2[[#This Row],[CEDULA]],NCH[[CEDULA]:[TOTAL GUARDIAS A PAGAR]],48,0),0)</f>
        <v>2</v>
      </c>
      <c r="H40" s="383">
        <f>VLOOKUP(Tabla2[[#This Row],[CEDULA]],METAS[[CEDULA]:[DIA PEN. ]],13,0)</f>
        <v>0</v>
      </c>
      <c r="I40" s="383">
        <f>Tabla2[TOTAL METAS L-V]+Tabla2[TOTAL METAS S-D-F]</f>
        <v>2</v>
      </c>
      <c r="J40" s="385">
        <f>VLOOKUP(Tabla2[[#This Row],[CEDULA]],METAS[],17,0)</f>
        <v>0</v>
      </c>
      <c r="K40" s="386">
        <f>IFERROR((VLOOKUP(Tabla2[NIVEL Y CARGO],NUEVO[],2,0)*Tabla2[TOTAL METAS L-V])+(VLOOKUP(Tabla2[NIVEL Y CARGO],NUEVO[],3,0)*Tabla2[TOTAL METAS S-D-F]),"")+Tabla2[[#This Row],[TOTAL PEND. POR PAGAR ]]</f>
        <v>1151.24</v>
      </c>
      <c r="L40" s="387" t="str">
        <f>TRIM(IFERROR(VLOOKUP(Tabla2[[#This Row],[CEDULA]],DATOS[],7,0),""))</f>
        <v>11111111111111111111</v>
      </c>
      <c r="M40" s="387" t="str">
        <f>IFERROR(VLOOKUP(Tabla2[[#This Row],[CEDULA]],DATOS[],8,0),"")</f>
        <v>C</v>
      </c>
      <c r="N40" s="388">
        <f>LEN(Tabla2[[#This Row],[N° CUENTA ]])</f>
        <v>20</v>
      </c>
    </row>
    <row r="41" spans="1:14" ht="15.75" x14ac:dyDescent="0.25">
      <c r="A41" s="383" t="str">
        <f t="shared" si="0"/>
        <v>V</v>
      </c>
      <c r="B41" s="383">
        <v>10219318</v>
      </c>
      <c r="C41" s="384" t="str">
        <f>VLOOKUP(Tabla2[[#This Row],[CEDULA]],DATOS[],2,0)</f>
        <v>PAYARES DAISY</v>
      </c>
      <c r="D41" s="384" t="str">
        <f>VLOOKUP(Tabla2[[#This Row],[CEDULA]],METAS[[CEDULA]:[NIVEL Y CARGO]],3,0)</f>
        <v>SUPERVISORIO</v>
      </c>
      <c r="E41" s="384" t="s">
        <v>867</v>
      </c>
      <c r="F41" s="383">
        <f>IFERROR(VLOOKUP(Tabla2[[#This Row],[CEDULA]],NCH[[CEDULA]:[TOTAL GUARDIAS A PAGAR]],47,0),0)</f>
        <v>1</v>
      </c>
      <c r="G41" s="383">
        <f>IFERROR(VLOOKUP(Tabla2[[#This Row],[CEDULA]],NCH[[CEDULA]:[TOTAL GUARDIAS A PAGAR]],48,0),0)</f>
        <v>0</v>
      </c>
      <c r="H41" s="383">
        <f>VLOOKUP(Tabla2[[#This Row],[CEDULA]],METAS[[CEDULA]:[DIA PEN. ]],13,0)</f>
        <v>0</v>
      </c>
      <c r="I41" s="383">
        <f>Tabla2[TOTAL METAS L-V]+Tabla2[TOTAL METAS S-D-F]</f>
        <v>1</v>
      </c>
      <c r="J41" s="385">
        <f>VLOOKUP(Tabla2[[#This Row],[CEDULA]],METAS[],17,0)</f>
        <v>0</v>
      </c>
      <c r="K41" s="386">
        <f>IFERROR((VLOOKUP(Tabla2[NIVEL Y CARGO],NUEVO[],2,0)*Tabla2[TOTAL METAS L-V])+(VLOOKUP(Tabla2[NIVEL Y CARGO],NUEVO[],3,0)*Tabla2[TOTAL METAS S-D-F]),"")+Tabla2[[#This Row],[TOTAL PEND. POR PAGAR ]]</f>
        <v>287.81</v>
      </c>
      <c r="L41" s="387" t="str">
        <f>TRIM(IFERROR(VLOOKUP(Tabla2[[#This Row],[CEDULA]],DATOS[],7,0),""))</f>
        <v>11111111111111111111</v>
      </c>
      <c r="M41" s="387" t="str">
        <f>IFERROR(VLOOKUP(Tabla2[[#This Row],[CEDULA]],DATOS[],8,0),"")</f>
        <v>C</v>
      </c>
      <c r="N41" s="388">
        <f>LEN(Tabla2[[#This Row],[N° CUENTA ]])</f>
        <v>20</v>
      </c>
    </row>
    <row r="42" spans="1:14" ht="15.75" x14ac:dyDescent="0.25">
      <c r="A42" s="383" t="str">
        <f t="shared" si="0"/>
        <v>V</v>
      </c>
      <c r="B42" s="383">
        <v>6207120</v>
      </c>
      <c r="C42" s="384" t="str">
        <f>VLOOKUP(Tabla2[[#This Row],[CEDULA]],DATOS[],2,0)</f>
        <v>ARAOZ FRANCISCO</v>
      </c>
      <c r="D42" s="384" t="str">
        <f>VLOOKUP(Tabla2[[#This Row],[CEDULA]],METAS[[CEDULA]:[NIVEL Y CARGO]],3,0)</f>
        <v>PROFESIONAL</v>
      </c>
      <c r="E42" s="384" t="s">
        <v>869</v>
      </c>
      <c r="F42" s="383">
        <f>IFERROR(VLOOKUP(Tabla2[[#This Row],[CEDULA]],NCH[[CEDULA]:[TOTAL GUARDIAS A PAGAR]],47,0),0)</f>
        <v>2</v>
      </c>
      <c r="G42" s="383">
        <f>IFERROR(VLOOKUP(Tabla2[[#This Row],[CEDULA]],NCH[[CEDULA]:[TOTAL GUARDIAS A PAGAR]],48,0),0)</f>
        <v>0</v>
      </c>
      <c r="H42" s="383">
        <f>VLOOKUP(Tabla2[[#This Row],[CEDULA]],METAS[[CEDULA]:[DIA PEN. ]],13,0)</f>
        <v>0</v>
      </c>
      <c r="I42" s="383">
        <f>Tabla2[TOTAL METAS L-V]+Tabla2[TOTAL METAS S-D-F]</f>
        <v>2</v>
      </c>
      <c r="J42" s="385">
        <f>VLOOKUP(Tabla2[[#This Row],[CEDULA]],METAS[],17,0)</f>
        <v>0</v>
      </c>
      <c r="K42" s="386">
        <f>IFERROR((VLOOKUP(Tabla2[NIVEL Y CARGO],NUEVO[],2,0)*Tabla2[TOTAL METAS L-V])+(VLOOKUP(Tabla2[NIVEL Y CARGO],NUEVO[],3,0)*Tabla2[TOTAL METAS S-D-F]),"")+Tabla2[[#This Row],[TOTAL PEND. POR PAGAR ]]</f>
        <v>517.5</v>
      </c>
      <c r="L42" s="387" t="str">
        <f>TRIM(IFERROR(VLOOKUP(Tabla2[[#This Row],[CEDULA]],DATOS[],7,0),""))</f>
        <v>11111111111111111111</v>
      </c>
      <c r="M42" s="387" t="str">
        <f>IFERROR(VLOOKUP(Tabla2[[#This Row],[CEDULA]],DATOS[],8,0),"")</f>
        <v>C</v>
      </c>
      <c r="N42" s="388">
        <f>LEN(Tabla2[[#This Row],[N° CUENTA ]])</f>
        <v>20</v>
      </c>
    </row>
    <row r="43" spans="1:14" ht="15.75" x14ac:dyDescent="0.25">
      <c r="A43" s="383" t="str">
        <f t="shared" si="0"/>
        <v>V</v>
      </c>
      <c r="B43" s="383">
        <v>3523168</v>
      </c>
      <c r="C43" s="384" t="str">
        <f>VLOOKUP(Tabla2[[#This Row],[CEDULA]],DATOS[],2,0)</f>
        <v>BRICENO ESPERANZA</v>
      </c>
      <c r="D43" s="384" t="str">
        <f>VLOOKUP(Tabla2[[#This Row],[CEDULA]],METAS[[CEDULA]:[NIVEL Y CARGO]],3,0)</f>
        <v>SUPERVISORIO</v>
      </c>
      <c r="E43" s="384" t="s">
        <v>869</v>
      </c>
      <c r="F43" s="383">
        <f>IFERROR(VLOOKUP(Tabla2[[#This Row],[CEDULA]],NCH[[CEDULA]:[TOTAL GUARDIAS A PAGAR]],47,0),0)</f>
        <v>2</v>
      </c>
      <c r="G43" s="383">
        <f>IFERROR(VLOOKUP(Tabla2[[#This Row],[CEDULA]],NCH[[CEDULA]:[TOTAL GUARDIAS A PAGAR]],48,0),0)</f>
        <v>0</v>
      </c>
      <c r="H43" s="383">
        <f>VLOOKUP(Tabla2[[#This Row],[CEDULA]],METAS[[CEDULA]:[DIA PEN. ]],13,0)</f>
        <v>0</v>
      </c>
      <c r="I43" s="383">
        <f>Tabla2[TOTAL METAS L-V]+Tabla2[TOTAL METAS S-D-F]</f>
        <v>2</v>
      </c>
      <c r="J43" s="385">
        <f>VLOOKUP(Tabla2[[#This Row],[CEDULA]],METAS[],17,0)</f>
        <v>0</v>
      </c>
      <c r="K43" s="386">
        <f>IFERROR((VLOOKUP(Tabla2[NIVEL Y CARGO],NUEVO[],2,0)*Tabla2[TOTAL METAS L-V])+(VLOOKUP(Tabla2[NIVEL Y CARGO],NUEVO[],3,0)*Tabla2[TOTAL METAS S-D-F]),"")+Tabla2[[#This Row],[TOTAL PEND. POR PAGAR ]]</f>
        <v>575.62</v>
      </c>
      <c r="L43" s="387" t="str">
        <f>TRIM(IFERROR(VLOOKUP(Tabla2[[#This Row],[CEDULA]],DATOS[],7,0),""))</f>
        <v>11111111111111111111</v>
      </c>
      <c r="M43" s="387" t="str">
        <f>IFERROR(VLOOKUP(Tabla2[[#This Row],[CEDULA]],DATOS[],8,0),"")</f>
        <v>C</v>
      </c>
      <c r="N43" s="388">
        <f>LEN(Tabla2[[#This Row],[N° CUENTA ]])</f>
        <v>20</v>
      </c>
    </row>
    <row r="44" spans="1:14" ht="15.75" x14ac:dyDescent="0.25">
      <c r="A44" s="383" t="str">
        <f t="shared" si="0"/>
        <v>V</v>
      </c>
      <c r="B44" s="383">
        <v>12900851</v>
      </c>
      <c r="C44" s="384" t="str">
        <f>VLOOKUP(Tabla2[[#This Row],[CEDULA]],DATOS[],2,0)</f>
        <v>ACEVEDO MOISES</v>
      </c>
      <c r="D44" s="384" t="str">
        <f>VLOOKUP(Tabla2[[#This Row],[CEDULA]],METAS[[CEDULA]:[NIVEL Y CARGO]],3,0)</f>
        <v>SUPERVISORIO</v>
      </c>
      <c r="E44" s="384" t="s">
        <v>869</v>
      </c>
      <c r="F44" s="383">
        <f>IFERROR(VLOOKUP(Tabla2[[#This Row],[CEDULA]],NCH[[CEDULA]:[TOTAL GUARDIAS A PAGAR]],47,0),0)</f>
        <v>3</v>
      </c>
      <c r="G44" s="383">
        <f>IFERROR(VLOOKUP(Tabla2[[#This Row],[CEDULA]],NCH[[CEDULA]:[TOTAL GUARDIAS A PAGAR]],48,0),0)</f>
        <v>1</v>
      </c>
      <c r="H44" s="383">
        <f>VLOOKUP(Tabla2[[#This Row],[CEDULA]],METAS[[CEDULA]:[DIA PEN. ]],13,0)</f>
        <v>0</v>
      </c>
      <c r="I44" s="383">
        <f>Tabla2[TOTAL METAS L-V]+Tabla2[TOTAL METAS S-D-F]</f>
        <v>4</v>
      </c>
      <c r="J44" s="385">
        <f>VLOOKUP(Tabla2[[#This Row],[CEDULA]],METAS[],17,0)</f>
        <v>0</v>
      </c>
      <c r="K44" s="386">
        <f>IFERROR((VLOOKUP(Tabla2[NIVEL Y CARGO],NUEVO[],2,0)*Tabla2[TOTAL METAS L-V])+(VLOOKUP(Tabla2[NIVEL Y CARGO],NUEVO[],3,0)*Tabla2[TOTAL METAS S-D-F]),"")+Tabla2[[#This Row],[TOTAL PEND. POR PAGAR ]]</f>
        <v>1439.0500000000002</v>
      </c>
      <c r="L44" s="387" t="str">
        <f>TRIM(IFERROR(VLOOKUP(Tabla2[[#This Row],[CEDULA]],DATOS[],7,0),""))</f>
        <v>11111111111111111111</v>
      </c>
      <c r="M44" s="387" t="str">
        <f>IFERROR(VLOOKUP(Tabla2[[#This Row],[CEDULA]],DATOS[],8,0),"")</f>
        <v>C</v>
      </c>
      <c r="N44" s="388">
        <f>LEN(Tabla2[[#This Row],[N° CUENTA ]])</f>
        <v>20</v>
      </c>
    </row>
    <row r="45" spans="1:14" ht="15.75" x14ac:dyDescent="0.25">
      <c r="A45" s="383" t="str">
        <f t="shared" si="0"/>
        <v>V</v>
      </c>
      <c r="B45" s="383">
        <v>7452015</v>
      </c>
      <c r="C45" s="384" t="str">
        <f>VLOOKUP(Tabla2[[#This Row],[CEDULA]],DATOS[],2,0)</f>
        <v>GONZALEZ RITO</v>
      </c>
      <c r="D45" s="384" t="str">
        <f>VLOOKUP(Tabla2[[#This Row],[CEDULA]],METAS[[CEDULA]:[NIVEL Y CARGO]],3,0)</f>
        <v>SUPERVISORIO</v>
      </c>
      <c r="E45" s="384" t="s">
        <v>869</v>
      </c>
      <c r="F45" s="383">
        <f>IFERROR(VLOOKUP(Tabla2[[#This Row],[CEDULA]],NCH[[CEDULA]:[TOTAL GUARDIAS A PAGAR]],47,0),0)</f>
        <v>3</v>
      </c>
      <c r="G45" s="383">
        <f>IFERROR(VLOOKUP(Tabla2[[#This Row],[CEDULA]],NCH[[CEDULA]:[TOTAL GUARDIAS A PAGAR]],48,0),0)</f>
        <v>4</v>
      </c>
      <c r="H45" s="383">
        <f>VLOOKUP(Tabla2[[#This Row],[CEDULA]],METAS[[CEDULA]:[DIA PEN. ]],13,0)</f>
        <v>0</v>
      </c>
      <c r="I45" s="383">
        <f>Tabla2[TOTAL METAS L-V]+Tabla2[TOTAL METAS S-D-F]</f>
        <v>7</v>
      </c>
      <c r="J45" s="385">
        <f>VLOOKUP(Tabla2[[#This Row],[CEDULA]],METAS[],17,0)</f>
        <v>0</v>
      </c>
      <c r="K45" s="386">
        <f>IFERROR((VLOOKUP(Tabla2[NIVEL Y CARGO],NUEVO[],2,0)*Tabla2[TOTAL METAS L-V])+(VLOOKUP(Tabla2[NIVEL Y CARGO],NUEVO[],3,0)*Tabla2[TOTAL METAS S-D-F]),"")+Tabla2[[#This Row],[TOTAL PEND. POR PAGAR ]]</f>
        <v>3165.91</v>
      </c>
      <c r="L45" s="387" t="str">
        <f>TRIM(IFERROR(VLOOKUP(Tabla2[[#This Row],[CEDULA]],DATOS[],7,0),""))</f>
        <v>11111111111111111111</v>
      </c>
      <c r="M45" s="387" t="str">
        <f>IFERROR(VLOOKUP(Tabla2[[#This Row],[CEDULA]],DATOS[],8,0),"")</f>
        <v>C</v>
      </c>
      <c r="N45" s="388">
        <f>LEN(Tabla2[[#This Row],[N° CUENTA ]])</f>
        <v>20</v>
      </c>
    </row>
    <row r="46" spans="1:14" ht="15.75" x14ac:dyDescent="0.25">
      <c r="A46" s="383" t="str">
        <f t="shared" si="0"/>
        <v>V</v>
      </c>
      <c r="B46" s="383">
        <v>9420460</v>
      </c>
      <c r="C46" s="384" t="str">
        <f>VLOOKUP(Tabla2[[#This Row],[CEDULA]],DATOS[],2,0)</f>
        <v>MOYA MANUEL</v>
      </c>
      <c r="D46" s="384" t="str">
        <f>VLOOKUP(Tabla2[[#This Row],[CEDULA]],METAS[[CEDULA]:[NIVEL Y CARGO]],3,0)</f>
        <v>SUPERVISORIO</v>
      </c>
      <c r="E46" s="384" t="s">
        <v>868</v>
      </c>
      <c r="F46" s="383">
        <f>IFERROR(VLOOKUP(Tabla2[[#This Row],[CEDULA]],NCH[[CEDULA]:[TOTAL GUARDIAS A PAGAR]],47,0),0)</f>
        <v>1</v>
      </c>
      <c r="G46" s="383">
        <f>IFERROR(VLOOKUP(Tabla2[[#This Row],[CEDULA]],NCH[[CEDULA]:[TOTAL GUARDIAS A PAGAR]],48,0),0)</f>
        <v>1</v>
      </c>
      <c r="H46" s="383">
        <f>VLOOKUP(Tabla2[[#This Row],[CEDULA]],METAS[[CEDULA]:[DIA PEN. ]],13,0)</f>
        <v>0</v>
      </c>
      <c r="I46" s="383">
        <f>Tabla2[TOTAL METAS L-V]+Tabla2[TOTAL METAS S-D-F]</f>
        <v>2</v>
      </c>
      <c r="J46" s="385">
        <f>VLOOKUP(Tabla2[[#This Row],[CEDULA]],METAS[],17,0)</f>
        <v>0</v>
      </c>
      <c r="K46" s="386">
        <f>IFERROR((VLOOKUP(Tabla2[NIVEL Y CARGO],NUEVO[],2,0)*Tabla2[TOTAL METAS L-V])+(VLOOKUP(Tabla2[NIVEL Y CARGO],NUEVO[],3,0)*Tabla2[TOTAL METAS S-D-F]),"")+Tabla2[[#This Row],[TOTAL PEND. POR PAGAR ]]</f>
        <v>863.43000000000006</v>
      </c>
      <c r="L46" s="387" t="str">
        <f>TRIM(IFERROR(VLOOKUP(Tabla2[[#This Row],[CEDULA]],DATOS[],7,0),""))</f>
        <v>11111111111111111111</v>
      </c>
      <c r="M46" s="387" t="str">
        <f>IFERROR(VLOOKUP(Tabla2[[#This Row],[CEDULA]],DATOS[],8,0),"")</f>
        <v>C</v>
      </c>
      <c r="N46" s="388">
        <f>LEN(Tabla2[[#This Row],[N° CUENTA ]])</f>
        <v>20</v>
      </c>
    </row>
    <row r="47" spans="1:14" ht="15.75" x14ac:dyDescent="0.25">
      <c r="A47" s="383" t="str">
        <f t="shared" si="0"/>
        <v>V</v>
      </c>
      <c r="B47" s="383">
        <v>14346582</v>
      </c>
      <c r="C47" s="384" t="str">
        <f>VLOOKUP(Tabla2[[#This Row],[CEDULA]],DATOS[],2,0)</f>
        <v>ESQUEA LUIS</v>
      </c>
      <c r="D47" s="384" t="str">
        <f>VLOOKUP(Tabla2[[#This Row],[CEDULA]],METAS[[CEDULA]:[NIVEL Y CARGO]],3,0)</f>
        <v>OBRERO</v>
      </c>
      <c r="E47" s="384" t="s">
        <v>868</v>
      </c>
      <c r="F47" s="383">
        <f>IFERROR(VLOOKUP(Tabla2[[#This Row],[CEDULA]],NCH[[CEDULA]:[TOTAL GUARDIAS A PAGAR]],47,0),0)</f>
        <v>1</v>
      </c>
      <c r="G47" s="383">
        <f>IFERROR(VLOOKUP(Tabla2[[#This Row],[CEDULA]],NCH[[CEDULA]:[TOTAL GUARDIAS A PAGAR]],48,0),0)</f>
        <v>0</v>
      </c>
      <c r="H47" s="383">
        <f>VLOOKUP(Tabla2[[#This Row],[CEDULA]],METAS[[CEDULA]:[DIA PEN. ]],13,0)</f>
        <v>0</v>
      </c>
      <c r="I47" s="383">
        <f>Tabla2[TOTAL METAS L-V]+Tabla2[TOTAL METAS S-D-F]</f>
        <v>1</v>
      </c>
      <c r="J47" s="385">
        <f>VLOOKUP(Tabla2[[#This Row],[CEDULA]],METAS[],17,0)</f>
        <v>0</v>
      </c>
      <c r="K47" s="386">
        <f>IFERROR((VLOOKUP(Tabla2[NIVEL Y CARGO],NUEVO[],2,0)*Tabla2[TOTAL METAS L-V])+(VLOOKUP(Tabla2[NIVEL Y CARGO],NUEVO[],3,0)*Tabla2[TOTAL METAS S-D-F]),"")+Tabla2[[#This Row],[TOTAL PEND. POR PAGAR ]]</f>
        <v>200.63</v>
      </c>
      <c r="L47" s="387" t="str">
        <f>TRIM(IFERROR(VLOOKUP(Tabla2[[#This Row],[CEDULA]],DATOS[],7,0),""))</f>
        <v>11111111111111111111</v>
      </c>
      <c r="M47" s="387" t="str">
        <f>IFERROR(VLOOKUP(Tabla2[[#This Row],[CEDULA]],DATOS[],8,0),"")</f>
        <v>C</v>
      </c>
      <c r="N47" s="388">
        <f>LEN(Tabla2[[#This Row],[N° CUENTA ]])</f>
        <v>20</v>
      </c>
    </row>
    <row r="48" spans="1:14" ht="15.75" x14ac:dyDescent="0.25">
      <c r="A48" s="383" t="str">
        <f t="shared" si="0"/>
        <v>V</v>
      </c>
      <c r="B48" s="383">
        <v>10628857</v>
      </c>
      <c r="C48" s="384" t="str">
        <f>VLOOKUP(Tabla2[[#This Row],[CEDULA]],DATOS[],2,0)</f>
        <v>ANGARITA YEISON</v>
      </c>
      <c r="D48" s="384" t="str">
        <f>VLOOKUP(Tabla2[[#This Row],[CEDULA]],METAS[[CEDULA]:[NIVEL Y CARGO]],3,0)</f>
        <v>OBRERO</v>
      </c>
      <c r="E48" s="384" t="s">
        <v>868</v>
      </c>
      <c r="F48" s="383">
        <f>IFERROR(VLOOKUP(Tabla2[[#This Row],[CEDULA]],NCH[[CEDULA]:[TOTAL GUARDIAS A PAGAR]],47,0),0)</f>
        <v>0</v>
      </c>
      <c r="G48" s="383">
        <f>IFERROR(VLOOKUP(Tabla2[[#This Row],[CEDULA]],NCH[[CEDULA]:[TOTAL GUARDIAS A PAGAR]],48,0),0)</f>
        <v>1</v>
      </c>
      <c r="H48" s="383">
        <f>VLOOKUP(Tabla2[[#This Row],[CEDULA]],METAS[[CEDULA]:[DIA PEN. ]],13,0)</f>
        <v>0</v>
      </c>
      <c r="I48" s="383">
        <f>Tabla2[TOTAL METAS L-V]+Tabla2[TOTAL METAS S-D-F]</f>
        <v>1</v>
      </c>
      <c r="J48" s="385">
        <f>VLOOKUP(Tabla2[[#This Row],[CEDULA]],METAS[],17,0)</f>
        <v>0</v>
      </c>
      <c r="K48" s="386">
        <f>IFERROR((VLOOKUP(Tabla2[NIVEL Y CARGO],NUEVO[],2,0)*Tabla2[TOTAL METAS L-V])+(VLOOKUP(Tabla2[NIVEL Y CARGO],NUEVO[],3,0)*Tabla2[TOTAL METAS S-D-F]),"")+Tabla2[[#This Row],[TOTAL PEND. POR PAGAR ]]</f>
        <v>401.26</v>
      </c>
      <c r="L48" s="387" t="str">
        <f>TRIM(IFERROR(VLOOKUP(Tabla2[[#This Row],[CEDULA]],DATOS[],7,0),""))</f>
        <v>11111111111111111111</v>
      </c>
      <c r="M48" s="387" t="str">
        <f>IFERROR(VLOOKUP(Tabla2[[#This Row],[CEDULA]],DATOS[],8,0),"")</f>
        <v>C</v>
      </c>
      <c r="N48" s="388">
        <f>LEN(Tabla2[[#This Row],[N° CUENTA ]])</f>
        <v>20</v>
      </c>
    </row>
    <row r="49" spans="1:14" ht="15.75" x14ac:dyDescent="0.25">
      <c r="A49" s="383" t="str">
        <f t="shared" si="0"/>
        <v>V</v>
      </c>
      <c r="B49" s="383">
        <v>11037153</v>
      </c>
      <c r="C49" s="384" t="str">
        <f>VLOOKUP(Tabla2[[#This Row],[CEDULA]],DATOS[],2,0)</f>
        <v>CASTRO JOSEFA</v>
      </c>
      <c r="D49" s="384" t="str">
        <f>VLOOKUP(Tabla2[[#This Row],[CEDULA]],METAS[[CEDULA]:[NIVEL Y CARGO]],3,0)</f>
        <v>OBRERO</v>
      </c>
      <c r="E49" s="384" t="s">
        <v>868</v>
      </c>
      <c r="F49" s="383">
        <f>IFERROR(VLOOKUP(Tabla2[[#This Row],[CEDULA]],NCH[[CEDULA]:[TOTAL GUARDIAS A PAGAR]],47,0),0)</f>
        <v>1</v>
      </c>
      <c r="G49" s="383">
        <f>IFERROR(VLOOKUP(Tabla2[[#This Row],[CEDULA]],NCH[[CEDULA]:[TOTAL GUARDIAS A PAGAR]],48,0),0)</f>
        <v>1</v>
      </c>
      <c r="H49" s="383">
        <f>VLOOKUP(Tabla2[[#This Row],[CEDULA]],METAS[[CEDULA]:[DIA PEN. ]],13,0)</f>
        <v>0</v>
      </c>
      <c r="I49" s="383">
        <f>Tabla2[TOTAL METAS L-V]+Tabla2[TOTAL METAS S-D-F]</f>
        <v>2</v>
      </c>
      <c r="J49" s="385">
        <f>VLOOKUP(Tabla2[[#This Row],[CEDULA]],METAS[],17,0)</f>
        <v>0</v>
      </c>
      <c r="K49" s="386">
        <f>IFERROR((VLOOKUP(Tabla2[NIVEL Y CARGO],NUEVO[],2,0)*Tabla2[TOTAL METAS L-V])+(VLOOKUP(Tabla2[NIVEL Y CARGO],NUEVO[],3,0)*Tabla2[TOTAL METAS S-D-F]),"")+Tabla2[[#This Row],[TOTAL PEND. POR PAGAR ]]</f>
        <v>601.89</v>
      </c>
      <c r="L49" s="387" t="str">
        <f>TRIM(IFERROR(VLOOKUP(Tabla2[[#This Row],[CEDULA]],DATOS[],7,0),""))</f>
        <v>11111111111111111111</v>
      </c>
      <c r="M49" s="387" t="str">
        <f>IFERROR(VLOOKUP(Tabla2[[#This Row],[CEDULA]],DATOS[],8,0),"")</f>
        <v>C</v>
      </c>
      <c r="N49" s="388">
        <f>LEN(Tabla2[[#This Row],[N° CUENTA ]])</f>
        <v>20</v>
      </c>
    </row>
    <row r="50" spans="1:14" ht="15.75" x14ac:dyDescent="0.25">
      <c r="A50" s="383" t="str">
        <f t="shared" si="0"/>
        <v>V</v>
      </c>
      <c r="B50" s="383">
        <v>13548201</v>
      </c>
      <c r="C50" s="384" t="str">
        <f>VLOOKUP(Tabla2[[#This Row],[CEDULA]],DATOS[],2,0)</f>
        <v>AULAR JOSE</v>
      </c>
      <c r="D50" s="384" t="str">
        <f>VLOOKUP(Tabla2[[#This Row],[CEDULA]],METAS[[CEDULA]:[NIVEL Y CARGO]],3,0)</f>
        <v>OBRERO</v>
      </c>
      <c r="E50" s="384" t="s">
        <v>868</v>
      </c>
      <c r="F50" s="383">
        <f>IFERROR(VLOOKUP(Tabla2[[#This Row],[CEDULA]],NCH[[CEDULA]:[TOTAL GUARDIAS A PAGAR]],47,0),0)</f>
        <v>0</v>
      </c>
      <c r="G50" s="383">
        <f>IFERROR(VLOOKUP(Tabla2[[#This Row],[CEDULA]],NCH[[CEDULA]:[TOTAL GUARDIAS A PAGAR]],48,0),0)</f>
        <v>2</v>
      </c>
      <c r="H50" s="383">
        <f>VLOOKUP(Tabla2[[#This Row],[CEDULA]],METAS[[CEDULA]:[DIA PEN. ]],13,0)</f>
        <v>0</v>
      </c>
      <c r="I50" s="383">
        <f>Tabla2[TOTAL METAS L-V]+Tabla2[TOTAL METAS S-D-F]</f>
        <v>2</v>
      </c>
      <c r="J50" s="385">
        <f>VLOOKUP(Tabla2[[#This Row],[CEDULA]],METAS[],17,0)</f>
        <v>0</v>
      </c>
      <c r="K50" s="386">
        <f>IFERROR((VLOOKUP(Tabla2[NIVEL Y CARGO],NUEVO[],2,0)*Tabla2[TOTAL METAS L-V])+(VLOOKUP(Tabla2[NIVEL Y CARGO],NUEVO[],3,0)*Tabla2[TOTAL METAS S-D-F]),"")+Tabla2[[#This Row],[TOTAL PEND. POR PAGAR ]]</f>
        <v>802.52</v>
      </c>
      <c r="L50" s="387" t="str">
        <f>TRIM(IFERROR(VLOOKUP(Tabla2[[#This Row],[CEDULA]],DATOS[],7,0),""))</f>
        <v>11111111111111111111</v>
      </c>
      <c r="M50" s="387" t="str">
        <f>IFERROR(VLOOKUP(Tabla2[[#This Row],[CEDULA]],DATOS[],8,0),"")</f>
        <v>C</v>
      </c>
      <c r="N50" s="388">
        <f>LEN(Tabla2[[#This Row],[N° CUENTA ]])</f>
        <v>20</v>
      </c>
    </row>
    <row r="51" spans="1:14" ht="15.75" x14ac:dyDescent="0.25">
      <c r="A51" s="383" t="str">
        <f t="shared" si="0"/>
        <v>V</v>
      </c>
      <c r="B51" s="383">
        <v>5466538</v>
      </c>
      <c r="C51" s="384" t="str">
        <f>VLOOKUP(Tabla2[[#This Row],[CEDULA]],DATOS[],2,0)</f>
        <v>BRITO LYSBETH</v>
      </c>
      <c r="D51" s="384" t="str">
        <f>VLOOKUP(Tabla2[[#This Row],[CEDULA]],METAS[[CEDULA]:[NIVEL Y CARGO]],3,0)</f>
        <v>SUPERVISORIO</v>
      </c>
      <c r="E51" s="384" t="s">
        <v>868</v>
      </c>
      <c r="F51" s="383">
        <f>IFERROR(VLOOKUP(Tabla2[[#This Row],[CEDULA]],NCH[[CEDULA]:[TOTAL GUARDIAS A PAGAR]],47,0),0)</f>
        <v>0</v>
      </c>
      <c r="G51" s="383">
        <f>IFERROR(VLOOKUP(Tabla2[[#This Row],[CEDULA]],NCH[[CEDULA]:[TOTAL GUARDIAS A PAGAR]],48,0),0)</f>
        <v>1</v>
      </c>
      <c r="H51" s="383">
        <f>VLOOKUP(Tabla2[[#This Row],[CEDULA]],METAS[[CEDULA]:[DIA PEN. ]],13,0)</f>
        <v>0</v>
      </c>
      <c r="I51" s="383">
        <f>Tabla2[TOTAL METAS L-V]+Tabla2[TOTAL METAS S-D-F]</f>
        <v>1</v>
      </c>
      <c r="J51" s="385">
        <f>VLOOKUP(Tabla2[[#This Row],[CEDULA]],METAS[],17,0)</f>
        <v>0</v>
      </c>
      <c r="K51" s="386">
        <f>IFERROR((VLOOKUP(Tabla2[NIVEL Y CARGO],NUEVO[],2,0)*Tabla2[TOTAL METAS L-V])+(VLOOKUP(Tabla2[NIVEL Y CARGO],NUEVO[],3,0)*Tabla2[TOTAL METAS S-D-F]),"")+Tabla2[[#This Row],[TOTAL PEND. POR PAGAR ]]</f>
        <v>575.62</v>
      </c>
      <c r="L51" s="387" t="str">
        <f>TRIM(IFERROR(VLOOKUP(Tabla2[[#This Row],[CEDULA]],DATOS[],7,0),""))</f>
        <v>11111111111111111111</v>
      </c>
      <c r="M51" s="387" t="str">
        <f>IFERROR(VLOOKUP(Tabla2[[#This Row],[CEDULA]],DATOS[],8,0),"")</f>
        <v>C</v>
      </c>
      <c r="N51" s="388">
        <f>LEN(Tabla2[[#This Row],[N° CUENTA ]])</f>
        <v>20</v>
      </c>
    </row>
    <row r="52" spans="1:14" ht="15.75" x14ac:dyDescent="0.25">
      <c r="A52" s="383" t="str">
        <f t="shared" si="0"/>
        <v>V</v>
      </c>
      <c r="B52" s="383">
        <v>6318111</v>
      </c>
      <c r="C52" s="384" t="str">
        <f>VLOOKUP(Tabla2[[#This Row],[CEDULA]],DATOS[],2,0)</f>
        <v>GARCIA CARLOS</v>
      </c>
      <c r="D52" s="384" t="str">
        <f>VLOOKUP(Tabla2[[#This Row],[CEDULA]],METAS[[CEDULA]:[NIVEL Y CARGO]],3,0)</f>
        <v>OBRERO</v>
      </c>
      <c r="E52" s="384" t="s">
        <v>868</v>
      </c>
      <c r="F52" s="383">
        <f>IFERROR(VLOOKUP(Tabla2[[#This Row],[CEDULA]],NCH[[CEDULA]:[TOTAL GUARDIAS A PAGAR]],47,0),0)</f>
        <v>0</v>
      </c>
      <c r="G52" s="383">
        <f>IFERROR(VLOOKUP(Tabla2[[#This Row],[CEDULA]],NCH[[CEDULA]:[TOTAL GUARDIAS A PAGAR]],48,0),0)</f>
        <v>1</v>
      </c>
      <c r="H52" s="383">
        <f>VLOOKUP(Tabla2[[#This Row],[CEDULA]],METAS[[CEDULA]:[DIA PEN. ]],13,0)</f>
        <v>0</v>
      </c>
      <c r="I52" s="383">
        <f>Tabla2[TOTAL METAS L-V]+Tabla2[TOTAL METAS S-D-F]</f>
        <v>1</v>
      </c>
      <c r="J52" s="385">
        <f>VLOOKUP(Tabla2[[#This Row],[CEDULA]],METAS[],17,0)</f>
        <v>0</v>
      </c>
      <c r="K52" s="386">
        <f>IFERROR((VLOOKUP(Tabla2[NIVEL Y CARGO],NUEVO[],2,0)*Tabla2[TOTAL METAS L-V])+(VLOOKUP(Tabla2[NIVEL Y CARGO],NUEVO[],3,0)*Tabla2[TOTAL METAS S-D-F]),"")+Tabla2[[#This Row],[TOTAL PEND. POR PAGAR ]]</f>
        <v>401.26</v>
      </c>
      <c r="L52" s="387" t="str">
        <f>TRIM(IFERROR(VLOOKUP(Tabla2[[#This Row],[CEDULA]],DATOS[],7,0),""))</f>
        <v>11111111111111111111</v>
      </c>
      <c r="M52" s="387" t="str">
        <f>IFERROR(VLOOKUP(Tabla2[[#This Row],[CEDULA]],DATOS[],8,0),"")</f>
        <v>A</v>
      </c>
      <c r="N52" s="388">
        <f>LEN(Tabla2[[#This Row],[N° CUENTA ]])</f>
        <v>20</v>
      </c>
    </row>
    <row r="53" spans="1:14" ht="15.75" x14ac:dyDescent="0.25">
      <c r="A53" s="383" t="str">
        <f t="shared" si="0"/>
        <v>V</v>
      </c>
      <c r="B53" s="383">
        <v>33396857</v>
      </c>
      <c r="C53" s="384" t="str">
        <f>VLOOKUP(Tabla2[[#This Row],[CEDULA]],DATOS[],2,0)</f>
        <v>RIVAS ABDIAS</v>
      </c>
      <c r="D53" s="384" t="str">
        <f>VLOOKUP(Tabla2[[#This Row],[CEDULA]],METAS[[CEDULA]:[NIVEL Y CARGO]],3,0)</f>
        <v>ADMINISTRATIVO</v>
      </c>
      <c r="E53" s="384" t="s">
        <v>868</v>
      </c>
      <c r="F53" s="383">
        <f>IFERROR(VLOOKUP(Tabla2[[#This Row],[CEDULA]],NCH[[CEDULA]:[TOTAL GUARDIAS A PAGAR]],47,0),0)</f>
        <v>0</v>
      </c>
      <c r="G53" s="383">
        <f>IFERROR(VLOOKUP(Tabla2[[#This Row],[CEDULA]],NCH[[CEDULA]:[TOTAL GUARDIAS A PAGAR]],48,0),0)</f>
        <v>1</v>
      </c>
      <c r="H53" s="383">
        <f>VLOOKUP(Tabla2[[#This Row],[CEDULA]],METAS[[CEDULA]:[DIA PEN. ]],13,0)</f>
        <v>0</v>
      </c>
      <c r="I53" s="383">
        <f>Tabla2[TOTAL METAS L-V]+Tabla2[TOTAL METAS S-D-F]</f>
        <v>1</v>
      </c>
      <c r="J53" s="385">
        <f>VLOOKUP(Tabla2[[#This Row],[CEDULA]],METAS[],17,0)</f>
        <v>0</v>
      </c>
      <c r="K53" s="386">
        <f>IFERROR((VLOOKUP(Tabla2[NIVEL Y CARGO],NUEVO[],2,0)*Tabla2[TOTAL METAS L-V])+(VLOOKUP(Tabla2[NIVEL Y CARGO],NUEVO[],3,0)*Tabla2[TOTAL METAS S-D-F]),"")+Tabla2[[#This Row],[TOTAL PEND. POR PAGAR ]]</f>
        <v>430.32</v>
      </c>
      <c r="L53" s="387" t="str">
        <f>TRIM(IFERROR(VLOOKUP(Tabla2[[#This Row],[CEDULA]],DATOS[],7,0),""))</f>
        <v>11111111111111111111</v>
      </c>
      <c r="M53" s="387" t="str">
        <f>IFERROR(VLOOKUP(Tabla2[[#This Row],[CEDULA]],DATOS[],8,0),"")</f>
        <v>C</v>
      </c>
      <c r="N53" s="388">
        <f>LEN(Tabla2[[#This Row],[N° CUENTA ]])</f>
        <v>20</v>
      </c>
    </row>
    <row r="54" spans="1:14" ht="15.75" x14ac:dyDescent="0.25">
      <c r="A54" s="383" t="str">
        <f t="shared" si="0"/>
        <v>V</v>
      </c>
      <c r="B54" s="383">
        <v>6965462</v>
      </c>
      <c r="C54" s="384" t="str">
        <f>VLOOKUP(Tabla2[[#This Row],[CEDULA]],DATOS[],2,0)</f>
        <v>QUINTANA ANTONIO</v>
      </c>
      <c r="D54" s="384" t="str">
        <f>VLOOKUP(Tabla2[[#This Row],[CEDULA]],METAS[[CEDULA]:[NIVEL Y CARGO]],3,0)</f>
        <v>PROFESIONAL</v>
      </c>
      <c r="E54" s="384" t="s">
        <v>870</v>
      </c>
      <c r="F54" s="383">
        <f>IFERROR(VLOOKUP(Tabla2[[#This Row],[CEDULA]],NCH[[CEDULA]:[TOTAL GUARDIAS A PAGAR]],47,0),0)</f>
        <v>1</v>
      </c>
      <c r="G54" s="383">
        <f>IFERROR(VLOOKUP(Tabla2[[#This Row],[CEDULA]],NCH[[CEDULA]:[TOTAL GUARDIAS A PAGAR]],48,0),0)</f>
        <v>1</v>
      </c>
      <c r="H54" s="383">
        <f>VLOOKUP(Tabla2[[#This Row],[CEDULA]],METAS[[CEDULA]:[DIA PEN. ]],13,0)</f>
        <v>0</v>
      </c>
      <c r="I54" s="383">
        <f>Tabla2[TOTAL METAS L-V]+Tabla2[TOTAL METAS S-D-F]</f>
        <v>2</v>
      </c>
      <c r="J54" s="385">
        <f>VLOOKUP(Tabla2[[#This Row],[CEDULA]],METAS[],17,0)</f>
        <v>0</v>
      </c>
      <c r="K54" s="386">
        <f>IFERROR((VLOOKUP(Tabla2[NIVEL Y CARGO],NUEVO[],2,0)*Tabla2[TOTAL METAS L-V])+(VLOOKUP(Tabla2[NIVEL Y CARGO],NUEVO[],3,0)*Tabla2[TOTAL METAS S-D-F]),"")+Tabla2[[#This Row],[TOTAL PEND. POR PAGAR ]]</f>
        <v>776.25</v>
      </c>
      <c r="L54" s="387" t="str">
        <f>TRIM(IFERROR(VLOOKUP(Tabla2[[#This Row],[CEDULA]],DATOS[],7,0),""))</f>
        <v>11111111111111111111</v>
      </c>
      <c r="M54" s="387" t="str">
        <f>IFERROR(VLOOKUP(Tabla2[[#This Row],[CEDULA]],DATOS[],8,0),"")</f>
        <v>C</v>
      </c>
      <c r="N54" s="388">
        <f>LEN(Tabla2[[#This Row],[N° CUENTA ]])</f>
        <v>20</v>
      </c>
    </row>
    <row r="55" spans="1:14" ht="15.75" x14ac:dyDescent="0.25">
      <c r="A55" s="383" t="str">
        <f t="shared" si="0"/>
        <v>V</v>
      </c>
      <c r="B55" s="383">
        <v>6040404</v>
      </c>
      <c r="C55" s="384" t="str">
        <f>VLOOKUP(Tabla2[[#This Row],[CEDULA]],DATOS[],2,0)</f>
        <v>CRISTANCHO CIRO</v>
      </c>
      <c r="D55" s="384" t="str">
        <f>VLOOKUP(Tabla2[[#This Row],[CEDULA]],METAS[[CEDULA]:[NIVEL Y CARGO]],3,0)</f>
        <v>OBRERO</v>
      </c>
      <c r="E55" s="384" t="s">
        <v>862</v>
      </c>
      <c r="F55" s="383">
        <f>IFERROR(VLOOKUP(Tabla2[[#This Row],[CEDULA]],NCH[[CEDULA]:[TOTAL GUARDIAS A PAGAR]],47,0),0)</f>
        <v>1</v>
      </c>
      <c r="G55" s="383">
        <f>IFERROR(VLOOKUP(Tabla2[[#This Row],[CEDULA]],NCH[[CEDULA]:[TOTAL GUARDIAS A PAGAR]],48,0),0)</f>
        <v>0</v>
      </c>
      <c r="H55" s="383">
        <f>VLOOKUP(Tabla2[[#This Row],[CEDULA]],METAS[[CEDULA]:[DIA PEN. ]],13,0)</f>
        <v>0</v>
      </c>
      <c r="I55" s="383">
        <f>Tabla2[TOTAL METAS L-V]+Tabla2[TOTAL METAS S-D-F]</f>
        <v>1</v>
      </c>
      <c r="J55" s="385">
        <f>VLOOKUP(Tabla2[[#This Row],[CEDULA]],METAS[],17,0)</f>
        <v>0</v>
      </c>
      <c r="K55" s="386">
        <f>IFERROR((VLOOKUP(Tabla2[NIVEL Y CARGO],NUEVO[],2,0)*Tabla2[TOTAL METAS L-V])+(VLOOKUP(Tabla2[NIVEL Y CARGO],NUEVO[],3,0)*Tabla2[TOTAL METAS S-D-F]),"")+Tabla2[[#This Row],[TOTAL PEND. POR PAGAR ]]</f>
        <v>200.63</v>
      </c>
      <c r="L55" s="387" t="str">
        <f>TRIM(IFERROR(VLOOKUP(Tabla2[[#This Row],[CEDULA]],DATOS[],7,0),""))</f>
        <v>11111111111111111111</v>
      </c>
      <c r="M55" s="387" t="str">
        <f>IFERROR(VLOOKUP(Tabla2[[#This Row],[CEDULA]],DATOS[],8,0),"")</f>
        <v>C</v>
      </c>
      <c r="N55" s="388">
        <f>LEN(Tabla2[[#This Row],[N° CUENTA ]])</f>
        <v>20</v>
      </c>
    </row>
    <row r="56" spans="1:14" ht="15.75" x14ac:dyDescent="0.25">
      <c r="A56" s="383" t="str">
        <f t="shared" si="0"/>
        <v>V</v>
      </c>
      <c r="B56" s="383">
        <v>9489511</v>
      </c>
      <c r="C56" s="384" t="str">
        <f>VLOOKUP(Tabla2[[#This Row],[CEDULA]],DATOS[],2,0)</f>
        <v>FEO LUIS</v>
      </c>
      <c r="D56" s="384" t="str">
        <f>VLOOKUP(Tabla2[[#This Row],[CEDULA]],METAS[[CEDULA]:[NIVEL Y CARGO]],3,0)</f>
        <v>OBRERO</v>
      </c>
      <c r="E56" s="384" t="s">
        <v>862</v>
      </c>
      <c r="F56" s="383">
        <f>IFERROR(VLOOKUP(Tabla2[[#This Row],[CEDULA]],NCH[[CEDULA]:[TOTAL GUARDIAS A PAGAR]],47,0),0)</f>
        <v>3</v>
      </c>
      <c r="G56" s="383">
        <f>IFERROR(VLOOKUP(Tabla2[[#This Row],[CEDULA]],NCH[[CEDULA]:[TOTAL GUARDIAS A PAGAR]],48,0),0)</f>
        <v>2</v>
      </c>
      <c r="H56" s="383">
        <f>VLOOKUP(Tabla2[[#This Row],[CEDULA]],METAS[[CEDULA]:[DIA PEN. ]],13,0)</f>
        <v>0</v>
      </c>
      <c r="I56" s="383">
        <f>Tabla2[TOTAL METAS L-V]+Tabla2[TOTAL METAS S-D-F]</f>
        <v>5</v>
      </c>
      <c r="J56" s="385">
        <f>VLOOKUP(Tabla2[[#This Row],[CEDULA]],METAS[],17,0)</f>
        <v>0</v>
      </c>
      <c r="K56" s="386">
        <f>IFERROR((VLOOKUP(Tabla2[NIVEL Y CARGO],NUEVO[],2,0)*Tabla2[TOTAL METAS L-V])+(VLOOKUP(Tabla2[NIVEL Y CARGO],NUEVO[],3,0)*Tabla2[TOTAL METAS S-D-F]),"")+Tabla2[[#This Row],[TOTAL PEND. POR PAGAR ]]</f>
        <v>1404.4099999999999</v>
      </c>
      <c r="L56" s="387" t="str">
        <f>TRIM(IFERROR(VLOOKUP(Tabla2[[#This Row],[CEDULA]],DATOS[],7,0),""))</f>
        <v>11111111111111111111</v>
      </c>
      <c r="M56" s="387" t="str">
        <f>IFERROR(VLOOKUP(Tabla2[[#This Row],[CEDULA]],DATOS[],8,0),"")</f>
        <v>C</v>
      </c>
      <c r="N56" s="388">
        <f>LEN(Tabla2[[#This Row],[N° CUENTA ]])</f>
        <v>20</v>
      </c>
    </row>
    <row r="57" spans="1:14" ht="15.75" x14ac:dyDescent="0.25">
      <c r="A57" s="383" t="str">
        <f t="shared" si="0"/>
        <v>V</v>
      </c>
      <c r="B57" s="383">
        <v>11921508</v>
      </c>
      <c r="C57" s="384" t="str">
        <f>VLOOKUP(Tabla2[[#This Row],[CEDULA]],DATOS[],2,0)</f>
        <v>MARTINEZ JAVIER</v>
      </c>
      <c r="D57" s="384" t="str">
        <f>VLOOKUP(Tabla2[[#This Row],[CEDULA]],METAS[[CEDULA]:[NIVEL Y CARGO]],3,0)</f>
        <v>OBRERO</v>
      </c>
      <c r="E57" s="384" t="s">
        <v>862</v>
      </c>
      <c r="F57" s="383">
        <f>IFERROR(VLOOKUP(Tabla2[[#This Row],[CEDULA]],NCH[[CEDULA]:[TOTAL GUARDIAS A PAGAR]],47,0),0)</f>
        <v>2</v>
      </c>
      <c r="G57" s="383">
        <f>IFERROR(VLOOKUP(Tabla2[[#This Row],[CEDULA]],NCH[[CEDULA]:[TOTAL GUARDIAS A PAGAR]],48,0),0)</f>
        <v>1</v>
      </c>
      <c r="H57" s="383">
        <f>VLOOKUP(Tabla2[[#This Row],[CEDULA]],METAS[[CEDULA]:[DIA PEN. ]],13,0)</f>
        <v>5</v>
      </c>
      <c r="I57" s="383">
        <f>Tabla2[TOTAL METAS L-V]+Tabla2[TOTAL METAS S-D-F]</f>
        <v>3</v>
      </c>
      <c r="J57" s="385">
        <f>VLOOKUP(Tabla2[[#This Row],[CEDULA]],METAS[],17,0)</f>
        <v>1003.15</v>
      </c>
      <c r="K57" s="386">
        <f>IFERROR((VLOOKUP(Tabla2[NIVEL Y CARGO],NUEVO[],2,0)*Tabla2[TOTAL METAS L-V])+(VLOOKUP(Tabla2[NIVEL Y CARGO],NUEVO[],3,0)*Tabla2[TOTAL METAS S-D-F]),"")+Tabla2[[#This Row],[TOTAL PEND. POR PAGAR ]]</f>
        <v>1805.67</v>
      </c>
      <c r="L57" s="387" t="str">
        <f>TRIM(IFERROR(VLOOKUP(Tabla2[[#This Row],[CEDULA]],DATOS[],7,0),""))</f>
        <v>11111111111111111111</v>
      </c>
      <c r="M57" s="387" t="str">
        <f>IFERROR(VLOOKUP(Tabla2[[#This Row],[CEDULA]],DATOS[],8,0),"")</f>
        <v>C</v>
      </c>
      <c r="N57" s="388">
        <f>LEN(Tabla2[[#This Row],[N° CUENTA ]])</f>
        <v>20</v>
      </c>
    </row>
    <row r="58" spans="1:14" ht="15.75" x14ac:dyDescent="0.25">
      <c r="A58" s="383" t="str">
        <f t="shared" si="0"/>
        <v>V</v>
      </c>
      <c r="B58" s="383">
        <v>11994919</v>
      </c>
      <c r="C58" s="384" t="str">
        <f>VLOOKUP(Tabla2[[#This Row],[CEDULA]],DATOS[],2,0)</f>
        <v>DIAZ JORGE</v>
      </c>
      <c r="D58" s="384" t="str">
        <f>VLOOKUP(Tabla2[[#This Row],[CEDULA]],METAS[[CEDULA]:[NIVEL Y CARGO]],3,0)</f>
        <v>OBRERO</v>
      </c>
      <c r="E58" s="384" t="s">
        <v>862</v>
      </c>
      <c r="F58" s="383">
        <f>IFERROR(VLOOKUP(Tabla2[[#This Row],[CEDULA]],NCH[[CEDULA]:[TOTAL GUARDIAS A PAGAR]],47,0),0)</f>
        <v>1</v>
      </c>
      <c r="G58" s="383">
        <f>IFERROR(VLOOKUP(Tabla2[[#This Row],[CEDULA]],NCH[[CEDULA]:[TOTAL GUARDIAS A PAGAR]],48,0),0)</f>
        <v>1</v>
      </c>
      <c r="H58" s="383">
        <f>VLOOKUP(Tabla2[[#This Row],[CEDULA]],METAS[[CEDULA]:[DIA PEN. ]],13,0)</f>
        <v>0</v>
      </c>
      <c r="I58" s="383">
        <f>Tabla2[TOTAL METAS L-V]+Tabla2[TOTAL METAS S-D-F]</f>
        <v>2</v>
      </c>
      <c r="J58" s="385">
        <f>VLOOKUP(Tabla2[[#This Row],[CEDULA]],METAS[],17,0)</f>
        <v>0</v>
      </c>
      <c r="K58" s="386">
        <f>IFERROR((VLOOKUP(Tabla2[NIVEL Y CARGO],NUEVO[],2,0)*Tabla2[TOTAL METAS L-V])+(VLOOKUP(Tabla2[NIVEL Y CARGO],NUEVO[],3,0)*Tabla2[TOTAL METAS S-D-F]),"")+Tabla2[[#This Row],[TOTAL PEND. POR PAGAR ]]</f>
        <v>601.89</v>
      </c>
      <c r="L58" s="387" t="str">
        <f>TRIM(IFERROR(VLOOKUP(Tabla2[[#This Row],[CEDULA]],DATOS[],7,0),""))</f>
        <v>11111111111111111111</v>
      </c>
      <c r="M58" s="387" t="str">
        <f>IFERROR(VLOOKUP(Tabla2[[#This Row],[CEDULA]],DATOS[],8,0),"")</f>
        <v>C</v>
      </c>
      <c r="N58" s="388">
        <f>LEN(Tabla2[[#This Row],[N° CUENTA ]])</f>
        <v>20</v>
      </c>
    </row>
    <row r="59" spans="1:14" ht="15.75" x14ac:dyDescent="0.25">
      <c r="A59" s="383" t="str">
        <f t="shared" si="0"/>
        <v>V</v>
      </c>
      <c r="B59" s="383">
        <v>9062557</v>
      </c>
      <c r="C59" s="384" t="str">
        <f>VLOOKUP(Tabla2[[#This Row],[CEDULA]],DATOS[],2,0)</f>
        <v>GOMEZ SILFREDO</v>
      </c>
      <c r="D59" s="384" t="str">
        <f>VLOOKUP(Tabla2[[#This Row],[CEDULA]],METAS[[CEDULA]:[NIVEL Y CARGO]],3,0)</f>
        <v>SUPERVISORIO</v>
      </c>
      <c r="E59" s="384" t="s">
        <v>862</v>
      </c>
      <c r="F59" s="383">
        <f>IFERROR(VLOOKUP(Tabla2[[#This Row],[CEDULA]],NCH[[CEDULA]:[TOTAL GUARDIAS A PAGAR]],47,0),0)</f>
        <v>1</v>
      </c>
      <c r="G59" s="383">
        <f>IFERROR(VLOOKUP(Tabla2[[#This Row],[CEDULA]],NCH[[CEDULA]:[TOTAL GUARDIAS A PAGAR]],48,0),0)</f>
        <v>1</v>
      </c>
      <c r="H59" s="383">
        <f>VLOOKUP(Tabla2[[#This Row],[CEDULA]],METAS[[CEDULA]:[DIA PEN. ]],13,0)</f>
        <v>0</v>
      </c>
      <c r="I59" s="383">
        <f>Tabla2[TOTAL METAS L-V]+Tabla2[TOTAL METAS S-D-F]</f>
        <v>2</v>
      </c>
      <c r="J59" s="385">
        <f>VLOOKUP(Tabla2[[#This Row],[CEDULA]],METAS[],17,0)</f>
        <v>0</v>
      </c>
      <c r="K59" s="386">
        <f>IFERROR((VLOOKUP(Tabla2[NIVEL Y CARGO],NUEVO[],2,0)*Tabla2[TOTAL METAS L-V])+(VLOOKUP(Tabla2[NIVEL Y CARGO],NUEVO[],3,0)*Tabla2[TOTAL METAS S-D-F]),"")+Tabla2[[#This Row],[TOTAL PEND. POR PAGAR ]]</f>
        <v>863.43000000000006</v>
      </c>
      <c r="L59" s="387" t="str">
        <f>TRIM(IFERROR(VLOOKUP(Tabla2[[#This Row],[CEDULA]],DATOS[],7,0),""))</f>
        <v>11111111111111111111</v>
      </c>
      <c r="M59" s="387" t="str">
        <f>IFERROR(VLOOKUP(Tabla2[[#This Row],[CEDULA]],DATOS[],8,0),"")</f>
        <v>C</v>
      </c>
      <c r="N59" s="388">
        <f>LEN(Tabla2[[#This Row],[N° CUENTA ]])</f>
        <v>20</v>
      </c>
    </row>
    <row r="60" spans="1:14" ht="15.75" x14ac:dyDescent="0.25">
      <c r="A60" s="383" t="str">
        <f t="shared" si="0"/>
        <v>V</v>
      </c>
      <c r="B60" s="383">
        <v>4854896</v>
      </c>
      <c r="C60" s="384" t="str">
        <f>VLOOKUP(Tabla2[[#This Row],[CEDULA]],DATOS[],2,0)</f>
        <v>PENA ENRIQUE</v>
      </c>
      <c r="D60" s="384" t="str">
        <f>VLOOKUP(Tabla2[[#This Row],[CEDULA]],METAS[[CEDULA]:[NIVEL Y CARGO]],3,0)</f>
        <v>SUPERVISORIO</v>
      </c>
      <c r="E60" s="384" t="s">
        <v>862</v>
      </c>
      <c r="F60" s="383">
        <f>IFERROR(VLOOKUP(Tabla2[[#This Row],[CEDULA]],NCH[[CEDULA]:[TOTAL GUARDIAS A PAGAR]],47,0),0)</f>
        <v>1</v>
      </c>
      <c r="G60" s="383">
        <f>IFERROR(VLOOKUP(Tabla2[[#This Row],[CEDULA]],NCH[[CEDULA]:[TOTAL GUARDIAS A PAGAR]],48,0),0)</f>
        <v>1</v>
      </c>
      <c r="H60" s="383">
        <f>VLOOKUP(Tabla2[[#This Row],[CEDULA]],METAS[[CEDULA]:[DIA PEN. ]],13,0)</f>
        <v>0</v>
      </c>
      <c r="I60" s="383">
        <f>Tabla2[TOTAL METAS L-V]+Tabla2[TOTAL METAS S-D-F]</f>
        <v>2</v>
      </c>
      <c r="J60" s="385">
        <f>VLOOKUP(Tabla2[[#This Row],[CEDULA]],METAS[],17,0)</f>
        <v>0</v>
      </c>
      <c r="K60" s="386">
        <f>IFERROR((VLOOKUP(Tabla2[NIVEL Y CARGO],NUEVO[],2,0)*Tabla2[TOTAL METAS L-V])+(VLOOKUP(Tabla2[NIVEL Y CARGO],NUEVO[],3,0)*Tabla2[TOTAL METAS S-D-F]),"")+Tabla2[[#This Row],[TOTAL PEND. POR PAGAR ]]</f>
        <v>863.43000000000006</v>
      </c>
      <c r="L60" s="387" t="str">
        <f>TRIM(IFERROR(VLOOKUP(Tabla2[[#This Row],[CEDULA]],DATOS[],7,0),""))</f>
        <v>11111111111111111111</v>
      </c>
      <c r="M60" s="387" t="str">
        <f>IFERROR(VLOOKUP(Tabla2[[#This Row],[CEDULA]],DATOS[],8,0),"")</f>
        <v>C</v>
      </c>
      <c r="N60" s="388">
        <f>LEN(Tabla2[[#This Row],[N° CUENTA ]])</f>
        <v>20</v>
      </c>
    </row>
    <row r="61" spans="1:14" ht="15.75" x14ac:dyDescent="0.25">
      <c r="A61" s="383" t="str">
        <f t="shared" si="0"/>
        <v>V</v>
      </c>
      <c r="B61" s="383">
        <v>6547888</v>
      </c>
      <c r="C61" s="384" t="str">
        <f>VLOOKUP(Tabla2[[#This Row],[CEDULA]],DATOS[],2,0)</f>
        <v>NIETO JULIAN</v>
      </c>
      <c r="D61" s="384" t="str">
        <f>VLOOKUP(Tabla2[[#This Row],[CEDULA]],METAS[[CEDULA]:[NIVEL Y CARGO]],3,0)</f>
        <v>OBRERO</v>
      </c>
      <c r="E61" s="384" t="s">
        <v>862</v>
      </c>
      <c r="F61" s="383">
        <f>IFERROR(VLOOKUP(Tabla2[[#This Row],[CEDULA]],NCH[[CEDULA]:[TOTAL GUARDIAS A PAGAR]],47,0),0)</f>
        <v>0</v>
      </c>
      <c r="G61" s="383">
        <f>IFERROR(VLOOKUP(Tabla2[[#This Row],[CEDULA]],NCH[[CEDULA]:[TOTAL GUARDIAS A PAGAR]],48,0),0)</f>
        <v>1</v>
      </c>
      <c r="H61" s="383">
        <f>VLOOKUP(Tabla2[[#This Row],[CEDULA]],METAS[[CEDULA]:[DIA PEN. ]],13,0)</f>
        <v>0</v>
      </c>
      <c r="I61" s="383">
        <f>Tabla2[TOTAL METAS L-V]+Tabla2[TOTAL METAS S-D-F]</f>
        <v>1</v>
      </c>
      <c r="J61" s="385">
        <f>VLOOKUP(Tabla2[[#This Row],[CEDULA]],METAS[],17,0)</f>
        <v>0</v>
      </c>
      <c r="K61" s="386">
        <f>IFERROR((VLOOKUP(Tabla2[NIVEL Y CARGO],NUEVO[],2,0)*Tabla2[TOTAL METAS L-V])+(VLOOKUP(Tabla2[NIVEL Y CARGO],NUEVO[],3,0)*Tabla2[TOTAL METAS S-D-F]),"")+Tabla2[[#This Row],[TOTAL PEND. POR PAGAR ]]</f>
        <v>401.26</v>
      </c>
      <c r="L61" s="387" t="str">
        <f>TRIM(IFERROR(VLOOKUP(Tabla2[[#This Row],[CEDULA]],DATOS[],7,0),""))</f>
        <v>11111111111111111111</v>
      </c>
      <c r="M61" s="387" t="str">
        <f>IFERROR(VLOOKUP(Tabla2[[#This Row],[CEDULA]],DATOS[],8,0),"")</f>
        <v>C</v>
      </c>
      <c r="N61" s="388">
        <f>LEN(Tabla2[[#This Row],[N° CUENTA ]])</f>
        <v>20</v>
      </c>
    </row>
    <row r="62" spans="1:14" ht="15.75" x14ac:dyDescent="0.25">
      <c r="A62" s="383" t="str">
        <f t="shared" ref="A62:A91" si="1">IF(B62&gt;1,"V","")</f>
        <v>V</v>
      </c>
      <c r="B62" s="383">
        <v>24750318</v>
      </c>
      <c r="C62" s="384" t="str">
        <f>VLOOKUP(Tabla2[[#This Row],[CEDULA]],DATOS[],2,0)</f>
        <v>DIAZ REINALDO</v>
      </c>
      <c r="D62" s="384" t="str">
        <f>VLOOKUP(Tabla2[[#This Row],[CEDULA]],METAS[[CEDULA]:[NIVEL Y CARGO]],3,0)</f>
        <v>OBRERO</v>
      </c>
      <c r="E62" s="384" t="s">
        <v>862</v>
      </c>
      <c r="F62" s="383">
        <f>IFERROR(VLOOKUP(Tabla2[[#This Row],[CEDULA]],NCH[[CEDULA]:[TOTAL GUARDIAS A PAGAR]],47,0),0)</f>
        <v>0</v>
      </c>
      <c r="G62" s="383">
        <f>IFERROR(VLOOKUP(Tabla2[[#This Row],[CEDULA]],NCH[[CEDULA]:[TOTAL GUARDIAS A PAGAR]],48,0),0)</f>
        <v>1</v>
      </c>
      <c r="H62" s="383">
        <f>VLOOKUP(Tabla2[[#This Row],[CEDULA]],METAS[[CEDULA]:[DIA PEN. ]],13,0)</f>
        <v>0</v>
      </c>
      <c r="I62" s="383">
        <f>Tabla2[TOTAL METAS L-V]+Tabla2[TOTAL METAS S-D-F]</f>
        <v>1</v>
      </c>
      <c r="J62" s="385">
        <f>VLOOKUP(Tabla2[[#This Row],[CEDULA]],METAS[],17,0)</f>
        <v>0</v>
      </c>
      <c r="K62" s="386">
        <f>IFERROR((VLOOKUP(Tabla2[NIVEL Y CARGO],NUEVO[],2,0)*Tabla2[TOTAL METAS L-V])+(VLOOKUP(Tabla2[NIVEL Y CARGO],NUEVO[],3,0)*Tabla2[TOTAL METAS S-D-F]),"")+Tabla2[[#This Row],[TOTAL PEND. POR PAGAR ]]</f>
        <v>401.26</v>
      </c>
      <c r="L62" s="387" t="str">
        <f>TRIM(IFERROR(VLOOKUP(Tabla2[[#This Row],[CEDULA]],DATOS[],7,0),""))</f>
        <v>11111111111111111111</v>
      </c>
      <c r="M62" s="387" t="str">
        <f>IFERROR(VLOOKUP(Tabla2[[#This Row],[CEDULA]],DATOS[],8,0),"")</f>
        <v>C</v>
      </c>
      <c r="N62" s="388">
        <f>LEN(Tabla2[[#This Row],[N° CUENTA ]])</f>
        <v>20</v>
      </c>
    </row>
    <row r="63" spans="1:14" ht="15.75" x14ac:dyDescent="0.25">
      <c r="A63" s="383" t="str">
        <f t="shared" si="1"/>
        <v>V</v>
      </c>
      <c r="B63" s="383">
        <v>5605299</v>
      </c>
      <c r="C63" s="384" t="str">
        <f>VLOOKUP(Tabla2[[#This Row],[CEDULA]],DATOS[],2,0)</f>
        <v>MANRIQUE PABLO</v>
      </c>
      <c r="D63" s="384" t="str">
        <f>VLOOKUP(Tabla2[[#This Row],[CEDULA]],METAS[[CEDULA]:[NIVEL Y CARGO]],3,0)</f>
        <v>OBRERO</v>
      </c>
      <c r="E63" s="384" t="s">
        <v>862</v>
      </c>
      <c r="F63" s="383">
        <f>IFERROR(VLOOKUP(Tabla2[[#This Row],[CEDULA]],NCH[[CEDULA]:[TOTAL GUARDIAS A PAGAR]],47,0),0)</f>
        <v>2</v>
      </c>
      <c r="G63" s="383">
        <f>IFERROR(VLOOKUP(Tabla2[[#This Row],[CEDULA]],NCH[[CEDULA]:[TOTAL GUARDIAS A PAGAR]],48,0),0)</f>
        <v>0</v>
      </c>
      <c r="H63" s="383">
        <f>VLOOKUP(Tabla2[[#This Row],[CEDULA]],METAS[[CEDULA]:[DIA PEN. ]],13,0)</f>
        <v>0</v>
      </c>
      <c r="I63" s="383">
        <f>Tabla2[TOTAL METAS L-V]+Tabla2[TOTAL METAS S-D-F]</f>
        <v>2</v>
      </c>
      <c r="J63" s="385">
        <f>VLOOKUP(Tabla2[[#This Row],[CEDULA]],METAS[],17,0)</f>
        <v>0</v>
      </c>
      <c r="K63" s="386">
        <f>IFERROR((VLOOKUP(Tabla2[NIVEL Y CARGO],NUEVO[],2,0)*Tabla2[TOTAL METAS L-V])+(VLOOKUP(Tabla2[NIVEL Y CARGO],NUEVO[],3,0)*Tabla2[TOTAL METAS S-D-F]),"")+Tabla2[[#This Row],[TOTAL PEND. POR PAGAR ]]</f>
        <v>401.26</v>
      </c>
      <c r="L63" s="387" t="str">
        <f>TRIM(IFERROR(VLOOKUP(Tabla2[[#This Row],[CEDULA]],DATOS[],7,0),""))</f>
        <v>11111111111111111111</v>
      </c>
      <c r="M63" s="387" t="str">
        <f>IFERROR(VLOOKUP(Tabla2[[#This Row],[CEDULA]],DATOS[],8,0),"")</f>
        <v>C</v>
      </c>
      <c r="N63" s="388">
        <f>LEN(Tabla2[[#This Row],[N° CUENTA ]])</f>
        <v>20</v>
      </c>
    </row>
    <row r="64" spans="1:14" ht="15.75" x14ac:dyDescent="0.25">
      <c r="A64" s="383" t="str">
        <f t="shared" si="1"/>
        <v>V</v>
      </c>
      <c r="B64" s="383">
        <v>11944937</v>
      </c>
      <c r="C64" s="384" t="str">
        <f>VLOOKUP(Tabla2[[#This Row],[CEDULA]],DATOS[],2,0)</f>
        <v>TORREALBA NAUDYS</v>
      </c>
      <c r="D64" s="384" t="str">
        <f>VLOOKUP(Tabla2[[#This Row],[CEDULA]],METAS[[CEDULA]:[NIVEL Y CARGO]],3,0)</f>
        <v>OBRERO</v>
      </c>
      <c r="E64" s="384" t="s">
        <v>862</v>
      </c>
      <c r="F64" s="383">
        <f>IFERROR(VLOOKUP(Tabla2[[#This Row],[CEDULA]],NCH[[CEDULA]:[TOTAL GUARDIAS A PAGAR]],47,0),0)</f>
        <v>2</v>
      </c>
      <c r="G64" s="383">
        <f>IFERROR(VLOOKUP(Tabla2[[#This Row],[CEDULA]],NCH[[CEDULA]:[TOTAL GUARDIAS A PAGAR]],48,0),0)</f>
        <v>0</v>
      </c>
      <c r="H64" s="383">
        <f>VLOOKUP(Tabla2[[#This Row],[CEDULA]],METAS[[CEDULA]:[DIA PEN. ]],13,0)</f>
        <v>0</v>
      </c>
      <c r="I64" s="383">
        <f>Tabla2[TOTAL METAS L-V]+Tabla2[TOTAL METAS S-D-F]</f>
        <v>2</v>
      </c>
      <c r="J64" s="385">
        <f>VLOOKUP(Tabla2[[#This Row],[CEDULA]],METAS[],17,0)</f>
        <v>0</v>
      </c>
      <c r="K64" s="386">
        <f>IFERROR((VLOOKUP(Tabla2[NIVEL Y CARGO],NUEVO[],2,0)*Tabla2[TOTAL METAS L-V])+(VLOOKUP(Tabla2[NIVEL Y CARGO],NUEVO[],3,0)*Tabla2[TOTAL METAS S-D-F]),"")+Tabla2[[#This Row],[TOTAL PEND. POR PAGAR ]]</f>
        <v>401.26</v>
      </c>
      <c r="L64" s="387" t="str">
        <f>TRIM(IFERROR(VLOOKUP(Tabla2[[#This Row],[CEDULA]],DATOS[],7,0),""))</f>
        <v>11111111111111111111</v>
      </c>
      <c r="M64" s="387" t="str">
        <f>IFERROR(VLOOKUP(Tabla2[[#This Row],[CEDULA]],DATOS[],8,0),"")</f>
        <v>C</v>
      </c>
      <c r="N64" s="388">
        <f>LEN(Tabla2[[#This Row],[N° CUENTA ]])</f>
        <v>20</v>
      </c>
    </row>
    <row r="65" spans="1:14" ht="15.75" x14ac:dyDescent="0.25">
      <c r="A65" s="383" t="str">
        <f t="shared" si="1"/>
        <v>V</v>
      </c>
      <c r="B65" s="383">
        <v>16452265</v>
      </c>
      <c r="C65" s="384" t="str">
        <f>VLOOKUP(Tabla2[[#This Row],[CEDULA]],DATOS[],2,0)</f>
        <v>RIVERO YANNY</v>
      </c>
      <c r="D65" s="384" t="str">
        <f>VLOOKUP(Tabla2[[#This Row],[CEDULA]],METAS[[CEDULA]:[NIVEL Y CARGO]],3,0)</f>
        <v>OBRERO</v>
      </c>
      <c r="E65" s="384" t="s">
        <v>862</v>
      </c>
      <c r="F65" s="383">
        <f>IFERROR(VLOOKUP(Tabla2[[#This Row],[CEDULA]],NCH[[CEDULA]:[TOTAL GUARDIAS A PAGAR]],47,0),0)</f>
        <v>0</v>
      </c>
      <c r="G65" s="383">
        <f>IFERROR(VLOOKUP(Tabla2[[#This Row],[CEDULA]],NCH[[CEDULA]:[TOTAL GUARDIAS A PAGAR]],48,0),0)</f>
        <v>1</v>
      </c>
      <c r="H65" s="383">
        <f>VLOOKUP(Tabla2[[#This Row],[CEDULA]],METAS[[CEDULA]:[DIA PEN. ]],13,0)</f>
        <v>0</v>
      </c>
      <c r="I65" s="383">
        <f>Tabla2[TOTAL METAS L-V]+Tabla2[TOTAL METAS S-D-F]</f>
        <v>1</v>
      </c>
      <c r="J65" s="385">
        <f>VLOOKUP(Tabla2[[#This Row],[CEDULA]],METAS[],17,0)</f>
        <v>0</v>
      </c>
      <c r="K65" s="386">
        <f>IFERROR((VLOOKUP(Tabla2[NIVEL Y CARGO],NUEVO[],2,0)*Tabla2[TOTAL METAS L-V])+(VLOOKUP(Tabla2[NIVEL Y CARGO],NUEVO[],3,0)*Tabla2[TOTAL METAS S-D-F]),"")+Tabla2[[#This Row],[TOTAL PEND. POR PAGAR ]]</f>
        <v>401.26</v>
      </c>
      <c r="L65" s="387" t="str">
        <f>TRIM(IFERROR(VLOOKUP(Tabla2[[#This Row],[CEDULA]],DATOS[],7,0),""))</f>
        <v>11111111111111111111</v>
      </c>
      <c r="M65" s="387" t="str">
        <f>IFERROR(VLOOKUP(Tabla2[[#This Row],[CEDULA]],DATOS[],8,0),"")</f>
        <v>C</v>
      </c>
      <c r="N65" s="388">
        <f>LEN(Tabla2[[#This Row],[N° CUENTA ]])</f>
        <v>20</v>
      </c>
    </row>
    <row r="66" spans="1:14" ht="15.75" x14ac:dyDescent="0.25">
      <c r="A66" s="383" t="str">
        <f t="shared" si="1"/>
        <v>V</v>
      </c>
      <c r="B66" s="383">
        <v>13537176</v>
      </c>
      <c r="C66" s="384" t="str">
        <f>VLOOKUP(Tabla2[[#This Row],[CEDULA]],DATOS[],2,0)</f>
        <v>SERRANO GIORGI</v>
      </c>
      <c r="D66" s="384" t="str">
        <f>VLOOKUP(Tabla2[[#This Row],[CEDULA]],METAS[[CEDULA]:[NIVEL Y CARGO]],3,0)</f>
        <v>SUPERVISORIO</v>
      </c>
      <c r="E66" s="384" t="s">
        <v>862</v>
      </c>
      <c r="F66" s="383">
        <f>IFERROR(VLOOKUP(Tabla2[[#This Row],[CEDULA]],NCH[[CEDULA]:[TOTAL GUARDIAS A PAGAR]],47,0),0)</f>
        <v>0</v>
      </c>
      <c r="G66" s="383">
        <f>IFERROR(VLOOKUP(Tabla2[[#This Row],[CEDULA]],NCH[[CEDULA]:[TOTAL GUARDIAS A PAGAR]],48,0),0)</f>
        <v>1</v>
      </c>
      <c r="H66" s="383">
        <f>VLOOKUP(Tabla2[[#This Row],[CEDULA]],METAS[[CEDULA]:[DIA PEN. ]],13,0)</f>
        <v>0</v>
      </c>
      <c r="I66" s="383">
        <f>Tabla2[TOTAL METAS L-V]+Tabla2[TOTAL METAS S-D-F]</f>
        <v>1</v>
      </c>
      <c r="J66" s="385">
        <f>VLOOKUP(Tabla2[[#This Row],[CEDULA]],METAS[],17,0)</f>
        <v>0</v>
      </c>
      <c r="K66" s="386">
        <f>IFERROR((VLOOKUP(Tabla2[NIVEL Y CARGO],NUEVO[],2,0)*Tabla2[TOTAL METAS L-V])+(VLOOKUP(Tabla2[NIVEL Y CARGO],NUEVO[],3,0)*Tabla2[TOTAL METAS S-D-F]),"")+Tabla2[[#This Row],[TOTAL PEND. POR PAGAR ]]</f>
        <v>575.62</v>
      </c>
      <c r="L66" s="387" t="str">
        <f>TRIM(IFERROR(VLOOKUP(Tabla2[[#This Row],[CEDULA]],DATOS[],7,0),""))</f>
        <v>11111111111111111111</v>
      </c>
      <c r="M66" s="387" t="str">
        <f>IFERROR(VLOOKUP(Tabla2[[#This Row],[CEDULA]],DATOS[],8,0),"")</f>
        <v>C</v>
      </c>
      <c r="N66" s="388">
        <f>LEN(Tabla2[[#This Row],[N° CUENTA ]])</f>
        <v>20</v>
      </c>
    </row>
    <row r="67" spans="1:14" ht="15.75" x14ac:dyDescent="0.25">
      <c r="A67" s="383" t="str">
        <f t="shared" si="1"/>
        <v>V</v>
      </c>
      <c r="B67" s="383">
        <v>7710715</v>
      </c>
      <c r="C67" s="384" t="str">
        <f>VLOOKUP(Tabla2[[#This Row],[CEDULA]],DATOS[],2,0)</f>
        <v>FAJARDO LUIS</v>
      </c>
      <c r="D67" s="384" t="str">
        <f>VLOOKUP(Tabla2[[#This Row],[CEDULA]],METAS[[CEDULA]:[NIVEL Y CARGO]],3,0)</f>
        <v>SUPERVISORIO</v>
      </c>
      <c r="E67" s="384" t="s">
        <v>862</v>
      </c>
      <c r="F67" s="383">
        <f>IFERROR(VLOOKUP(Tabla2[[#This Row],[CEDULA]],NCH[[CEDULA]:[TOTAL GUARDIAS A PAGAR]],47,0),0)</f>
        <v>1</v>
      </c>
      <c r="G67" s="383">
        <f>IFERROR(VLOOKUP(Tabla2[[#This Row],[CEDULA]],NCH[[CEDULA]:[TOTAL GUARDIAS A PAGAR]],48,0),0)</f>
        <v>1</v>
      </c>
      <c r="H67" s="383">
        <f>VLOOKUP(Tabla2[[#This Row],[CEDULA]],METAS[[CEDULA]:[DIA PEN. ]],13,0)</f>
        <v>0</v>
      </c>
      <c r="I67" s="383">
        <f>Tabla2[TOTAL METAS L-V]+Tabla2[TOTAL METAS S-D-F]</f>
        <v>2</v>
      </c>
      <c r="J67" s="385">
        <f>VLOOKUP(Tabla2[[#This Row],[CEDULA]],METAS[],17,0)</f>
        <v>0</v>
      </c>
      <c r="K67" s="386">
        <f>IFERROR((VLOOKUP(Tabla2[NIVEL Y CARGO],NUEVO[],2,0)*Tabla2[TOTAL METAS L-V])+(VLOOKUP(Tabla2[NIVEL Y CARGO],NUEVO[],3,0)*Tabla2[TOTAL METAS S-D-F]),"")+Tabla2[[#This Row],[TOTAL PEND. POR PAGAR ]]</f>
        <v>863.43000000000006</v>
      </c>
      <c r="L67" s="387" t="str">
        <f>TRIM(IFERROR(VLOOKUP(Tabla2[[#This Row],[CEDULA]],DATOS[],7,0),""))</f>
        <v>11111111111111111111</v>
      </c>
      <c r="M67" s="387" t="str">
        <f>IFERROR(VLOOKUP(Tabla2[[#This Row],[CEDULA]],DATOS[],8,0),"")</f>
        <v>C</v>
      </c>
      <c r="N67" s="388">
        <f>LEN(Tabla2[[#This Row],[N° CUENTA ]])</f>
        <v>20</v>
      </c>
    </row>
    <row r="68" spans="1:14" ht="15.75" x14ac:dyDescent="0.25">
      <c r="A68" s="383" t="str">
        <f t="shared" si="1"/>
        <v>V</v>
      </c>
      <c r="B68" s="383">
        <v>17587487</v>
      </c>
      <c r="C68" s="384" t="str">
        <f>VLOOKUP(Tabla2[[#This Row],[CEDULA]],DATOS[],2,0)</f>
        <v>CARDOZA JORGE</v>
      </c>
      <c r="D68" s="384" t="str">
        <f>VLOOKUP(Tabla2[[#This Row],[CEDULA]],METAS[[CEDULA]:[NIVEL Y CARGO]],3,0)</f>
        <v>OBRERO</v>
      </c>
      <c r="E68" s="384" t="s">
        <v>862</v>
      </c>
      <c r="F68" s="383">
        <f>IFERROR(VLOOKUP(Tabla2[[#This Row],[CEDULA]],NCH[[CEDULA]:[TOTAL GUARDIAS A PAGAR]],47,0),0)</f>
        <v>1</v>
      </c>
      <c r="G68" s="383">
        <f>IFERROR(VLOOKUP(Tabla2[[#This Row],[CEDULA]],NCH[[CEDULA]:[TOTAL GUARDIAS A PAGAR]],48,0),0)</f>
        <v>0</v>
      </c>
      <c r="H68" s="383">
        <f>VLOOKUP(Tabla2[[#This Row],[CEDULA]],METAS[[CEDULA]:[DIA PEN. ]],13,0)</f>
        <v>0</v>
      </c>
      <c r="I68" s="383">
        <f>Tabla2[TOTAL METAS L-V]+Tabla2[TOTAL METAS S-D-F]</f>
        <v>1</v>
      </c>
      <c r="J68" s="385">
        <f>VLOOKUP(Tabla2[[#This Row],[CEDULA]],METAS[],17,0)</f>
        <v>0</v>
      </c>
      <c r="K68" s="386">
        <f>IFERROR((VLOOKUP(Tabla2[NIVEL Y CARGO],NUEVO[],2,0)*Tabla2[TOTAL METAS L-V])+(VLOOKUP(Tabla2[NIVEL Y CARGO],NUEVO[],3,0)*Tabla2[TOTAL METAS S-D-F]),"")+Tabla2[[#This Row],[TOTAL PEND. POR PAGAR ]]</f>
        <v>200.63</v>
      </c>
      <c r="L68" s="387" t="str">
        <f>TRIM(IFERROR(VLOOKUP(Tabla2[[#This Row],[CEDULA]],DATOS[],7,0),""))</f>
        <v>11111111111111111111</v>
      </c>
      <c r="M68" s="387" t="str">
        <f>IFERROR(VLOOKUP(Tabla2[[#This Row],[CEDULA]],DATOS[],8,0),"")</f>
        <v>C</v>
      </c>
      <c r="N68" s="388">
        <f>LEN(Tabla2[[#This Row],[N° CUENTA ]])</f>
        <v>20</v>
      </c>
    </row>
    <row r="69" spans="1:14" ht="15.75" x14ac:dyDescent="0.25">
      <c r="A69" s="383" t="str">
        <f t="shared" si="1"/>
        <v>V</v>
      </c>
      <c r="B69" s="383">
        <v>6276576</v>
      </c>
      <c r="C69" s="384" t="str">
        <f>VLOOKUP(Tabla2[[#This Row],[CEDULA]],DATOS[],2,0)</f>
        <v>GUERRERO FRANKLIN</v>
      </c>
      <c r="D69" s="384" t="str">
        <f>VLOOKUP(Tabla2[[#This Row],[CEDULA]],METAS[[CEDULA]:[NIVEL Y CARGO]],3,0)</f>
        <v>OBRERO</v>
      </c>
      <c r="E69" s="384" t="s">
        <v>862</v>
      </c>
      <c r="F69" s="383">
        <f>IFERROR(VLOOKUP(Tabla2[[#This Row],[CEDULA]],NCH[[CEDULA]:[TOTAL GUARDIAS A PAGAR]],47,0),0)</f>
        <v>0</v>
      </c>
      <c r="G69" s="383">
        <f>IFERROR(VLOOKUP(Tabla2[[#This Row],[CEDULA]],NCH[[CEDULA]:[TOTAL GUARDIAS A PAGAR]],48,0),0)</f>
        <v>1</v>
      </c>
      <c r="H69" s="383">
        <f>VLOOKUP(Tabla2[[#This Row],[CEDULA]],METAS[[CEDULA]:[DIA PEN. ]],13,0)</f>
        <v>0</v>
      </c>
      <c r="I69" s="383">
        <f>Tabla2[TOTAL METAS L-V]+Tabla2[TOTAL METAS S-D-F]</f>
        <v>1</v>
      </c>
      <c r="J69" s="385">
        <f>VLOOKUP(Tabla2[[#This Row],[CEDULA]],METAS[],17,0)</f>
        <v>0</v>
      </c>
      <c r="K69" s="386">
        <f>IFERROR((VLOOKUP(Tabla2[NIVEL Y CARGO],NUEVO[],2,0)*Tabla2[TOTAL METAS L-V])+(VLOOKUP(Tabla2[NIVEL Y CARGO],NUEVO[],3,0)*Tabla2[TOTAL METAS S-D-F]),"")+Tabla2[[#This Row],[TOTAL PEND. POR PAGAR ]]</f>
        <v>401.26</v>
      </c>
      <c r="L69" s="387" t="str">
        <f>TRIM(IFERROR(VLOOKUP(Tabla2[[#This Row],[CEDULA]],DATOS[],7,0),""))</f>
        <v>11111111111111111111</v>
      </c>
      <c r="M69" s="387" t="str">
        <f>IFERROR(VLOOKUP(Tabla2[[#This Row],[CEDULA]],DATOS[],8,0),"")</f>
        <v>C</v>
      </c>
      <c r="N69" s="388">
        <f>LEN(Tabla2[[#This Row],[N° CUENTA ]])</f>
        <v>20</v>
      </c>
    </row>
    <row r="70" spans="1:14" ht="15.75" x14ac:dyDescent="0.25">
      <c r="A70" s="383" t="str">
        <f t="shared" si="1"/>
        <v>V</v>
      </c>
      <c r="B70" s="383">
        <v>6290210</v>
      </c>
      <c r="C70" s="384" t="str">
        <f>VLOOKUP(Tabla2[[#This Row],[CEDULA]],DATOS[],2,0)</f>
        <v>MORENO JULIO</v>
      </c>
      <c r="D70" s="384" t="str">
        <f>VLOOKUP(Tabla2[[#This Row],[CEDULA]],METAS[[CEDULA]:[NIVEL Y CARGO]],3,0)</f>
        <v>SUPERVISORIO</v>
      </c>
      <c r="E70" s="384" t="s">
        <v>862</v>
      </c>
      <c r="F70" s="383">
        <f>IFERROR(VLOOKUP(Tabla2[[#This Row],[CEDULA]],NCH[[CEDULA]:[TOTAL GUARDIAS A PAGAR]],47,0),0)</f>
        <v>2</v>
      </c>
      <c r="G70" s="383">
        <f>IFERROR(VLOOKUP(Tabla2[[#This Row],[CEDULA]],NCH[[CEDULA]:[TOTAL GUARDIAS A PAGAR]],48,0),0)</f>
        <v>1</v>
      </c>
      <c r="H70" s="383">
        <f>VLOOKUP(Tabla2[[#This Row],[CEDULA]],METAS[[CEDULA]:[DIA PEN. ]],13,0)</f>
        <v>0</v>
      </c>
      <c r="I70" s="383">
        <f>Tabla2[TOTAL METAS L-V]+Tabla2[TOTAL METAS S-D-F]</f>
        <v>3</v>
      </c>
      <c r="J70" s="385">
        <f>VLOOKUP(Tabla2[[#This Row],[CEDULA]],METAS[],17,0)</f>
        <v>0</v>
      </c>
      <c r="K70" s="386">
        <f>IFERROR((VLOOKUP(Tabla2[NIVEL Y CARGO],NUEVO[],2,0)*Tabla2[TOTAL METAS L-V])+(VLOOKUP(Tabla2[NIVEL Y CARGO],NUEVO[],3,0)*Tabla2[TOTAL METAS S-D-F]),"")+Tabla2[[#This Row],[TOTAL PEND. POR PAGAR ]]</f>
        <v>1151.24</v>
      </c>
      <c r="L70" s="387" t="str">
        <f>TRIM(IFERROR(VLOOKUP(Tabla2[[#This Row],[CEDULA]],DATOS[],7,0),""))</f>
        <v>11111111111111111111</v>
      </c>
      <c r="M70" s="387" t="str">
        <f>IFERROR(VLOOKUP(Tabla2[[#This Row],[CEDULA]],DATOS[],8,0),"")</f>
        <v>C</v>
      </c>
      <c r="N70" s="388">
        <f>LEN(Tabla2[[#This Row],[N° CUENTA ]])</f>
        <v>20</v>
      </c>
    </row>
    <row r="71" spans="1:14" ht="15.75" x14ac:dyDescent="0.25">
      <c r="A71" s="383" t="str">
        <f t="shared" si="1"/>
        <v>V</v>
      </c>
      <c r="B71" s="383">
        <v>13786283</v>
      </c>
      <c r="C71" s="384" t="str">
        <f>VLOOKUP(Tabla2[[#This Row],[CEDULA]],DATOS[],2,0)</f>
        <v>CARUCI WILMER</v>
      </c>
      <c r="D71" s="384" t="str">
        <f>VLOOKUP(Tabla2[[#This Row],[CEDULA]],METAS[[CEDULA]:[NIVEL Y CARGO]],3,0)</f>
        <v>SUPERVISORIO</v>
      </c>
      <c r="E71" s="384" t="s">
        <v>862</v>
      </c>
      <c r="F71" s="383">
        <f>IFERROR(VLOOKUP(Tabla2[[#This Row],[CEDULA]],NCH[[CEDULA]:[TOTAL GUARDIAS A PAGAR]],47,0),0)</f>
        <v>2</v>
      </c>
      <c r="G71" s="383">
        <f>IFERROR(VLOOKUP(Tabla2[[#This Row],[CEDULA]],NCH[[CEDULA]:[TOTAL GUARDIAS A PAGAR]],48,0),0)</f>
        <v>2</v>
      </c>
      <c r="H71" s="383">
        <f>VLOOKUP(Tabla2[[#This Row],[CEDULA]],METAS[[CEDULA]:[DIA PEN. ]],13,0)</f>
        <v>0</v>
      </c>
      <c r="I71" s="383">
        <f>Tabla2[TOTAL METAS L-V]+Tabla2[TOTAL METAS S-D-F]</f>
        <v>4</v>
      </c>
      <c r="J71" s="385">
        <f>VLOOKUP(Tabla2[[#This Row],[CEDULA]],METAS[],17,0)</f>
        <v>0</v>
      </c>
      <c r="K71" s="386">
        <f>IFERROR((VLOOKUP(Tabla2[NIVEL Y CARGO],NUEVO[],2,0)*Tabla2[TOTAL METAS L-V])+(VLOOKUP(Tabla2[NIVEL Y CARGO],NUEVO[],3,0)*Tabla2[TOTAL METAS S-D-F]),"")+Tabla2[[#This Row],[TOTAL PEND. POR PAGAR ]]</f>
        <v>1726.8600000000001</v>
      </c>
      <c r="L71" s="387" t="str">
        <f>TRIM(IFERROR(VLOOKUP(Tabla2[[#This Row],[CEDULA]],DATOS[],7,0),""))</f>
        <v>11111111111111111111</v>
      </c>
      <c r="M71" s="387" t="str">
        <f>IFERROR(VLOOKUP(Tabla2[[#This Row],[CEDULA]],DATOS[],8,0),"")</f>
        <v>C</v>
      </c>
      <c r="N71" s="388">
        <f>LEN(Tabla2[[#This Row],[N° CUENTA ]])</f>
        <v>20</v>
      </c>
    </row>
    <row r="72" spans="1:14" ht="15.75" x14ac:dyDescent="0.25">
      <c r="A72" s="383" t="str">
        <f t="shared" si="1"/>
        <v>V</v>
      </c>
      <c r="B72" s="383">
        <v>7092124</v>
      </c>
      <c r="C72" s="384" t="str">
        <f>VLOOKUP(Tabla2[[#This Row],[CEDULA]],DATOS[],2,0)</f>
        <v>OROPEZA EUCLIDES</v>
      </c>
      <c r="D72" s="384" t="str">
        <f>VLOOKUP(Tabla2[[#This Row],[CEDULA]],METAS[[CEDULA]:[NIVEL Y CARGO]],3,0)</f>
        <v>SUPERVISORIO</v>
      </c>
      <c r="E72" s="384" t="s">
        <v>862</v>
      </c>
      <c r="F72" s="383">
        <f>IFERROR(VLOOKUP(Tabla2[[#This Row],[CEDULA]],NCH[[CEDULA]:[TOTAL GUARDIAS A PAGAR]],47,0),0)</f>
        <v>3</v>
      </c>
      <c r="G72" s="383">
        <f>IFERROR(VLOOKUP(Tabla2[[#This Row],[CEDULA]],NCH[[CEDULA]:[TOTAL GUARDIAS A PAGAR]],48,0),0)</f>
        <v>1</v>
      </c>
      <c r="H72" s="383">
        <f>VLOOKUP(Tabla2[[#This Row],[CEDULA]],METAS[[CEDULA]:[DIA PEN. ]],13,0)</f>
        <v>0</v>
      </c>
      <c r="I72" s="383">
        <f>Tabla2[TOTAL METAS L-V]+Tabla2[TOTAL METAS S-D-F]</f>
        <v>4</v>
      </c>
      <c r="J72" s="385">
        <f>VLOOKUP(Tabla2[[#This Row],[CEDULA]],METAS[],17,0)</f>
        <v>0</v>
      </c>
      <c r="K72" s="386">
        <f>IFERROR((VLOOKUP(Tabla2[NIVEL Y CARGO],NUEVO[],2,0)*Tabla2[TOTAL METAS L-V])+(VLOOKUP(Tabla2[NIVEL Y CARGO],NUEVO[],3,0)*Tabla2[TOTAL METAS S-D-F]),"")+Tabla2[[#This Row],[TOTAL PEND. POR PAGAR ]]</f>
        <v>1439.0500000000002</v>
      </c>
      <c r="L72" s="387" t="str">
        <f>TRIM(IFERROR(VLOOKUP(Tabla2[[#This Row],[CEDULA]],DATOS[],7,0),""))</f>
        <v>11111111111111111111</v>
      </c>
      <c r="M72" s="387" t="str">
        <f>IFERROR(VLOOKUP(Tabla2[[#This Row],[CEDULA]],DATOS[],8,0),"")</f>
        <v>C</v>
      </c>
      <c r="N72" s="388">
        <f>LEN(Tabla2[[#This Row],[N° CUENTA ]])</f>
        <v>20</v>
      </c>
    </row>
    <row r="73" spans="1:14" ht="15.75" x14ac:dyDescent="0.25">
      <c r="A73" s="383" t="str">
        <f t="shared" si="1"/>
        <v>V</v>
      </c>
      <c r="B73" s="383">
        <v>6857823</v>
      </c>
      <c r="C73" s="384" t="str">
        <f>VLOOKUP(Tabla2[[#This Row],[CEDULA]],DATOS[],2,0)</f>
        <v>GODOY RAFAEL</v>
      </c>
      <c r="D73" s="384" t="str">
        <f>VLOOKUP(Tabla2[[#This Row],[CEDULA]],METAS[[CEDULA]:[NIVEL Y CARGO]],3,0)</f>
        <v>SUPERVISORIO</v>
      </c>
      <c r="E73" s="384" t="s">
        <v>862</v>
      </c>
      <c r="F73" s="383">
        <f>IFERROR(VLOOKUP(Tabla2[[#This Row],[CEDULA]],NCH[[CEDULA]:[TOTAL GUARDIAS A PAGAR]],47,0),0)</f>
        <v>2</v>
      </c>
      <c r="G73" s="383">
        <f>IFERROR(VLOOKUP(Tabla2[[#This Row],[CEDULA]],NCH[[CEDULA]:[TOTAL GUARDIAS A PAGAR]],48,0),0)</f>
        <v>0</v>
      </c>
      <c r="H73" s="383">
        <f>VLOOKUP(Tabla2[[#This Row],[CEDULA]],METAS[[CEDULA]:[DIA PEN. ]],13,0)</f>
        <v>0</v>
      </c>
      <c r="I73" s="383">
        <f>Tabla2[TOTAL METAS L-V]+Tabla2[TOTAL METAS S-D-F]</f>
        <v>2</v>
      </c>
      <c r="J73" s="385">
        <f>VLOOKUP(Tabla2[[#This Row],[CEDULA]],METAS[],17,0)</f>
        <v>0</v>
      </c>
      <c r="K73" s="386">
        <f>IFERROR((VLOOKUP(Tabla2[NIVEL Y CARGO],NUEVO[],2,0)*Tabla2[TOTAL METAS L-V])+(VLOOKUP(Tabla2[NIVEL Y CARGO],NUEVO[],3,0)*Tabla2[TOTAL METAS S-D-F]),"")+Tabla2[[#This Row],[TOTAL PEND. POR PAGAR ]]</f>
        <v>575.62</v>
      </c>
      <c r="L73" s="387" t="str">
        <f>TRIM(IFERROR(VLOOKUP(Tabla2[[#This Row],[CEDULA]],DATOS[],7,0),""))</f>
        <v>11111111111111111111</v>
      </c>
      <c r="M73" s="387" t="str">
        <f>IFERROR(VLOOKUP(Tabla2[[#This Row],[CEDULA]],DATOS[],8,0),"")</f>
        <v>C</v>
      </c>
      <c r="N73" s="388">
        <f>LEN(Tabla2[[#This Row],[N° CUENTA ]])</f>
        <v>20</v>
      </c>
    </row>
    <row r="74" spans="1:14" ht="15.75" x14ac:dyDescent="0.25">
      <c r="A74" s="383" t="str">
        <f t="shared" si="1"/>
        <v>V</v>
      </c>
      <c r="B74" s="383">
        <v>8643689</v>
      </c>
      <c r="C74" s="384" t="str">
        <f>VLOOKUP(Tabla2[[#This Row],[CEDULA]],DATOS[],2,0)</f>
        <v>BASTARDO COSME</v>
      </c>
      <c r="D74" s="384" t="str">
        <f>VLOOKUP(Tabla2[[#This Row],[CEDULA]],METAS[[CEDULA]:[NIVEL Y CARGO]],3,0)</f>
        <v>OBRERO</v>
      </c>
      <c r="E74" s="384" t="s">
        <v>862</v>
      </c>
      <c r="F74" s="383">
        <f>IFERROR(VLOOKUP(Tabla2[[#This Row],[CEDULA]],NCH[[CEDULA]:[TOTAL GUARDIAS A PAGAR]],47,0),0)</f>
        <v>1</v>
      </c>
      <c r="G74" s="383">
        <f>IFERROR(VLOOKUP(Tabla2[[#This Row],[CEDULA]],NCH[[CEDULA]:[TOTAL GUARDIAS A PAGAR]],48,0),0)</f>
        <v>1</v>
      </c>
      <c r="H74" s="383">
        <f>VLOOKUP(Tabla2[[#This Row],[CEDULA]],METAS[[CEDULA]:[DIA PEN. ]],13,0)</f>
        <v>0</v>
      </c>
      <c r="I74" s="383">
        <f>Tabla2[TOTAL METAS L-V]+Tabla2[TOTAL METAS S-D-F]</f>
        <v>2</v>
      </c>
      <c r="J74" s="385">
        <f>VLOOKUP(Tabla2[[#This Row],[CEDULA]],METAS[],17,0)</f>
        <v>0</v>
      </c>
      <c r="K74" s="386">
        <f>IFERROR((VLOOKUP(Tabla2[NIVEL Y CARGO],NUEVO[],2,0)*Tabla2[TOTAL METAS L-V])+(VLOOKUP(Tabla2[NIVEL Y CARGO],NUEVO[],3,0)*Tabla2[TOTAL METAS S-D-F]),"")+Tabla2[[#This Row],[TOTAL PEND. POR PAGAR ]]</f>
        <v>601.89</v>
      </c>
      <c r="L74" s="387" t="str">
        <f>TRIM(IFERROR(VLOOKUP(Tabla2[[#This Row],[CEDULA]],DATOS[],7,0),""))</f>
        <v>11111111111111111111</v>
      </c>
      <c r="M74" s="387" t="str">
        <f>IFERROR(VLOOKUP(Tabla2[[#This Row],[CEDULA]],DATOS[],8,0),"")</f>
        <v>C</v>
      </c>
      <c r="N74" s="388">
        <f>LEN(Tabla2[[#This Row],[N° CUENTA ]])</f>
        <v>20</v>
      </c>
    </row>
    <row r="75" spans="1:14" ht="15.75" x14ac:dyDescent="0.25">
      <c r="A75" s="383" t="str">
        <f t="shared" si="1"/>
        <v>V</v>
      </c>
      <c r="B75" s="383">
        <v>6826775</v>
      </c>
      <c r="C75" s="384" t="str">
        <f>VLOOKUP(Tabla2[[#This Row],[CEDULA]],DATOS[],2,0)</f>
        <v>GONZALEZ CARLOS</v>
      </c>
      <c r="D75" s="384" t="str">
        <f>VLOOKUP(Tabla2[[#This Row],[CEDULA]],METAS[[CEDULA]:[NIVEL Y CARGO]],3,0)</f>
        <v>OBRERO</v>
      </c>
      <c r="E75" s="384" t="s">
        <v>862</v>
      </c>
      <c r="F75" s="383">
        <f>IFERROR(VLOOKUP(Tabla2[[#This Row],[CEDULA]],NCH[[CEDULA]:[TOTAL GUARDIAS A PAGAR]],47,0),0)</f>
        <v>1</v>
      </c>
      <c r="G75" s="383">
        <f>IFERROR(VLOOKUP(Tabla2[[#This Row],[CEDULA]],NCH[[CEDULA]:[TOTAL GUARDIAS A PAGAR]],48,0),0)</f>
        <v>1</v>
      </c>
      <c r="H75" s="383">
        <f>VLOOKUP(Tabla2[[#This Row],[CEDULA]],METAS[[CEDULA]:[DIA PEN. ]],13,0)</f>
        <v>0</v>
      </c>
      <c r="I75" s="383">
        <f>Tabla2[TOTAL METAS L-V]+Tabla2[TOTAL METAS S-D-F]</f>
        <v>2</v>
      </c>
      <c r="J75" s="385">
        <f>VLOOKUP(Tabla2[[#This Row],[CEDULA]],METAS[],17,0)</f>
        <v>0</v>
      </c>
      <c r="K75" s="386">
        <f>IFERROR((VLOOKUP(Tabla2[NIVEL Y CARGO],NUEVO[],2,0)*Tabla2[TOTAL METAS L-V])+(VLOOKUP(Tabla2[NIVEL Y CARGO],NUEVO[],3,0)*Tabla2[TOTAL METAS S-D-F]),"")+Tabla2[[#This Row],[TOTAL PEND. POR PAGAR ]]</f>
        <v>601.89</v>
      </c>
      <c r="L75" s="387" t="str">
        <f>TRIM(IFERROR(VLOOKUP(Tabla2[[#This Row],[CEDULA]],DATOS[],7,0),""))</f>
        <v>11111111111111111111</v>
      </c>
      <c r="M75" s="387" t="str">
        <f>IFERROR(VLOOKUP(Tabla2[[#This Row],[CEDULA]],DATOS[],8,0),"")</f>
        <v>C</v>
      </c>
      <c r="N75" s="388">
        <f>LEN(Tabla2[[#This Row],[N° CUENTA ]])</f>
        <v>20</v>
      </c>
    </row>
    <row r="76" spans="1:14" ht="15.75" x14ac:dyDescent="0.25">
      <c r="A76" s="383" t="str">
        <f t="shared" si="1"/>
        <v>V</v>
      </c>
      <c r="B76" s="383">
        <v>15574216</v>
      </c>
      <c r="C76" s="384" t="str">
        <f>VLOOKUP(Tabla2[[#This Row],[CEDULA]],DATOS[],2,0)</f>
        <v>TERAN LUIS</v>
      </c>
      <c r="D76" s="384" t="str">
        <f>VLOOKUP(Tabla2[[#This Row],[CEDULA]],METAS[[CEDULA]:[NIVEL Y CARGO]],3,0)</f>
        <v>OBRERO</v>
      </c>
      <c r="E76" s="384" t="s">
        <v>862</v>
      </c>
      <c r="F76" s="383">
        <f>IFERROR(VLOOKUP(Tabla2[[#This Row],[CEDULA]],NCH[[CEDULA]:[TOTAL GUARDIAS A PAGAR]],47,0),0)</f>
        <v>1</v>
      </c>
      <c r="G76" s="383">
        <f>IFERROR(VLOOKUP(Tabla2[[#This Row],[CEDULA]],NCH[[CEDULA]:[TOTAL GUARDIAS A PAGAR]],48,0),0)</f>
        <v>1</v>
      </c>
      <c r="H76" s="383">
        <f>VLOOKUP(Tabla2[[#This Row],[CEDULA]],METAS[[CEDULA]:[DIA PEN. ]],13,0)</f>
        <v>0</v>
      </c>
      <c r="I76" s="383">
        <f>Tabla2[TOTAL METAS L-V]+Tabla2[TOTAL METAS S-D-F]</f>
        <v>2</v>
      </c>
      <c r="J76" s="385">
        <f>VLOOKUP(Tabla2[[#This Row],[CEDULA]],METAS[],17,0)</f>
        <v>0</v>
      </c>
      <c r="K76" s="386">
        <f>IFERROR((VLOOKUP(Tabla2[NIVEL Y CARGO],NUEVO[],2,0)*Tabla2[TOTAL METAS L-V])+(VLOOKUP(Tabla2[NIVEL Y CARGO],NUEVO[],3,0)*Tabla2[TOTAL METAS S-D-F]),"")+Tabla2[[#This Row],[TOTAL PEND. POR PAGAR ]]</f>
        <v>601.89</v>
      </c>
      <c r="L76" s="387" t="str">
        <f>TRIM(IFERROR(VLOOKUP(Tabla2[[#This Row],[CEDULA]],DATOS[],7,0),""))</f>
        <v>11111111111111111111</v>
      </c>
      <c r="M76" s="387" t="str">
        <f>IFERROR(VLOOKUP(Tabla2[[#This Row],[CEDULA]],DATOS[],8,0),"")</f>
        <v>C</v>
      </c>
      <c r="N76" s="388">
        <f>LEN(Tabla2[[#This Row],[N° CUENTA ]])</f>
        <v>20</v>
      </c>
    </row>
    <row r="77" spans="1:14" ht="15.75" x14ac:dyDescent="0.25">
      <c r="A77" s="383" t="str">
        <f t="shared" si="1"/>
        <v>V</v>
      </c>
      <c r="B77" s="383">
        <v>6852779</v>
      </c>
      <c r="C77" s="384" t="str">
        <f>VLOOKUP(Tabla2[[#This Row],[CEDULA]],DATOS[],2,0)</f>
        <v>HERNANDEZ CARLOS</v>
      </c>
      <c r="D77" s="384" t="str">
        <f>VLOOKUP(Tabla2[[#This Row],[CEDULA]],METAS[[CEDULA]:[NIVEL Y CARGO]],3,0)</f>
        <v>SUPERVISORIO</v>
      </c>
      <c r="E77" s="384" t="s">
        <v>862</v>
      </c>
      <c r="F77" s="383">
        <f>IFERROR(VLOOKUP(Tabla2[[#This Row],[CEDULA]],NCH[[CEDULA]:[TOTAL GUARDIAS A PAGAR]],47,0),0)</f>
        <v>0</v>
      </c>
      <c r="G77" s="383">
        <f>IFERROR(VLOOKUP(Tabla2[[#This Row],[CEDULA]],NCH[[CEDULA]:[TOTAL GUARDIAS A PAGAR]],48,0),0)</f>
        <v>1</v>
      </c>
      <c r="H77" s="383">
        <f>VLOOKUP(Tabla2[[#This Row],[CEDULA]],METAS[[CEDULA]:[DIA PEN. ]],13,0)</f>
        <v>0</v>
      </c>
      <c r="I77" s="383">
        <f>Tabla2[TOTAL METAS L-V]+Tabla2[TOTAL METAS S-D-F]</f>
        <v>1</v>
      </c>
      <c r="J77" s="385">
        <f>VLOOKUP(Tabla2[[#This Row],[CEDULA]],METAS[],17,0)</f>
        <v>0</v>
      </c>
      <c r="K77" s="386">
        <f>IFERROR((VLOOKUP(Tabla2[NIVEL Y CARGO],NUEVO[],2,0)*Tabla2[TOTAL METAS L-V])+(VLOOKUP(Tabla2[NIVEL Y CARGO],NUEVO[],3,0)*Tabla2[TOTAL METAS S-D-F]),"")+Tabla2[[#This Row],[TOTAL PEND. POR PAGAR ]]</f>
        <v>575.62</v>
      </c>
      <c r="L77" s="387" t="str">
        <f>TRIM(IFERROR(VLOOKUP(Tabla2[[#This Row],[CEDULA]],DATOS[],7,0),""))</f>
        <v>11111111111111111111</v>
      </c>
      <c r="M77" s="387" t="str">
        <f>IFERROR(VLOOKUP(Tabla2[[#This Row],[CEDULA]],DATOS[],8,0),"")</f>
        <v>C</v>
      </c>
      <c r="N77" s="388">
        <f>LEN(Tabla2[[#This Row],[N° CUENTA ]])</f>
        <v>20</v>
      </c>
    </row>
    <row r="78" spans="1:14" ht="15.75" x14ac:dyDescent="0.25">
      <c r="A78" s="383" t="str">
        <f t="shared" si="1"/>
        <v>V</v>
      </c>
      <c r="B78" s="383">
        <v>6853103</v>
      </c>
      <c r="C78" s="384" t="str">
        <f>VLOOKUP(Tabla2[[#This Row],[CEDULA]],DATOS[],2,0)</f>
        <v>PEREIRA RAMON</v>
      </c>
      <c r="D78" s="384" t="str">
        <f>VLOOKUP(Tabla2[[#This Row],[CEDULA]],METAS[[CEDULA]:[NIVEL Y CARGO]],3,0)</f>
        <v>OBRERO</v>
      </c>
      <c r="E78" s="384" t="s">
        <v>862</v>
      </c>
      <c r="F78" s="383">
        <f>IFERROR(VLOOKUP(Tabla2[[#This Row],[CEDULA]],NCH[[CEDULA]:[TOTAL GUARDIAS A PAGAR]],47,0),0)</f>
        <v>3</v>
      </c>
      <c r="G78" s="383">
        <f>IFERROR(VLOOKUP(Tabla2[[#This Row],[CEDULA]],NCH[[CEDULA]:[TOTAL GUARDIAS A PAGAR]],48,0),0)</f>
        <v>1</v>
      </c>
      <c r="H78" s="383">
        <f>VLOOKUP(Tabla2[[#This Row],[CEDULA]],METAS[[CEDULA]:[DIA PEN. ]],13,0)</f>
        <v>0</v>
      </c>
      <c r="I78" s="383">
        <f>Tabla2[TOTAL METAS L-V]+Tabla2[TOTAL METAS S-D-F]</f>
        <v>4</v>
      </c>
      <c r="J78" s="385">
        <f>VLOOKUP(Tabla2[[#This Row],[CEDULA]],METAS[],17,0)</f>
        <v>0</v>
      </c>
      <c r="K78" s="386">
        <f>IFERROR((VLOOKUP(Tabla2[NIVEL Y CARGO],NUEVO[],2,0)*Tabla2[TOTAL METAS L-V])+(VLOOKUP(Tabla2[NIVEL Y CARGO],NUEVO[],3,0)*Tabla2[TOTAL METAS S-D-F]),"")+Tabla2[[#This Row],[TOTAL PEND. POR PAGAR ]]</f>
        <v>1003.15</v>
      </c>
      <c r="L78" s="387" t="str">
        <f>TRIM(IFERROR(VLOOKUP(Tabla2[[#This Row],[CEDULA]],DATOS[],7,0),""))</f>
        <v>11111111111111111111</v>
      </c>
      <c r="M78" s="387" t="str">
        <f>IFERROR(VLOOKUP(Tabla2[[#This Row],[CEDULA]],DATOS[],8,0),"")</f>
        <v>C</v>
      </c>
      <c r="N78" s="388">
        <f>LEN(Tabla2[[#This Row],[N° CUENTA ]])</f>
        <v>20</v>
      </c>
    </row>
    <row r="79" spans="1:14" ht="15.75" x14ac:dyDescent="0.25">
      <c r="A79" s="383" t="str">
        <f t="shared" si="1"/>
        <v>V</v>
      </c>
      <c r="B79" s="383">
        <v>17166976</v>
      </c>
      <c r="C79" s="384" t="str">
        <f>VLOOKUP(Tabla2[[#This Row],[CEDULA]],DATOS[],2,0)</f>
        <v>VEGAS GABRIEL</v>
      </c>
      <c r="D79" s="384" t="str">
        <f>VLOOKUP(Tabla2[[#This Row],[CEDULA]],METAS[[CEDULA]:[NIVEL Y CARGO]],3,0)</f>
        <v>SUPERVISORIO</v>
      </c>
      <c r="E79" s="384" t="s">
        <v>864</v>
      </c>
      <c r="F79" s="383">
        <f>IFERROR(VLOOKUP(Tabla2[[#This Row],[CEDULA]],NCH[[CEDULA]:[TOTAL GUARDIAS A PAGAR]],47,0),0)</f>
        <v>0</v>
      </c>
      <c r="G79" s="383">
        <f>IFERROR(VLOOKUP(Tabla2[[#This Row],[CEDULA]],NCH[[CEDULA]:[TOTAL GUARDIAS A PAGAR]],48,0),0)</f>
        <v>2</v>
      </c>
      <c r="H79" s="383">
        <f>VLOOKUP(Tabla2[[#This Row],[CEDULA]],METAS[[CEDULA]:[DIA PEN. ]],13,0)</f>
        <v>0</v>
      </c>
      <c r="I79" s="383">
        <f>Tabla2[TOTAL METAS L-V]+Tabla2[TOTAL METAS S-D-F]</f>
        <v>2</v>
      </c>
      <c r="J79" s="385">
        <f>VLOOKUP(Tabla2[[#This Row],[CEDULA]],METAS[],17,0)</f>
        <v>0</v>
      </c>
      <c r="K79" s="386">
        <f>IFERROR((VLOOKUP(Tabla2[NIVEL Y CARGO],NUEVO[],2,0)*Tabla2[TOTAL METAS L-V])+(VLOOKUP(Tabla2[NIVEL Y CARGO],NUEVO[],3,0)*Tabla2[TOTAL METAS S-D-F]),"")+Tabla2[[#This Row],[TOTAL PEND. POR PAGAR ]]</f>
        <v>1151.24</v>
      </c>
      <c r="L79" s="387" t="str">
        <f>TRIM(IFERROR(VLOOKUP(Tabla2[[#This Row],[CEDULA]],DATOS[],7,0),""))</f>
        <v>11111111111111111111</v>
      </c>
      <c r="M79" s="387" t="str">
        <f>IFERROR(VLOOKUP(Tabla2[[#This Row],[CEDULA]],DATOS[],8,0),"")</f>
        <v>C</v>
      </c>
      <c r="N79" s="388">
        <f>LEN(Tabla2[[#This Row],[N° CUENTA ]])</f>
        <v>20</v>
      </c>
    </row>
    <row r="80" spans="1:14" ht="15.75" x14ac:dyDescent="0.25">
      <c r="A80" s="383" t="str">
        <f t="shared" si="1"/>
        <v>V</v>
      </c>
      <c r="B80" s="383">
        <v>21345770</v>
      </c>
      <c r="C80" s="384" t="str">
        <f>VLOOKUP(Tabla2[[#This Row],[CEDULA]],DATOS[],2,0)</f>
        <v>RIVAS ANGEL</v>
      </c>
      <c r="D80" s="384" t="str">
        <f>VLOOKUP(Tabla2[[#This Row],[CEDULA]],METAS[[CEDULA]:[NIVEL Y CARGO]],3,0)</f>
        <v>TECNICO</v>
      </c>
      <c r="E80" s="384" t="s">
        <v>864</v>
      </c>
      <c r="F80" s="383">
        <f>IFERROR(VLOOKUP(Tabla2[[#This Row],[CEDULA]],NCH[[CEDULA]:[TOTAL GUARDIAS A PAGAR]],47,0),0)</f>
        <v>0</v>
      </c>
      <c r="G80" s="383">
        <f>IFERROR(VLOOKUP(Tabla2[[#This Row],[CEDULA]],NCH[[CEDULA]:[TOTAL GUARDIAS A PAGAR]],48,0),0)</f>
        <v>1</v>
      </c>
      <c r="H80" s="383">
        <f>VLOOKUP(Tabla2[[#This Row],[CEDULA]],METAS[[CEDULA]:[DIA PEN. ]],13,0)</f>
        <v>0</v>
      </c>
      <c r="I80" s="383">
        <f>Tabla2[TOTAL METAS L-V]+Tabla2[TOTAL METAS S-D-F]</f>
        <v>1</v>
      </c>
      <c r="J80" s="385">
        <f>VLOOKUP(Tabla2[[#This Row],[CEDULA]],METAS[],17,0)</f>
        <v>0</v>
      </c>
      <c r="K80" s="386">
        <f>IFERROR((VLOOKUP(Tabla2[NIVEL Y CARGO],NUEVO[],2,0)*Tabla2[TOTAL METAS L-V])+(VLOOKUP(Tabla2[NIVEL Y CARGO],NUEVO[],3,0)*Tabla2[TOTAL METAS S-D-F]),"")+Tabla2[[#This Row],[TOTAL PEND. POR PAGAR ]]</f>
        <v>459.38</v>
      </c>
      <c r="L80" s="387" t="str">
        <f>TRIM(IFERROR(VLOOKUP(Tabla2[[#This Row],[CEDULA]],DATOS[],7,0),""))</f>
        <v>11111111111111111111</v>
      </c>
      <c r="M80" s="387" t="str">
        <f>IFERROR(VLOOKUP(Tabla2[[#This Row],[CEDULA]],DATOS[],8,0),"")</f>
        <v>C</v>
      </c>
      <c r="N80" s="388">
        <f>LEN(Tabla2[[#This Row],[N° CUENTA ]])</f>
        <v>20</v>
      </c>
    </row>
    <row r="81" spans="1:14" ht="15.75" x14ac:dyDescent="0.25">
      <c r="A81" s="383" t="str">
        <f t="shared" si="1"/>
        <v>V</v>
      </c>
      <c r="B81" s="383">
        <v>12410293</v>
      </c>
      <c r="C81" s="384" t="str">
        <f>VLOOKUP(Tabla2[[#This Row],[CEDULA]],DATOS[],2,0)</f>
        <v>DIAZ TOMAS</v>
      </c>
      <c r="D81" s="384" t="str">
        <f>VLOOKUP(Tabla2[[#This Row],[CEDULA]],METAS[[CEDULA]:[NIVEL Y CARGO]],3,0)</f>
        <v>SUPERVISORIO</v>
      </c>
      <c r="E81" s="384" t="s">
        <v>864</v>
      </c>
      <c r="F81" s="383">
        <f>IFERROR(VLOOKUP(Tabla2[[#This Row],[CEDULA]],NCH[[CEDULA]:[TOTAL GUARDIAS A PAGAR]],47,0),0)</f>
        <v>1</v>
      </c>
      <c r="G81" s="383">
        <f>IFERROR(VLOOKUP(Tabla2[[#This Row],[CEDULA]],NCH[[CEDULA]:[TOTAL GUARDIAS A PAGAR]],48,0),0)</f>
        <v>0</v>
      </c>
      <c r="H81" s="383">
        <f>VLOOKUP(Tabla2[[#This Row],[CEDULA]],METAS[[CEDULA]:[DIA PEN. ]],13,0)</f>
        <v>0</v>
      </c>
      <c r="I81" s="383">
        <f>Tabla2[TOTAL METAS L-V]+Tabla2[TOTAL METAS S-D-F]</f>
        <v>1</v>
      </c>
      <c r="J81" s="385">
        <f>VLOOKUP(Tabla2[[#This Row],[CEDULA]],METAS[],17,0)</f>
        <v>0</v>
      </c>
      <c r="K81" s="386">
        <f>IFERROR((VLOOKUP(Tabla2[NIVEL Y CARGO],NUEVO[],2,0)*Tabla2[TOTAL METAS L-V])+(VLOOKUP(Tabla2[NIVEL Y CARGO],NUEVO[],3,0)*Tabla2[TOTAL METAS S-D-F]),"")+Tabla2[[#This Row],[TOTAL PEND. POR PAGAR ]]</f>
        <v>287.81</v>
      </c>
      <c r="L81" s="387" t="str">
        <f>TRIM(IFERROR(VLOOKUP(Tabla2[[#This Row],[CEDULA]],DATOS[],7,0),""))</f>
        <v>11111111111111111111</v>
      </c>
      <c r="M81" s="387" t="str">
        <f>IFERROR(VLOOKUP(Tabla2[[#This Row],[CEDULA]],DATOS[],8,0),"")</f>
        <v>C</v>
      </c>
      <c r="N81" s="388">
        <f>LEN(Tabla2[[#This Row],[N° CUENTA ]])</f>
        <v>20</v>
      </c>
    </row>
    <row r="82" spans="1:14" ht="15.75" x14ac:dyDescent="0.25">
      <c r="A82" s="383" t="str">
        <f t="shared" si="1"/>
        <v>V</v>
      </c>
      <c r="B82" s="383">
        <v>6185757</v>
      </c>
      <c r="C82" s="384" t="str">
        <f>VLOOKUP(Tabla2[[#This Row],[CEDULA]],DATOS[],2,0)</f>
        <v>CARDENAS JOSE</v>
      </c>
      <c r="D82" s="384" t="str">
        <f>VLOOKUP(Tabla2[[#This Row],[CEDULA]],METAS[[CEDULA]:[NIVEL Y CARGO]],3,0)</f>
        <v>SUPERVISORIO</v>
      </c>
      <c r="E82" s="384" t="s">
        <v>864</v>
      </c>
      <c r="F82" s="383">
        <f>IFERROR(VLOOKUP(Tabla2[[#This Row],[CEDULA]],NCH[[CEDULA]:[TOTAL GUARDIAS A PAGAR]],47,0),0)</f>
        <v>0</v>
      </c>
      <c r="G82" s="383">
        <f>IFERROR(VLOOKUP(Tabla2[[#This Row],[CEDULA]],NCH[[CEDULA]:[TOTAL GUARDIAS A PAGAR]],48,0),0)</f>
        <v>3</v>
      </c>
      <c r="H82" s="383">
        <f>VLOOKUP(Tabla2[[#This Row],[CEDULA]],METAS[[CEDULA]:[DIA PEN. ]],13,0)</f>
        <v>0</v>
      </c>
      <c r="I82" s="383">
        <f>Tabla2[TOTAL METAS L-V]+Tabla2[TOTAL METAS S-D-F]</f>
        <v>3</v>
      </c>
      <c r="J82" s="385">
        <f>VLOOKUP(Tabla2[[#This Row],[CEDULA]],METAS[],17,0)</f>
        <v>0</v>
      </c>
      <c r="K82" s="386">
        <f>IFERROR((VLOOKUP(Tabla2[NIVEL Y CARGO],NUEVO[],2,0)*Tabla2[TOTAL METAS L-V])+(VLOOKUP(Tabla2[NIVEL Y CARGO],NUEVO[],3,0)*Tabla2[TOTAL METAS S-D-F]),"")+Tabla2[[#This Row],[TOTAL PEND. POR PAGAR ]]</f>
        <v>1726.8600000000001</v>
      </c>
      <c r="L82" s="387" t="str">
        <f>TRIM(IFERROR(VLOOKUP(Tabla2[[#This Row],[CEDULA]],DATOS[],7,0),""))</f>
        <v>11111111111111111111</v>
      </c>
      <c r="M82" s="387" t="str">
        <f>IFERROR(VLOOKUP(Tabla2[[#This Row],[CEDULA]],DATOS[],8,0),"")</f>
        <v>C</v>
      </c>
      <c r="N82" s="388">
        <f>LEN(Tabla2[[#This Row],[N° CUENTA ]])</f>
        <v>20</v>
      </c>
    </row>
    <row r="83" spans="1:14" ht="15.75" x14ac:dyDescent="0.25">
      <c r="A83" s="383" t="str">
        <f t="shared" si="1"/>
        <v>V</v>
      </c>
      <c r="B83" s="383">
        <v>16705084</v>
      </c>
      <c r="C83" s="384" t="str">
        <f>VLOOKUP(Tabla2[[#This Row],[CEDULA]],DATOS[],2,0)</f>
        <v>CHIRINOS CARLOS</v>
      </c>
      <c r="D83" s="384" t="str">
        <f>VLOOKUP(Tabla2[[#This Row],[CEDULA]],METAS[[CEDULA]:[NIVEL Y CARGO]],3,0)</f>
        <v>ADMINISTRATIVO</v>
      </c>
      <c r="E83" s="384" t="s">
        <v>864</v>
      </c>
      <c r="F83" s="383">
        <f>IFERROR(VLOOKUP(Tabla2[[#This Row],[CEDULA]],NCH[[CEDULA]:[TOTAL GUARDIAS A PAGAR]],47,0),0)</f>
        <v>1</v>
      </c>
      <c r="G83" s="383">
        <f>IFERROR(VLOOKUP(Tabla2[[#This Row],[CEDULA]],NCH[[CEDULA]:[TOTAL GUARDIAS A PAGAR]],48,0),0)</f>
        <v>2</v>
      </c>
      <c r="H83" s="383">
        <f>VLOOKUP(Tabla2[[#This Row],[CEDULA]],METAS[[CEDULA]:[DIA PEN. ]],13,0)</f>
        <v>0</v>
      </c>
      <c r="I83" s="383">
        <f>Tabla2[TOTAL METAS L-V]+Tabla2[TOTAL METAS S-D-F]</f>
        <v>3</v>
      </c>
      <c r="J83" s="385">
        <f>VLOOKUP(Tabla2[[#This Row],[CEDULA]],METAS[],17,0)</f>
        <v>0</v>
      </c>
      <c r="K83" s="386">
        <f>IFERROR((VLOOKUP(Tabla2[NIVEL Y CARGO],NUEVO[],2,0)*Tabla2[TOTAL METAS L-V])+(VLOOKUP(Tabla2[NIVEL Y CARGO],NUEVO[],3,0)*Tabla2[TOTAL METAS S-D-F]),"")+Tabla2[[#This Row],[TOTAL PEND. POR PAGAR ]]</f>
        <v>1075.8</v>
      </c>
      <c r="L83" s="387" t="str">
        <f>TRIM(IFERROR(VLOOKUP(Tabla2[[#This Row],[CEDULA]],DATOS[],7,0),""))</f>
        <v>11111111111111111111</v>
      </c>
      <c r="M83" s="387" t="str">
        <f>IFERROR(VLOOKUP(Tabla2[[#This Row],[CEDULA]],DATOS[],8,0),"")</f>
        <v>C</v>
      </c>
      <c r="N83" s="388">
        <f>LEN(Tabla2[[#This Row],[N° CUENTA ]])</f>
        <v>20</v>
      </c>
    </row>
    <row r="84" spans="1:14" ht="15.75" x14ac:dyDescent="0.25">
      <c r="A84" s="383" t="str">
        <f t="shared" si="1"/>
        <v>V</v>
      </c>
      <c r="B84" s="383">
        <v>10784886</v>
      </c>
      <c r="C84" s="384" t="str">
        <f>VLOOKUP(Tabla2[[#This Row],[CEDULA]],DATOS[],2,0)</f>
        <v>GONZALEZ CARLOS</v>
      </c>
      <c r="D84" s="384" t="str">
        <f>VLOOKUP(Tabla2[[#This Row],[CEDULA]],METAS[[CEDULA]:[NIVEL Y CARGO]],3,0)</f>
        <v>SUPERVISORIO</v>
      </c>
      <c r="E84" s="384" t="s">
        <v>873</v>
      </c>
      <c r="F84" s="383">
        <f>IFERROR(VLOOKUP(Tabla2[[#This Row],[CEDULA]],NCH[[CEDULA]:[TOTAL GUARDIAS A PAGAR]],47,0),0)</f>
        <v>0</v>
      </c>
      <c r="G84" s="383">
        <f>IFERROR(VLOOKUP(Tabla2[[#This Row],[CEDULA]],NCH[[CEDULA]:[TOTAL GUARDIAS A PAGAR]],48,0),0)</f>
        <v>0</v>
      </c>
      <c r="H84" s="383">
        <f>VLOOKUP(Tabla2[[#This Row],[CEDULA]],METAS[[CEDULA]:[DIA PEN. ]],13,0)</f>
        <v>1</v>
      </c>
      <c r="I84" s="383">
        <f>Tabla2[TOTAL METAS L-V]+Tabla2[TOTAL METAS S-D-F]</f>
        <v>0</v>
      </c>
      <c r="J84" s="385">
        <f>VLOOKUP(Tabla2[[#This Row],[CEDULA]],METAS[],17,0)</f>
        <v>287.81</v>
      </c>
      <c r="K84" s="386">
        <f>IFERROR((VLOOKUP(Tabla2[NIVEL Y CARGO],NUEVO[],2,0)*Tabla2[TOTAL METAS L-V])+(VLOOKUP(Tabla2[NIVEL Y CARGO],NUEVO[],3,0)*Tabla2[TOTAL METAS S-D-F]),"")+Tabla2[[#This Row],[TOTAL PEND. POR PAGAR ]]</f>
        <v>287.81</v>
      </c>
      <c r="L84" s="387" t="str">
        <f>TRIM(IFERROR(VLOOKUP(Tabla2[[#This Row],[CEDULA]],DATOS[],7,0),""))</f>
        <v>11111111111111111111</v>
      </c>
      <c r="M84" s="387" t="str">
        <f>IFERROR(VLOOKUP(Tabla2[[#This Row],[CEDULA]],DATOS[],8,0),"")</f>
        <v>A</v>
      </c>
      <c r="N84" s="388">
        <f>LEN(Tabla2[[#This Row],[N° CUENTA ]])</f>
        <v>20</v>
      </c>
    </row>
    <row r="85" spans="1:14" ht="15.75" x14ac:dyDescent="0.25">
      <c r="A85" s="383" t="str">
        <f t="shared" si="1"/>
        <v>V</v>
      </c>
      <c r="B85" s="383">
        <v>14202223</v>
      </c>
      <c r="C85" s="384" t="str">
        <f>VLOOKUP(Tabla2[[#This Row],[CEDULA]],DATOS[],2,0)</f>
        <v>PADRON MABEL</v>
      </c>
      <c r="D85" s="384" t="str">
        <f>VLOOKUP(Tabla2[[#This Row],[CEDULA]],METAS[[CEDULA]:[NIVEL Y CARGO]],3,0)</f>
        <v>PROFESIONAL</v>
      </c>
      <c r="E85" s="384" t="s">
        <v>873</v>
      </c>
      <c r="F85" s="383">
        <f>IFERROR(VLOOKUP(Tabla2[[#This Row],[CEDULA]],NCH[[CEDULA]:[TOTAL GUARDIAS A PAGAR]],47,0),0)</f>
        <v>1</v>
      </c>
      <c r="G85" s="383">
        <f>IFERROR(VLOOKUP(Tabla2[[#This Row],[CEDULA]],NCH[[CEDULA]:[TOTAL GUARDIAS A PAGAR]],48,0),0)</f>
        <v>0</v>
      </c>
      <c r="H85" s="383">
        <f>VLOOKUP(Tabla2[[#This Row],[CEDULA]],METAS[[CEDULA]:[DIA PEN. ]],13,0)</f>
        <v>0</v>
      </c>
      <c r="I85" s="383">
        <f>Tabla2[TOTAL METAS L-V]+Tabla2[TOTAL METAS S-D-F]</f>
        <v>1</v>
      </c>
      <c r="J85" s="385">
        <f>VLOOKUP(Tabla2[[#This Row],[CEDULA]],METAS[],17,0)</f>
        <v>0</v>
      </c>
      <c r="K85" s="386">
        <f>IFERROR((VLOOKUP(Tabla2[NIVEL Y CARGO],NUEVO[],2,0)*Tabla2[TOTAL METAS L-V])+(VLOOKUP(Tabla2[NIVEL Y CARGO],NUEVO[],3,0)*Tabla2[TOTAL METAS S-D-F]),"")+Tabla2[[#This Row],[TOTAL PEND. POR PAGAR ]]</f>
        <v>258.75</v>
      </c>
      <c r="L85" s="387" t="str">
        <f>TRIM(IFERROR(VLOOKUP(Tabla2[[#This Row],[CEDULA]],DATOS[],7,0),""))</f>
        <v>11111111111111111111</v>
      </c>
      <c r="M85" s="387" t="str">
        <f>IFERROR(VLOOKUP(Tabla2[[#This Row],[CEDULA]],DATOS[],8,0),"")</f>
        <v>C</v>
      </c>
      <c r="N85" s="388">
        <f>LEN(Tabla2[[#This Row],[N° CUENTA ]])</f>
        <v>20</v>
      </c>
    </row>
    <row r="86" spans="1:14" ht="15.75" x14ac:dyDescent="0.25">
      <c r="A86" s="383" t="str">
        <f t="shared" si="1"/>
        <v>V</v>
      </c>
      <c r="B86" s="383">
        <v>12561193</v>
      </c>
      <c r="C86" s="384" t="str">
        <f>VLOOKUP(Tabla2[[#This Row],[CEDULA]],DATOS[],2,0)</f>
        <v>SALAS LEILA</v>
      </c>
      <c r="D86" s="384" t="str">
        <f>VLOOKUP(Tabla2[[#This Row],[CEDULA]],METAS[[CEDULA]:[NIVEL Y CARGO]],3,0)</f>
        <v>TECNICO</v>
      </c>
      <c r="E86" s="384" t="s">
        <v>873</v>
      </c>
      <c r="F86" s="383">
        <f>IFERROR(VLOOKUP(Tabla2[[#This Row],[CEDULA]],NCH[[CEDULA]:[TOTAL GUARDIAS A PAGAR]],47,0),0)</f>
        <v>2</v>
      </c>
      <c r="G86" s="383">
        <f>IFERROR(VLOOKUP(Tabla2[[#This Row],[CEDULA]],NCH[[CEDULA]:[TOTAL GUARDIAS A PAGAR]],48,0),0)</f>
        <v>0</v>
      </c>
      <c r="H86" s="383">
        <f>VLOOKUP(Tabla2[[#This Row],[CEDULA]],METAS[[CEDULA]:[DIA PEN. ]],13,0)</f>
        <v>0</v>
      </c>
      <c r="I86" s="383">
        <f>Tabla2[TOTAL METAS L-V]+Tabla2[TOTAL METAS S-D-F]</f>
        <v>2</v>
      </c>
      <c r="J86" s="385">
        <f>VLOOKUP(Tabla2[[#This Row],[CEDULA]],METAS[],17,0)</f>
        <v>0</v>
      </c>
      <c r="K86" s="386">
        <f>IFERROR((VLOOKUP(Tabla2[NIVEL Y CARGO],NUEVO[],2,0)*Tabla2[TOTAL METAS L-V])+(VLOOKUP(Tabla2[NIVEL Y CARGO],NUEVO[],3,0)*Tabla2[TOTAL METAS S-D-F]),"")+Tabla2[[#This Row],[TOTAL PEND. POR PAGAR ]]</f>
        <v>459.38</v>
      </c>
      <c r="L86" s="387" t="str">
        <f>TRIM(IFERROR(VLOOKUP(Tabla2[[#This Row],[CEDULA]],DATOS[],7,0),""))</f>
        <v>11111111111111111111</v>
      </c>
      <c r="M86" s="387" t="str">
        <f>IFERROR(VLOOKUP(Tabla2[[#This Row],[CEDULA]],DATOS[],8,0),"")</f>
        <v>A</v>
      </c>
      <c r="N86" s="388">
        <f>LEN(Tabla2[[#This Row],[N° CUENTA ]])</f>
        <v>20</v>
      </c>
    </row>
    <row r="87" spans="1:14" ht="15.75" x14ac:dyDescent="0.25">
      <c r="A87" s="383" t="str">
        <f t="shared" si="1"/>
        <v>V</v>
      </c>
      <c r="B87" s="383">
        <v>16557897</v>
      </c>
      <c r="C87" s="384" t="str">
        <f>VLOOKUP(Tabla2[[#This Row],[CEDULA]],DATOS[],2,0)</f>
        <v>MEDINA ANTONIO</v>
      </c>
      <c r="D87" s="384" t="str">
        <f>VLOOKUP(Tabla2[[#This Row],[CEDULA]],METAS[[CEDULA]:[NIVEL Y CARGO]],3,0)</f>
        <v>OBRERO</v>
      </c>
      <c r="E87" s="384" t="s">
        <v>873</v>
      </c>
      <c r="F87" s="383">
        <f>IFERROR(VLOOKUP(Tabla2[[#This Row],[CEDULA]],NCH[[CEDULA]:[TOTAL GUARDIAS A PAGAR]],47,0),0)</f>
        <v>0</v>
      </c>
      <c r="G87" s="383">
        <f>IFERROR(VLOOKUP(Tabla2[[#This Row],[CEDULA]],NCH[[CEDULA]:[TOTAL GUARDIAS A PAGAR]],48,0),0)</f>
        <v>1</v>
      </c>
      <c r="H87" s="383">
        <f>VLOOKUP(Tabla2[[#This Row],[CEDULA]],METAS[[CEDULA]:[DIA PEN. ]],13,0)</f>
        <v>0</v>
      </c>
      <c r="I87" s="383">
        <f>Tabla2[TOTAL METAS L-V]+Tabla2[TOTAL METAS S-D-F]</f>
        <v>1</v>
      </c>
      <c r="J87" s="385">
        <f>VLOOKUP(Tabla2[[#This Row],[CEDULA]],METAS[],17,0)</f>
        <v>0</v>
      </c>
      <c r="K87" s="386">
        <f>IFERROR((VLOOKUP(Tabla2[NIVEL Y CARGO],NUEVO[],2,0)*Tabla2[TOTAL METAS L-V])+(VLOOKUP(Tabla2[NIVEL Y CARGO],NUEVO[],3,0)*Tabla2[TOTAL METAS S-D-F]),"")+Tabla2[[#This Row],[TOTAL PEND. POR PAGAR ]]</f>
        <v>401.26</v>
      </c>
      <c r="L87" s="387" t="str">
        <f>TRIM(IFERROR(VLOOKUP(Tabla2[[#This Row],[CEDULA]],DATOS[],7,0),""))</f>
        <v>11111111111111111111</v>
      </c>
      <c r="M87" s="387" t="str">
        <f>IFERROR(VLOOKUP(Tabla2[[#This Row],[CEDULA]],DATOS[],8,0),"")</f>
        <v>C</v>
      </c>
      <c r="N87" s="388">
        <f>LEN(Tabla2[[#This Row],[N° CUENTA ]])</f>
        <v>20</v>
      </c>
    </row>
    <row r="88" spans="1:14" ht="15.75" x14ac:dyDescent="0.25">
      <c r="A88" s="383" t="str">
        <f t="shared" si="1"/>
        <v>V</v>
      </c>
      <c r="B88" s="383">
        <v>6256734</v>
      </c>
      <c r="C88" s="384" t="str">
        <f>VLOOKUP(Tabla2[[#This Row],[CEDULA]],DATOS[],2,0)</f>
        <v>ESPINOZA JOSE</v>
      </c>
      <c r="D88" s="384" t="str">
        <f>VLOOKUP(Tabla2[[#This Row],[CEDULA]],METAS[[CEDULA]:[NIVEL Y CARGO]],3,0)</f>
        <v>OBRERO</v>
      </c>
      <c r="E88" s="384" t="s">
        <v>873</v>
      </c>
      <c r="F88" s="383">
        <f>IFERROR(VLOOKUP(Tabla2[[#This Row],[CEDULA]],NCH[[CEDULA]:[TOTAL GUARDIAS A PAGAR]],47,0),0)</f>
        <v>0</v>
      </c>
      <c r="G88" s="383">
        <f>IFERROR(VLOOKUP(Tabla2[[#This Row],[CEDULA]],NCH[[CEDULA]:[TOTAL GUARDIAS A PAGAR]],48,0),0)</f>
        <v>1</v>
      </c>
      <c r="H88" s="383">
        <f>VLOOKUP(Tabla2[[#This Row],[CEDULA]],METAS[[CEDULA]:[DIA PEN. ]],13,0)</f>
        <v>0</v>
      </c>
      <c r="I88" s="383">
        <f>Tabla2[TOTAL METAS L-V]+Tabla2[TOTAL METAS S-D-F]</f>
        <v>1</v>
      </c>
      <c r="J88" s="385">
        <f>VLOOKUP(Tabla2[[#This Row],[CEDULA]],METAS[],17,0)</f>
        <v>0</v>
      </c>
      <c r="K88" s="386">
        <f>IFERROR((VLOOKUP(Tabla2[NIVEL Y CARGO],NUEVO[],2,0)*Tabla2[TOTAL METAS L-V])+(VLOOKUP(Tabla2[NIVEL Y CARGO],NUEVO[],3,0)*Tabla2[TOTAL METAS S-D-F]),"")+Tabla2[[#This Row],[TOTAL PEND. POR PAGAR ]]</f>
        <v>401.26</v>
      </c>
      <c r="L88" s="387" t="str">
        <f>TRIM(IFERROR(VLOOKUP(Tabla2[[#This Row],[CEDULA]],DATOS[],7,0),""))</f>
        <v>11111111111111111111</v>
      </c>
      <c r="M88" s="387" t="str">
        <f>IFERROR(VLOOKUP(Tabla2[[#This Row],[CEDULA]],DATOS[],8,0),"")</f>
        <v>A</v>
      </c>
      <c r="N88" s="388">
        <f>LEN(Tabla2[[#This Row],[N° CUENTA ]])</f>
        <v>20</v>
      </c>
    </row>
    <row r="89" spans="1:14" ht="15.75" x14ac:dyDescent="0.25">
      <c r="A89" s="383" t="str">
        <f t="shared" si="1"/>
        <v>V</v>
      </c>
      <c r="B89" s="383">
        <v>18088977</v>
      </c>
      <c r="C89" s="384" t="str">
        <f>VLOOKUP(Tabla2[[#This Row],[CEDULA]],DATOS[],2,0)</f>
        <v>RODRIGUEZ EDUARDO</v>
      </c>
      <c r="D89" s="384" t="str">
        <f>VLOOKUP(Tabla2[[#This Row],[CEDULA]],METAS[[CEDULA]:[NIVEL Y CARGO]],3,0)</f>
        <v>PROFESIONAL</v>
      </c>
      <c r="E89" s="384" t="s">
        <v>871</v>
      </c>
      <c r="F89" s="383">
        <f>IFERROR(VLOOKUP(Tabla2[[#This Row],[CEDULA]],NCH[[CEDULA]:[TOTAL GUARDIAS A PAGAR]],47,0),0)</f>
        <v>0</v>
      </c>
      <c r="G89" s="383">
        <f>IFERROR(VLOOKUP(Tabla2[[#This Row],[CEDULA]],NCH[[CEDULA]:[TOTAL GUARDIAS A PAGAR]],48,0),0)</f>
        <v>0</v>
      </c>
      <c r="H89" s="383">
        <f>VLOOKUP(Tabla2[[#This Row],[CEDULA]],METAS[[CEDULA]:[DIA PEN. ]],13,0)</f>
        <v>4</v>
      </c>
      <c r="I89" s="383">
        <f>Tabla2[TOTAL METAS L-V]+Tabla2[TOTAL METAS S-D-F]</f>
        <v>0</v>
      </c>
      <c r="J89" s="385">
        <f>VLOOKUP(Tabla2[[#This Row],[CEDULA]],METAS[],17,0)</f>
        <v>1035</v>
      </c>
      <c r="K89" s="386">
        <f>IFERROR((VLOOKUP(Tabla2[NIVEL Y CARGO],NUEVO[],2,0)*Tabla2[TOTAL METAS L-V])+(VLOOKUP(Tabla2[NIVEL Y CARGO],NUEVO[],3,0)*Tabla2[TOTAL METAS S-D-F]),"")+Tabla2[[#This Row],[TOTAL PEND. POR PAGAR ]]</f>
        <v>1035</v>
      </c>
      <c r="L89" s="387" t="str">
        <f>TRIM(IFERROR(VLOOKUP(Tabla2[[#This Row],[CEDULA]],DATOS[],7,0),""))</f>
        <v>11111111111111111111</v>
      </c>
      <c r="M89" s="387" t="str">
        <f>IFERROR(VLOOKUP(Tabla2[[#This Row],[CEDULA]],DATOS[],8,0),"")</f>
        <v>C</v>
      </c>
      <c r="N89" s="388">
        <f>LEN(Tabla2[[#This Row],[N° CUENTA ]])</f>
        <v>20</v>
      </c>
    </row>
    <row r="90" spans="1:14" ht="15.75" x14ac:dyDescent="0.25">
      <c r="A90" s="383" t="str">
        <f t="shared" si="1"/>
        <v>V</v>
      </c>
      <c r="B90" s="383">
        <v>11679527</v>
      </c>
      <c r="C90" s="384" t="str">
        <f>VLOOKUP(Tabla2[[#This Row],[CEDULA]],DATOS[],2,0)</f>
        <v>VELASQUEZ YELITZA</v>
      </c>
      <c r="D90" s="384" t="str">
        <f>VLOOKUP(Tabla2[[#This Row],[CEDULA]],METAS[[CEDULA]:[NIVEL Y CARGO]],3,0)</f>
        <v>PROFESIONAL</v>
      </c>
      <c r="E90" s="384" t="s">
        <v>1420</v>
      </c>
      <c r="F90" s="383">
        <f>IFERROR(VLOOKUP(Tabla2[[#This Row],[CEDULA]],NCH[[CEDULA]:[TOTAL GUARDIAS A PAGAR]],47,0),0)</f>
        <v>0</v>
      </c>
      <c r="G90" s="383">
        <f>IFERROR(VLOOKUP(Tabla2[[#This Row],[CEDULA]],NCH[[CEDULA]:[TOTAL GUARDIAS A PAGAR]],48,0),0)</f>
        <v>0</v>
      </c>
      <c r="H90" s="383">
        <f>VLOOKUP(Tabla2[[#This Row],[CEDULA]],METAS[[CEDULA]:[DIA PEN. ]],13,0)</f>
        <v>1</v>
      </c>
      <c r="I90" s="383">
        <f>Tabla2[TOTAL METAS L-V]+Tabla2[TOTAL METAS S-D-F]</f>
        <v>0</v>
      </c>
      <c r="J90" s="385">
        <f>VLOOKUP(Tabla2[[#This Row],[CEDULA]],METAS[],17,0)</f>
        <v>258.75</v>
      </c>
      <c r="K90" s="386">
        <f>IFERROR((VLOOKUP(Tabla2[NIVEL Y CARGO],NUEVO[],2,0)*Tabla2[TOTAL METAS L-V])+(VLOOKUP(Tabla2[NIVEL Y CARGO],NUEVO[],3,0)*Tabla2[TOTAL METAS S-D-F]),"")+Tabla2[[#This Row],[TOTAL PEND. POR PAGAR ]]</f>
        <v>258.75</v>
      </c>
      <c r="L90" s="387" t="str">
        <f>TRIM(IFERROR(VLOOKUP(Tabla2[[#This Row],[CEDULA]],DATOS[],7,0),""))</f>
        <v>11111111111111111111</v>
      </c>
      <c r="M90" s="387" t="str">
        <f>IFERROR(VLOOKUP(Tabla2[[#This Row],[CEDULA]],DATOS[],8,0),"")</f>
        <v>C</v>
      </c>
      <c r="N90" s="388">
        <f>LEN(Tabla2[[#This Row],[N° CUENTA ]])</f>
        <v>20</v>
      </c>
    </row>
    <row r="91" spans="1:14" ht="15.75" x14ac:dyDescent="0.25">
      <c r="A91" s="383" t="str">
        <f t="shared" si="1"/>
        <v>V</v>
      </c>
      <c r="B91" s="383">
        <v>4029580</v>
      </c>
      <c r="C91" s="384" t="str">
        <f>VLOOKUP(Tabla2[[#This Row],[CEDULA]],DATOS[],2,0)</f>
        <v>CORDOVA ESMIRIN</v>
      </c>
      <c r="D91" s="384" t="str">
        <f>VLOOKUP(Tabla2[[#This Row],[CEDULA]],METAS[[CEDULA]:[NIVEL Y CARGO]],3,0)</f>
        <v>SUPERVISORIO</v>
      </c>
      <c r="E91" s="384" t="s">
        <v>1420</v>
      </c>
      <c r="F91" s="383">
        <f>IFERROR(VLOOKUP(Tabla2[[#This Row],[CEDULA]],NCH[[CEDULA]:[TOTAL GUARDIAS A PAGAR]],47,0),0)</f>
        <v>2</v>
      </c>
      <c r="G91" s="383">
        <f>IFERROR(VLOOKUP(Tabla2[[#This Row],[CEDULA]],NCH[[CEDULA]:[TOTAL GUARDIAS A PAGAR]],48,0),0)</f>
        <v>0</v>
      </c>
      <c r="H91" s="383">
        <f>VLOOKUP(Tabla2[[#This Row],[CEDULA]],METAS[[CEDULA]:[DIA PEN. ]],13,0)</f>
        <v>0</v>
      </c>
      <c r="I91" s="383">
        <f>Tabla2[TOTAL METAS L-V]+Tabla2[TOTAL METAS S-D-F]</f>
        <v>2</v>
      </c>
      <c r="J91" s="385">
        <f>VLOOKUP(Tabla2[[#This Row],[CEDULA]],METAS[],17,0)</f>
        <v>0</v>
      </c>
      <c r="K91" s="386">
        <f>IFERROR((VLOOKUP(Tabla2[NIVEL Y CARGO],NUEVO[],2,0)*Tabla2[TOTAL METAS L-V])+(VLOOKUP(Tabla2[NIVEL Y CARGO],NUEVO[],3,0)*Tabla2[TOTAL METAS S-D-F]),"")+Tabla2[[#This Row],[TOTAL PEND. POR PAGAR ]]</f>
        <v>575.62</v>
      </c>
      <c r="L91" s="387" t="str">
        <f>TRIM(IFERROR(VLOOKUP(Tabla2[[#This Row],[CEDULA]],DATOS[],7,0),""))</f>
        <v>11111111111111111111</v>
      </c>
      <c r="M91" s="387" t="str">
        <f>IFERROR(VLOOKUP(Tabla2[[#This Row],[CEDULA]],DATOS[],8,0),"")</f>
        <v>C</v>
      </c>
      <c r="N91" s="388">
        <f>LEN(Tabla2[[#This Row],[N° CUENTA ]])</f>
        <v>20</v>
      </c>
    </row>
    <row r="92" spans="1:14" ht="15.75" x14ac:dyDescent="0.25">
      <c r="A92" s="212"/>
      <c r="B92" s="389"/>
      <c r="C92" s="390"/>
      <c r="D92" s="390" t="s">
        <v>883</v>
      </c>
      <c r="E92" s="215">
        <f>SUBTOTAL(103,Tabla2[UNIDAD DE ADSCRIPCION])</f>
        <v>62</v>
      </c>
      <c r="F92" s="216">
        <f>SUBTOTAL(109,Tabla2[TOTAL METAS L-V])</f>
        <v>53</v>
      </c>
      <c r="G92" s="216">
        <f>SUBTOTAL(109,Tabla2[TOTAL METAS S-D-F])</f>
        <v>55</v>
      </c>
      <c r="H92" s="216">
        <f>SUBTOTAL(109,Tabla2[[DIA PENDIENTE ]])</f>
        <v>12</v>
      </c>
      <c r="I92" s="216">
        <f>SUBTOTAL(109,Tabla2[TOTAL METAS])</f>
        <v>108</v>
      </c>
      <c r="J92" s="253">
        <f>SUBTOTAL(109,Tabla2[TOTAL PEND. POR PAGAR ])</f>
        <v>2843.46</v>
      </c>
      <c r="K92" s="218">
        <f>SUBTOTAL(109,Tabla2[TOTAL A PAGAR])</f>
        <v>42767.56</v>
      </c>
      <c r="L92" s="221"/>
      <c r="M92" s="221"/>
      <c r="N92"/>
    </row>
  </sheetData>
  <mergeCells count="2">
    <mergeCell ref="E1:G1"/>
    <mergeCell ref="E2:G2"/>
  </mergeCells>
  <conditionalFormatting sqref="B29">
    <cfRule type="duplicateValues" dxfId="158" priority="27"/>
  </conditionalFormatting>
  <conditionalFormatting sqref="B29">
    <cfRule type="duplicateValues" dxfId="157" priority="24"/>
    <cfRule type="duplicateValues" dxfId="156" priority="25"/>
  </conditionalFormatting>
  <conditionalFormatting sqref="A29">
    <cfRule type="duplicateValues" dxfId="155" priority="17"/>
  </conditionalFormatting>
  <conditionalFormatting sqref="A29">
    <cfRule type="duplicateValues" dxfId="154" priority="16"/>
  </conditionalFormatting>
  <conditionalFormatting sqref="A29">
    <cfRule type="duplicateValues" dxfId="153" priority="14"/>
    <cfRule type="duplicateValues" dxfId="152" priority="15"/>
  </conditionalFormatting>
  <conditionalFormatting sqref="A29">
    <cfRule type="duplicateValues" dxfId="151" priority="13"/>
  </conditionalFormatting>
  <conditionalFormatting sqref="A29">
    <cfRule type="duplicateValues" dxfId="150" priority="11"/>
    <cfRule type="duplicateValues" dxfId="149" priority="12"/>
  </conditionalFormatting>
  <conditionalFormatting sqref="A29">
    <cfRule type="duplicateValues" dxfId="148" priority="10"/>
  </conditionalFormatting>
  <conditionalFormatting sqref="A29">
    <cfRule type="duplicateValues" dxfId="147" priority="9"/>
  </conditionalFormatting>
  <conditionalFormatting sqref="B29">
    <cfRule type="duplicateValues" dxfId="146" priority="169100"/>
  </conditionalFormatting>
  <conditionalFormatting sqref="C30:D91">
    <cfRule type="containsBlanks" dxfId="145" priority="1">
      <formula>LEN(TRIM(C30))=0</formula>
    </cfRule>
  </conditionalFormatting>
  <conditionalFormatting sqref="B30:B91">
    <cfRule type="duplicateValues" dxfId="144" priority="482772"/>
  </conditionalFormatting>
  <conditionalFormatting sqref="B30:B91">
    <cfRule type="duplicateValues" dxfId="143" priority="482774"/>
    <cfRule type="duplicateValues" dxfId="142" priority="482775"/>
  </conditionalFormatting>
  <dataValidations count="1">
    <dataValidation type="whole" allowBlank="1" showInputMessage="1" showErrorMessage="1" sqref="B30:B91">
      <formula1>0</formula1>
      <formula2>1000000000</formula2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scale="44" orientation="portrait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9CDB6C-CE2E-4C4C-A823-0C67FA1703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6</vt:i4>
      </vt:variant>
    </vt:vector>
  </HeadingPairs>
  <TitlesOfParts>
    <vt:vector size="12" baseType="lpstr">
      <vt:lpstr>DAT</vt:lpstr>
      <vt:lpstr>BIOMETRICO</vt:lpstr>
      <vt:lpstr>METAS</vt:lpstr>
      <vt:lpstr>NCH</vt:lpstr>
      <vt:lpstr>DEF</vt:lpstr>
      <vt:lpstr>PAGO</vt:lpstr>
      <vt:lpstr>METAS!Área_de_impresión</vt:lpstr>
      <vt:lpstr>PAGO!Área_de_impresión</vt:lpstr>
      <vt:lpstr>METAS!Criterios</vt:lpstr>
      <vt:lpstr>PERSONAL_1</vt:lpstr>
      <vt:lpstr>METAS!Títulos_a_imprimir</vt:lpstr>
      <vt:lpstr>PAGO!Títulos_a_imprimir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inhrr-nomi-02</dc:creator>
  <cp:lastModifiedBy>Usuario</cp:lastModifiedBy>
  <cp:lastPrinted>2025-04-21T17:40:31Z</cp:lastPrinted>
  <dcterms:created xsi:type="dcterms:W3CDTF">2022-07-25T21:07:39Z</dcterms:created>
  <dcterms:modified xsi:type="dcterms:W3CDTF">2025-04-24T13:32:13Z</dcterms:modified>
</cp:coreProperties>
</file>